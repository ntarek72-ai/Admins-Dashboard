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  <sheet xmlns:r="http://schemas.openxmlformats.org/officeDocument/2006/relationships" name="templet" sheetId="5" state="visible" r:id="rId5"/>
  </sheets>
  <definedNames>
    <definedName name="_xlnm._FilterDatabase" localSheetId="2" hidden="1">'Per Line'!$A$1:$AO$1501</definedName>
    <definedName name="_xlnm._FilterDatabase" localSheetId="3" hidden="1">'Per Invoice'!$A$1:$V$501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HYPERONE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A-M, O-V, Z-AA, AC-AJ (same order as the system export).</t>
        </is>
      </c>
    </row>
    <row r="6">
      <c r="A6" s="3" t="inlineStr">
        <is>
          <t>3. Green columns (N, W, X, Y, AB) and the grey helper columns (AK-AO)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it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October 2026 sheet)</t>
        </is>
      </c>
    </row>
    <row r="15">
      <c r="A15" s="3" t="inlineStr">
        <is>
          <t>Co val = Order Co Payment x Total / 100.   Discount = Total x Rebates / 100.   Subtotal = Total - Discount.   Net = Subtotal - Co val.   (Total = 'Product Total')</t>
        </is>
      </c>
    </row>
    <row r="16">
      <c r="A16" s="3" t="inlineStr">
        <is>
          <t>Rebates per line = Local rate (15%) if Local is TRUE, otherwise Imported rate (5%). Lines with 'Special Rebates?' = Yes get 0%.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1,500 lines and 500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HYPERONE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Hyperone -Zayed; HyperOne Sphinx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0.15</v>
      </c>
      <c r="D6" t="inlineStr">
        <is>
          <t>Source: Oct sheet (Rebates = 15 on Local lines).</t>
        </is>
      </c>
    </row>
    <row r="7">
      <c r="B7" t="inlineStr">
        <is>
          <t>Imported (IMP) products rebate %</t>
        </is>
      </c>
      <c r="C7" s="5" t="n">
        <v>0.05</v>
      </c>
      <c r="D7" t="inlineStr">
        <is>
          <t>Source: Oct sheet (Rebates = 5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Line'!$D$2:$D$1501)</f>
        <v/>
      </c>
    </row>
    <row r="11">
      <c r="B11" t="inlineStr">
        <is>
          <t>Invoices (unique Order #)</t>
        </is>
      </c>
      <c r="C11">
        <f>MAX('Per Line'!$AL$2:$AL$1501)</f>
        <v/>
      </c>
    </row>
    <row r="12">
      <c r="B12" t="inlineStr">
        <is>
          <t>Invoices shown in Per Invoice</t>
        </is>
      </c>
      <c r="C12">
        <f>SUMPRODUCT(--('Per Invoice'!$B$2:$B$501&lt;&gt;""))</f>
        <v/>
      </c>
    </row>
    <row r="13">
      <c r="B13" t="inlineStr">
        <is>
          <t>Grand Total - Per Line (Product Total)</t>
        </is>
      </c>
      <c r="C13" s="7">
        <f>SUM('Per Line'!$V$2:$V$1501)</f>
        <v/>
      </c>
    </row>
    <row r="14">
      <c r="B14" t="inlineStr">
        <is>
          <t>Grand Total - Per Invoice</t>
        </is>
      </c>
      <c r="C14" s="7">
        <f>SUM('Per Invoice'!$T$2:$T$501)</f>
        <v/>
      </c>
    </row>
    <row r="15">
      <c r="B15" t="inlineStr">
        <is>
          <t>Discount - Per Line</t>
        </is>
      </c>
      <c r="C15" s="7">
        <f>SUM('Per Line'!$W$2:$W$1501)</f>
        <v/>
      </c>
    </row>
    <row r="16">
      <c r="B16" t="inlineStr">
        <is>
          <t>Discount - Per Invoice</t>
        </is>
      </c>
      <c r="C16" s="7">
        <f>SUM('Per Invoice'!$R$2:$R$501)</f>
        <v/>
      </c>
    </row>
    <row r="17">
      <c r="B17" t="inlineStr">
        <is>
          <t>Co val - Per Line</t>
        </is>
      </c>
      <c r="C17" s="7">
        <f>SUM('Per Line'!$N$2:$N$1501)</f>
        <v/>
      </c>
    </row>
    <row r="18">
      <c r="B18" t="inlineStr">
        <is>
          <t>Co val - Per Invoice</t>
        </is>
      </c>
      <c r="C18" s="7">
        <f>SUM('Per Invoice'!$J$2:$J$501)</f>
        <v/>
      </c>
    </row>
    <row r="19">
      <c r="B19" t="inlineStr">
        <is>
          <t>Net - Per Line</t>
        </is>
      </c>
      <c r="C19" s="7">
        <f>SUM('Per Line'!$Y$2:$Y$1501)</f>
        <v/>
      </c>
    </row>
    <row r="20">
      <c r="B20" t="inlineStr">
        <is>
          <t>Net - Per Invoice</t>
        </is>
      </c>
      <c r="C20" s="7">
        <f>SUM('Per Invoice'!$U$2:$U$501)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Line'!$D:$D)-1&gt;1500,"TOO MANY LINES - extend template",IF(C11&gt;500,"TOO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  <col width="17" customWidth="1" min="6" max="6"/>
    <col width="18" customWidth="1" min="7" max="7"/>
    <col width="12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1" customWidth="1" min="14" max="14"/>
    <col width="12" customWidth="1" min="15" max="15"/>
    <col width="12" customWidth="1" min="16" max="16"/>
    <col width="44" customWidth="1" min="17" max="17"/>
    <col width="12" customWidth="1" min="18" max="18"/>
    <col width="20" customWidth="1" min="19" max="19"/>
    <col width="12" customWidth="1" min="20" max="20"/>
    <col width="12" customWidth="1" min="21" max="21"/>
    <col width="12" customWidth="1" min="22" max="22"/>
    <col width="11" customWidth="1" min="23" max="23"/>
    <col width="11" customWidth="1" min="24" max="24"/>
    <col width="11" customWidth="1" min="25" max="25"/>
    <col width="36" customWidth="1" min="26" max="26"/>
    <col width="12" customWidth="1" min="27" max="27"/>
    <col width="11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7" customWidth="1" min="35" max="35"/>
    <col width="12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 ht="32" customHeight="1">
      <c r="A1" s="8" t="inlineStr">
        <is>
          <t>Ticket #</t>
        </is>
      </c>
      <c r="B1" s="8" t="inlineStr">
        <is>
          <t>Stage</t>
        </is>
      </c>
      <c r="C1" s="8" t="inlineStr">
        <is>
          <t>Approval Ref</t>
        </is>
      </c>
      <c r="D1" s="8" t="inlineStr">
        <is>
          <t>Order #</t>
        </is>
      </c>
      <c r="E1" s="8" t="inlineStr">
        <is>
          <t>Channel</t>
        </is>
      </c>
      <c r="F1" s="8" t="inlineStr">
        <is>
          <t>Create At</t>
        </is>
      </c>
      <c r="G1" s="8" t="inlineStr">
        <is>
          <t>Insurance Company</t>
        </is>
      </c>
      <c r="H1" s="8" t="inlineStr">
        <is>
          <t>Country Portal ID</t>
        </is>
      </c>
      <c r="I1" s="8" t="inlineStr">
        <is>
          <t>Corporate</t>
        </is>
      </c>
      <c r="J1" s="8" t="inlineStr">
        <is>
          <t>Card</t>
        </is>
      </c>
      <c r="K1" s="8" t="inlineStr">
        <is>
          <t>Name</t>
        </is>
      </c>
      <c r="L1" s="8" t="inlineStr">
        <is>
          <t>Status</t>
        </is>
      </c>
      <c r="M1" s="8" t="inlineStr">
        <is>
          <t>Order Co Payment</t>
        </is>
      </c>
      <c r="N1" s="9" t="inlineStr">
        <is>
          <t>Co val</t>
        </is>
      </c>
      <c r="O1" s="8" t="inlineStr">
        <is>
          <t>By Patient</t>
        </is>
      </c>
      <c r="P1" s="8" t="inlineStr">
        <is>
          <t>heisenberg id</t>
        </is>
      </c>
      <c r="Q1" s="8" t="inlineStr">
        <is>
          <t>Product Name</t>
        </is>
      </c>
      <c r="R1" s="8" t="inlineStr">
        <is>
          <t>Local</t>
        </is>
      </c>
      <c r="S1" s="8" t="inlineStr">
        <is>
          <t>Unit</t>
        </is>
      </c>
      <c r="T1" s="8" t="inlineStr">
        <is>
          <t>Quantity</t>
        </is>
      </c>
      <c r="U1" s="8" t="inlineStr">
        <is>
          <t>Unit Price</t>
        </is>
      </c>
      <c r="V1" s="8" t="inlineStr">
        <is>
          <t>Product Total</t>
        </is>
      </c>
      <c r="W1" s="9" t="inlineStr">
        <is>
          <t>Discount</t>
        </is>
      </c>
      <c r="X1" s="9" t="inlineStr">
        <is>
          <t>Subtotal</t>
        </is>
      </c>
      <c r="Y1" s="9" t="inlineStr">
        <is>
          <t>Net</t>
        </is>
      </c>
      <c r="Z1" s="8" t="inlineStr">
        <is>
          <t>ERX ID</t>
        </is>
      </c>
      <c r="AA1" s="8" t="inlineStr">
        <is>
          <t>Special Rebates?</t>
        </is>
      </c>
      <c r="AB1" s="9" t="inlineStr">
        <is>
          <t>Rebates</t>
        </is>
      </c>
      <c r="AC1" s="8" t="inlineStr">
        <is>
          <t>Approval Type</t>
        </is>
      </c>
      <c r="AD1" s="8" t="inlineStr">
        <is>
          <t>Max Limit</t>
        </is>
      </c>
      <c r="AE1" s="8" t="inlineStr">
        <is>
          <t>Exceeding Limit</t>
        </is>
      </c>
      <c r="AF1" s="8" t="inlineStr">
        <is>
          <t>Amount collected from customer</t>
        </is>
      </c>
      <c r="AG1" s="8" t="inlineStr">
        <is>
          <t>By Patient (Delivered)</t>
        </is>
      </c>
      <c r="AH1" s="8" t="inlineStr">
        <is>
          <t>Dispense Number</t>
        </is>
      </c>
      <c r="AI1" s="8" t="inlineStr">
        <is>
          <t>Dispense Date</t>
        </is>
      </c>
      <c r="AJ1" s="8" t="inlineStr">
        <is>
          <t>Has OTP?</t>
        </is>
      </c>
      <c r="AK1" s="10" t="inlineStr">
        <is>
          <t>Order 1st Row (helper)</t>
        </is>
      </c>
      <c r="AL1" s="10" t="inlineStr">
        <is>
          <t>Invoice # (helper)</t>
        </is>
      </c>
      <c r="AM1" s="10" t="inlineStr">
        <is>
          <t>Is Local (helper)</t>
        </is>
      </c>
      <c r="AN1" s="10" t="inlineStr">
        <is>
          <t>Is Special (helper)</t>
        </is>
      </c>
      <c r="AO1" s="10" t="inlineStr">
        <is>
          <t>Sort Key (helper)</t>
        </is>
      </c>
    </row>
    <row r="2">
      <c r="F2" s="11" t="n"/>
      <c r="N2" s="7">
        <f>IF($D2="","",M2*V2/100)</f>
        <v/>
      </c>
      <c r="O2" s="7" t="n"/>
      <c r="U2" s="7" t="n"/>
      <c r="V2" s="7" t="n"/>
      <c r="W2" s="7">
        <f>IF($D2="","",V2*AB2/100)</f>
        <v/>
      </c>
      <c r="X2" s="7">
        <f>IF($D2="","",V2-W2)</f>
        <v/>
      </c>
      <c r="Y2" s="7">
        <f>IF($D2="","",X2-N2)</f>
        <v/>
      </c>
      <c r="AB2">
        <f>IF($D2="","",IF($AN2=1,0,IF($AM2=1,Settings!$C$6,Settings!$C$7))*100)</f>
        <v/>
      </c>
      <c r="AF2" s="7" t="n"/>
      <c r="AI2" s="11" t="n"/>
      <c r="AK2">
        <f>IF($D2="","",IF(COUNTIF($D$2:$D2,$D2)=1,1,0))</f>
        <v/>
      </c>
      <c r="AL2">
        <f>IF($AK2=1,SUMPRODUCT(--($AO$2:$AO$1501&lt;$AO2))+1,"")</f>
        <v/>
      </c>
      <c r="AM2">
        <f>IF($D2="","",IF(OR($R2=TRUE(),$R2="TRUE"),1,0))</f>
        <v/>
      </c>
      <c r="AN2">
        <f>IF($D2="","",IF($AA2="Yes",1,0))</f>
        <v/>
      </c>
      <c r="AO2">
        <f>IF($AK2=1,IFERROR(IF(VALUE($D2)&lt;100000000,VALUE($D2),1000000000),IFERROR(IF(VALUE(MID($D2,2,20))&lt;100000000,VALUE(MID($D2,2,20)),1000000000),1000000000))+ROW()/100000,"")</f>
        <v/>
      </c>
    </row>
    <row r="3">
      <c r="F3" s="11" t="n"/>
      <c r="N3" s="7">
        <f>IF($D3="","",M3*V3/100)</f>
        <v/>
      </c>
      <c r="O3" s="7" t="n"/>
      <c r="U3" s="7" t="n"/>
      <c r="V3" s="7" t="n"/>
      <c r="W3" s="7">
        <f>IF($D3="","",V3*AB3/100)</f>
        <v/>
      </c>
      <c r="X3" s="7">
        <f>IF($D3="","",V3-W3)</f>
        <v/>
      </c>
      <c r="Y3" s="7">
        <f>IF($D3="","",X3-N3)</f>
        <v/>
      </c>
      <c r="AB3">
        <f>IF($D3="","",IF($AN3=1,0,IF($AM3=1,Settings!$C$6,Settings!$C$7))*100)</f>
        <v/>
      </c>
      <c r="AF3" s="7" t="n"/>
      <c r="AI3" s="11" t="n"/>
      <c r="AK3">
        <f>IF($D3="","",IF(COUNTIF($D$2:$D3,$D3)=1,1,0))</f>
        <v/>
      </c>
      <c r="AL3">
        <f>IF($AK3=1,SUMPRODUCT(--($AO$2:$AO$1501&lt;$AO3))+1,"")</f>
        <v/>
      </c>
      <c r="AM3">
        <f>IF($D3="","",IF(OR($R3=TRUE(),$R3="TRUE"),1,0))</f>
        <v/>
      </c>
      <c r="AN3">
        <f>IF($D3="","",IF($AA3="Yes",1,0))</f>
        <v/>
      </c>
      <c r="AO3">
        <f>IF($AK3=1,IFERROR(IF(VALUE($D3)&lt;100000000,VALUE($D3),1000000000),IFERROR(IF(VALUE(MID($D3,2,20))&lt;100000000,VALUE(MID($D3,2,20)),1000000000),1000000000))+ROW()/100000,"")</f>
        <v/>
      </c>
    </row>
    <row r="4">
      <c r="F4" s="11" t="n"/>
      <c r="N4" s="7">
        <f>IF($D4="","",M4*V4/100)</f>
        <v/>
      </c>
      <c r="O4" s="7" t="n"/>
      <c r="U4" s="7" t="n"/>
      <c r="V4" s="7" t="n"/>
      <c r="W4" s="7">
        <f>IF($D4="","",V4*AB4/100)</f>
        <v/>
      </c>
      <c r="X4" s="7">
        <f>IF($D4="","",V4-W4)</f>
        <v/>
      </c>
      <c r="Y4" s="7">
        <f>IF($D4="","",X4-N4)</f>
        <v/>
      </c>
      <c r="AB4">
        <f>IF($D4="","",IF($AN4=1,0,IF($AM4=1,Settings!$C$6,Settings!$C$7))*100)</f>
        <v/>
      </c>
      <c r="AF4" s="7" t="n"/>
      <c r="AI4" s="11" t="n"/>
      <c r="AK4">
        <f>IF($D4="","",IF(COUNTIF($D$2:$D4,$D4)=1,1,0))</f>
        <v/>
      </c>
      <c r="AL4">
        <f>IF($AK4=1,SUMPRODUCT(--($AO$2:$AO$1501&lt;$AO4))+1,"")</f>
        <v/>
      </c>
      <c r="AM4">
        <f>IF($D4="","",IF(OR($R4=TRUE(),$R4="TRUE"),1,0))</f>
        <v/>
      </c>
      <c r="AN4">
        <f>IF($D4="","",IF($AA4="Yes",1,0))</f>
        <v/>
      </c>
      <c r="AO4">
        <f>IF($AK4=1,IFERROR(IF(VALUE($D4)&lt;100000000,VALUE($D4),1000000000),IFERROR(IF(VALUE(MID($D4,2,20))&lt;100000000,VALUE(MID($D4,2,20)),1000000000),1000000000))+ROW()/100000,"")</f>
        <v/>
      </c>
    </row>
    <row r="5">
      <c r="F5" s="11" t="n"/>
      <c r="N5" s="7">
        <f>IF($D5="","",M5*V5/100)</f>
        <v/>
      </c>
      <c r="O5" s="7" t="n"/>
      <c r="U5" s="7" t="n"/>
      <c r="V5" s="7" t="n"/>
      <c r="W5" s="7">
        <f>IF($D5="","",V5*AB5/100)</f>
        <v/>
      </c>
      <c r="X5" s="7">
        <f>IF($D5="","",V5-W5)</f>
        <v/>
      </c>
      <c r="Y5" s="7">
        <f>IF($D5="","",X5-N5)</f>
        <v/>
      </c>
      <c r="AB5">
        <f>IF($D5="","",IF($AN5=1,0,IF($AM5=1,Settings!$C$6,Settings!$C$7))*100)</f>
        <v/>
      </c>
      <c r="AF5" s="7" t="n"/>
      <c r="AI5" s="11" t="n"/>
      <c r="AK5">
        <f>IF($D5="","",IF(COUNTIF($D$2:$D5,$D5)=1,1,0))</f>
        <v/>
      </c>
      <c r="AL5">
        <f>IF($AK5=1,SUMPRODUCT(--($AO$2:$AO$1501&lt;$AO5))+1,"")</f>
        <v/>
      </c>
      <c r="AM5">
        <f>IF($D5="","",IF(OR($R5=TRUE(),$R5="TRUE"),1,0))</f>
        <v/>
      </c>
      <c r="AN5">
        <f>IF($D5="","",IF($AA5="Yes",1,0))</f>
        <v/>
      </c>
      <c r="AO5">
        <f>IF($AK5=1,IFERROR(IF(VALUE($D5)&lt;100000000,VALUE($D5),1000000000),IFERROR(IF(VALUE(MID($D5,2,20))&lt;100000000,VALUE(MID($D5,2,20)),1000000000),1000000000))+ROW()/100000,"")</f>
        <v/>
      </c>
    </row>
    <row r="6">
      <c r="F6" s="11" t="n"/>
      <c r="N6" s="7">
        <f>IF($D6="","",M6*V6/100)</f>
        <v/>
      </c>
      <c r="O6" s="7" t="n"/>
      <c r="U6" s="7" t="n"/>
      <c r="V6" s="7" t="n"/>
      <c r="W6" s="7">
        <f>IF($D6="","",V6*AB6/100)</f>
        <v/>
      </c>
      <c r="X6" s="7">
        <f>IF($D6="","",V6-W6)</f>
        <v/>
      </c>
      <c r="Y6" s="7">
        <f>IF($D6="","",X6-N6)</f>
        <v/>
      </c>
      <c r="AB6">
        <f>IF($D6="","",IF($AN6=1,0,IF($AM6=1,Settings!$C$6,Settings!$C$7))*100)</f>
        <v/>
      </c>
      <c r="AF6" s="7" t="n"/>
      <c r="AI6" s="11" t="n"/>
      <c r="AK6">
        <f>IF($D6="","",IF(COUNTIF($D$2:$D6,$D6)=1,1,0))</f>
        <v/>
      </c>
      <c r="AL6">
        <f>IF($AK6=1,SUMPRODUCT(--($AO$2:$AO$1501&lt;$AO6))+1,"")</f>
        <v/>
      </c>
      <c r="AM6">
        <f>IF($D6="","",IF(OR($R6=TRUE(),$R6="TRUE"),1,0))</f>
        <v/>
      </c>
      <c r="AN6">
        <f>IF($D6="","",IF($AA6="Yes",1,0))</f>
        <v/>
      </c>
      <c r="AO6">
        <f>IF($AK6=1,IFERROR(IF(VALUE($D6)&lt;100000000,VALUE($D6),1000000000),IFERROR(IF(VALUE(MID($D6,2,20))&lt;100000000,VALUE(MID($D6,2,20)),1000000000),1000000000))+ROW()/100000,"")</f>
        <v/>
      </c>
    </row>
    <row r="7">
      <c r="F7" s="11" t="n"/>
      <c r="N7" s="7">
        <f>IF($D7="","",M7*V7/100)</f>
        <v/>
      </c>
      <c r="O7" s="7" t="n"/>
      <c r="U7" s="7" t="n"/>
      <c r="V7" s="7" t="n"/>
      <c r="W7" s="7">
        <f>IF($D7="","",V7*AB7/100)</f>
        <v/>
      </c>
      <c r="X7" s="7">
        <f>IF($D7="","",V7-W7)</f>
        <v/>
      </c>
      <c r="Y7" s="7">
        <f>IF($D7="","",X7-N7)</f>
        <v/>
      </c>
      <c r="AB7">
        <f>IF($D7="","",IF($AN7=1,0,IF($AM7=1,Settings!$C$6,Settings!$C$7))*100)</f>
        <v/>
      </c>
      <c r="AF7" s="7" t="n"/>
      <c r="AI7" s="11" t="n"/>
      <c r="AK7">
        <f>IF($D7="","",IF(COUNTIF($D$2:$D7,$D7)=1,1,0))</f>
        <v/>
      </c>
      <c r="AL7">
        <f>IF($AK7=1,SUMPRODUCT(--($AO$2:$AO$1501&lt;$AO7))+1,"")</f>
        <v/>
      </c>
      <c r="AM7">
        <f>IF($D7="","",IF(OR($R7=TRUE(),$R7="TRUE"),1,0))</f>
        <v/>
      </c>
      <c r="AN7">
        <f>IF($D7="","",IF($AA7="Yes",1,0))</f>
        <v/>
      </c>
      <c r="AO7">
        <f>IF($AK7=1,IFERROR(IF(VALUE($D7)&lt;100000000,VALUE($D7),1000000000),IFERROR(IF(VALUE(MID($D7,2,20))&lt;100000000,VALUE(MID($D7,2,20)),1000000000),1000000000))+ROW()/100000,"")</f>
        <v/>
      </c>
    </row>
    <row r="8">
      <c r="F8" s="11" t="n"/>
      <c r="N8" s="7">
        <f>IF($D8="","",M8*V8/100)</f>
        <v/>
      </c>
      <c r="O8" s="7" t="n"/>
      <c r="U8" s="7" t="n"/>
      <c r="V8" s="7" t="n"/>
      <c r="W8" s="7">
        <f>IF($D8="","",V8*AB8/100)</f>
        <v/>
      </c>
      <c r="X8" s="7">
        <f>IF($D8="","",V8-W8)</f>
        <v/>
      </c>
      <c r="Y8" s="7">
        <f>IF($D8="","",X8-N8)</f>
        <v/>
      </c>
      <c r="AB8">
        <f>IF($D8="","",IF($AN8=1,0,IF($AM8=1,Settings!$C$6,Settings!$C$7))*100)</f>
        <v/>
      </c>
      <c r="AF8" s="7" t="n"/>
      <c r="AI8" s="11" t="n"/>
      <c r="AK8">
        <f>IF($D8="","",IF(COUNTIF($D$2:$D8,$D8)=1,1,0))</f>
        <v/>
      </c>
      <c r="AL8">
        <f>IF($AK8=1,SUMPRODUCT(--($AO$2:$AO$1501&lt;$AO8))+1,"")</f>
        <v/>
      </c>
      <c r="AM8">
        <f>IF($D8="","",IF(OR($R8=TRUE(),$R8="TRUE"),1,0))</f>
        <v/>
      </c>
      <c r="AN8">
        <f>IF($D8="","",IF($AA8="Yes",1,0))</f>
        <v/>
      </c>
      <c r="AO8">
        <f>IF($AK8=1,IFERROR(IF(VALUE($D8)&lt;100000000,VALUE($D8),1000000000),IFERROR(IF(VALUE(MID($D8,2,20))&lt;100000000,VALUE(MID($D8,2,20)),1000000000),1000000000))+ROW()/100000,"")</f>
        <v/>
      </c>
    </row>
    <row r="9">
      <c r="F9" s="11" t="n"/>
      <c r="N9" s="7">
        <f>IF($D9="","",M9*V9/100)</f>
        <v/>
      </c>
      <c r="O9" s="7" t="n"/>
      <c r="U9" s="7" t="n"/>
      <c r="V9" s="7" t="n"/>
      <c r="W9" s="7">
        <f>IF($D9="","",V9*AB9/100)</f>
        <v/>
      </c>
      <c r="X9" s="7">
        <f>IF($D9="","",V9-W9)</f>
        <v/>
      </c>
      <c r="Y9" s="7">
        <f>IF($D9="","",X9-N9)</f>
        <v/>
      </c>
      <c r="AB9">
        <f>IF($D9="","",IF($AN9=1,0,IF($AM9=1,Settings!$C$6,Settings!$C$7))*100)</f>
        <v/>
      </c>
      <c r="AF9" s="7" t="n"/>
      <c r="AI9" s="11" t="n"/>
      <c r="AK9">
        <f>IF($D9="","",IF(COUNTIF($D$2:$D9,$D9)=1,1,0))</f>
        <v/>
      </c>
      <c r="AL9">
        <f>IF($AK9=1,SUMPRODUCT(--($AO$2:$AO$1501&lt;$AO9))+1,"")</f>
        <v/>
      </c>
      <c r="AM9">
        <f>IF($D9="","",IF(OR($R9=TRUE(),$R9="TRUE"),1,0))</f>
        <v/>
      </c>
      <c r="AN9">
        <f>IF($D9="","",IF($AA9="Yes",1,0))</f>
        <v/>
      </c>
      <c r="AO9">
        <f>IF($AK9=1,IFERROR(IF(VALUE($D9)&lt;100000000,VALUE($D9),1000000000),IFERROR(IF(VALUE(MID($D9,2,20))&lt;100000000,VALUE(MID($D9,2,20)),1000000000),1000000000))+ROW()/100000,"")</f>
        <v/>
      </c>
    </row>
    <row r="10">
      <c r="F10" s="11" t="n"/>
      <c r="N10" s="7">
        <f>IF($D10="","",M10*V10/100)</f>
        <v/>
      </c>
      <c r="O10" s="7" t="n"/>
      <c r="U10" s="7" t="n"/>
      <c r="V10" s="7" t="n"/>
      <c r="W10" s="7">
        <f>IF($D10="","",V10*AB10/100)</f>
        <v/>
      </c>
      <c r="X10" s="7">
        <f>IF($D10="","",V10-W10)</f>
        <v/>
      </c>
      <c r="Y10" s="7">
        <f>IF($D10="","",X10-N10)</f>
        <v/>
      </c>
      <c r="AB10">
        <f>IF($D10="","",IF($AN10=1,0,IF($AM10=1,Settings!$C$6,Settings!$C$7))*100)</f>
        <v/>
      </c>
      <c r="AF10" s="7" t="n"/>
      <c r="AI10" s="11" t="n"/>
      <c r="AK10">
        <f>IF($D10="","",IF(COUNTIF($D$2:$D10,$D10)=1,1,0))</f>
        <v/>
      </c>
      <c r="AL10">
        <f>IF($AK10=1,SUMPRODUCT(--($AO$2:$AO$1501&lt;$AO10))+1,"")</f>
        <v/>
      </c>
      <c r="AM10">
        <f>IF($D10="","",IF(OR($R10=TRUE(),$R10="TRUE"),1,0))</f>
        <v/>
      </c>
      <c r="AN10">
        <f>IF($D10="","",IF($AA10="Yes",1,0))</f>
        <v/>
      </c>
      <c r="AO10">
        <f>IF($AK10=1,IFERROR(IF(VALUE($D10)&lt;100000000,VALUE($D10),1000000000),IFERROR(IF(VALUE(MID($D10,2,20))&lt;100000000,VALUE(MID($D10,2,20)),1000000000),1000000000))+ROW()/100000,"")</f>
        <v/>
      </c>
    </row>
    <row r="11">
      <c r="F11" s="11" t="n"/>
      <c r="N11" s="7">
        <f>IF($D11="","",M11*V11/100)</f>
        <v/>
      </c>
      <c r="O11" s="7" t="n"/>
      <c r="U11" s="7" t="n"/>
      <c r="V11" s="7" t="n"/>
      <c r="W11" s="7">
        <f>IF($D11="","",V11*AB11/100)</f>
        <v/>
      </c>
      <c r="X11" s="7">
        <f>IF($D11="","",V11-W11)</f>
        <v/>
      </c>
      <c r="Y11" s="7">
        <f>IF($D11="","",X11-N11)</f>
        <v/>
      </c>
      <c r="AB11">
        <f>IF($D11="","",IF($AN11=1,0,IF($AM11=1,Settings!$C$6,Settings!$C$7))*100)</f>
        <v/>
      </c>
      <c r="AF11" s="7" t="n"/>
      <c r="AI11" s="11" t="n"/>
      <c r="AK11">
        <f>IF($D11="","",IF(COUNTIF($D$2:$D11,$D11)=1,1,0))</f>
        <v/>
      </c>
      <c r="AL11">
        <f>IF($AK11=1,SUMPRODUCT(--($AO$2:$AO$1501&lt;$AO11))+1,"")</f>
        <v/>
      </c>
      <c r="AM11">
        <f>IF($D11="","",IF(OR($R11=TRUE(),$R11="TRUE"),1,0))</f>
        <v/>
      </c>
      <c r="AN11">
        <f>IF($D11="","",IF($AA11="Yes",1,0))</f>
        <v/>
      </c>
      <c r="AO11">
        <f>IF($AK11=1,IFERROR(IF(VALUE($D11)&lt;100000000,VALUE($D11),1000000000),IFERROR(IF(VALUE(MID($D11,2,20))&lt;100000000,VALUE(MID($D11,2,20)),1000000000),1000000000))+ROW()/100000,"")</f>
        <v/>
      </c>
    </row>
    <row r="12">
      <c r="F12" s="11" t="n"/>
      <c r="N12" s="7">
        <f>IF($D12="","",M12*V12/100)</f>
        <v/>
      </c>
      <c r="O12" s="7" t="n"/>
      <c r="U12" s="7" t="n"/>
      <c r="V12" s="7" t="n"/>
      <c r="W12" s="7">
        <f>IF($D12="","",V12*AB12/100)</f>
        <v/>
      </c>
      <c r="X12" s="7">
        <f>IF($D12="","",V12-W12)</f>
        <v/>
      </c>
      <c r="Y12" s="7">
        <f>IF($D12="","",X12-N12)</f>
        <v/>
      </c>
      <c r="AB12">
        <f>IF($D12="","",IF($AN12=1,0,IF($AM12=1,Settings!$C$6,Settings!$C$7))*100)</f>
        <v/>
      </c>
      <c r="AF12" s="7" t="n"/>
      <c r="AI12" s="11" t="n"/>
      <c r="AK12">
        <f>IF($D12="","",IF(COUNTIF($D$2:$D12,$D12)=1,1,0))</f>
        <v/>
      </c>
      <c r="AL12">
        <f>IF($AK12=1,SUMPRODUCT(--($AO$2:$AO$1501&lt;$AO12))+1,"")</f>
        <v/>
      </c>
      <c r="AM12">
        <f>IF($D12="","",IF(OR($R12=TRUE(),$R12="TRUE"),1,0))</f>
        <v/>
      </c>
      <c r="AN12">
        <f>IF($D12="","",IF($AA12="Yes",1,0))</f>
        <v/>
      </c>
      <c r="AO12">
        <f>IF($AK12=1,IFERROR(IF(VALUE($D12)&lt;100000000,VALUE($D12),1000000000),IFERROR(IF(VALUE(MID($D12,2,20))&lt;100000000,VALUE(MID($D12,2,20)),1000000000),1000000000))+ROW()/100000,"")</f>
        <v/>
      </c>
    </row>
    <row r="13">
      <c r="F13" s="11" t="n"/>
      <c r="N13" s="7">
        <f>IF($D13="","",M13*V13/100)</f>
        <v/>
      </c>
      <c r="O13" s="7" t="n"/>
      <c r="U13" s="7" t="n"/>
      <c r="V13" s="7" t="n"/>
      <c r="W13" s="7">
        <f>IF($D13="","",V13*AB13/100)</f>
        <v/>
      </c>
      <c r="X13" s="7">
        <f>IF($D13="","",V13-W13)</f>
        <v/>
      </c>
      <c r="Y13" s="7">
        <f>IF($D13="","",X13-N13)</f>
        <v/>
      </c>
      <c r="AB13">
        <f>IF($D13="","",IF($AN13=1,0,IF($AM13=1,Settings!$C$6,Settings!$C$7))*100)</f>
        <v/>
      </c>
      <c r="AF13" s="7" t="n"/>
      <c r="AI13" s="11" t="n"/>
      <c r="AK13">
        <f>IF($D13="","",IF(COUNTIF($D$2:$D13,$D13)=1,1,0))</f>
        <v/>
      </c>
      <c r="AL13">
        <f>IF($AK13=1,SUMPRODUCT(--($AO$2:$AO$1501&lt;$AO13))+1,"")</f>
        <v/>
      </c>
      <c r="AM13">
        <f>IF($D13="","",IF(OR($R13=TRUE(),$R13="TRUE"),1,0))</f>
        <v/>
      </c>
      <c r="AN13">
        <f>IF($D13="","",IF($AA13="Yes",1,0))</f>
        <v/>
      </c>
      <c r="AO13">
        <f>IF($AK13=1,IFERROR(IF(VALUE($D13)&lt;100000000,VALUE($D13),1000000000),IFERROR(IF(VALUE(MID($D13,2,20))&lt;100000000,VALUE(MID($D13,2,20)),1000000000),1000000000))+ROW()/100000,"")</f>
        <v/>
      </c>
    </row>
    <row r="14">
      <c r="F14" s="11" t="n"/>
      <c r="N14" s="7">
        <f>IF($D14="","",M14*V14/100)</f>
        <v/>
      </c>
      <c r="O14" s="7" t="n"/>
      <c r="U14" s="7" t="n"/>
      <c r="V14" s="7" t="n"/>
      <c r="W14" s="7">
        <f>IF($D14="","",V14*AB14/100)</f>
        <v/>
      </c>
      <c r="X14" s="7">
        <f>IF($D14="","",V14-W14)</f>
        <v/>
      </c>
      <c r="Y14" s="7">
        <f>IF($D14="","",X14-N14)</f>
        <v/>
      </c>
      <c r="AB14">
        <f>IF($D14="","",IF($AN14=1,0,IF($AM14=1,Settings!$C$6,Settings!$C$7))*100)</f>
        <v/>
      </c>
      <c r="AF14" s="7" t="n"/>
      <c r="AI14" s="11" t="n"/>
      <c r="AK14">
        <f>IF($D14="","",IF(COUNTIF($D$2:$D14,$D14)=1,1,0))</f>
        <v/>
      </c>
      <c r="AL14">
        <f>IF($AK14=1,SUMPRODUCT(--($AO$2:$AO$1501&lt;$AO14))+1,"")</f>
        <v/>
      </c>
      <c r="AM14">
        <f>IF($D14="","",IF(OR($R14=TRUE(),$R14="TRUE"),1,0))</f>
        <v/>
      </c>
      <c r="AN14">
        <f>IF($D14="","",IF($AA14="Yes",1,0))</f>
        <v/>
      </c>
      <c r="AO14">
        <f>IF($AK14=1,IFERROR(IF(VALUE($D14)&lt;100000000,VALUE($D14),1000000000),IFERROR(IF(VALUE(MID($D14,2,20))&lt;100000000,VALUE(MID($D14,2,20)),1000000000),1000000000))+ROW()/100000,"")</f>
        <v/>
      </c>
    </row>
    <row r="15">
      <c r="F15" s="11" t="n"/>
      <c r="N15" s="7">
        <f>IF($D15="","",M15*V15/100)</f>
        <v/>
      </c>
      <c r="O15" s="7" t="n"/>
      <c r="U15" s="7" t="n"/>
      <c r="V15" s="7" t="n"/>
      <c r="W15" s="7">
        <f>IF($D15="","",V15*AB15/100)</f>
        <v/>
      </c>
      <c r="X15" s="7">
        <f>IF($D15="","",V15-W15)</f>
        <v/>
      </c>
      <c r="Y15" s="7">
        <f>IF($D15="","",X15-N15)</f>
        <v/>
      </c>
      <c r="AB15">
        <f>IF($D15="","",IF($AN15=1,0,IF($AM15=1,Settings!$C$6,Settings!$C$7))*100)</f>
        <v/>
      </c>
      <c r="AF15" s="7" t="n"/>
      <c r="AI15" s="11" t="n"/>
      <c r="AK15">
        <f>IF($D15="","",IF(COUNTIF($D$2:$D15,$D15)=1,1,0))</f>
        <v/>
      </c>
      <c r="AL15">
        <f>IF($AK15=1,SUMPRODUCT(--($AO$2:$AO$1501&lt;$AO15))+1,"")</f>
        <v/>
      </c>
      <c r="AM15">
        <f>IF($D15="","",IF(OR($R15=TRUE(),$R15="TRUE"),1,0))</f>
        <v/>
      </c>
      <c r="AN15">
        <f>IF($D15="","",IF($AA15="Yes",1,0))</f>
        <v/>
      </c>
      <c r="AO15">
        <f>IF($AK15=1,IFERROR(IF(VALUE($D15)&lt;100000000,VALUE($D15),1000000000),IFERROR(IF(VALUE(MID($D15,2,20))&lt;100000000,VALUE(MID($D15,2,20)),1000000000),1000000000))+ROW()/100000,"")</f>
        <v/>
      </c>
    </row>
    <row r="16">
      <c r="F16" s="11" t="n"/>
      <c r="N16" s="7">
        <f>IF($D16="","",M16*V16/100)</f>
        <v/>
      </c>
      <c r="O16" s="7" t="n"/>
      <c r="U16" s="7" t="n"/>
      <c r="V16" s="7" t="n"/>
      <c r="W16" s="7">
        <f>IF($D16="","",V16*AB16/100)</f>
        <v/>
      </c>
      <c r="X16" s="7">
        <f>IF($D16="","",V16-W16)</f>
        <v/>
      </c>
      <c r="Y16" s="7">
        <f>IF($D16="","",X16-N16)</f>
        <v/>
      </c>
      <c r="AB16">
        <f>IF($D16="","",IF($AN16=1,0,IF($AM16=1,Settings!$C$6,Settings!$C$7))*100)</f>
        <v/>
      </c>
      <c r="AF16" s="7" t="n"/>
      <c r="AI16" s="11" t="n"/>
      <c r="AK16">
        <f>IF($D16="","",IF(COUNTIF($D$2:$D16,$D16)=1,1,0))</f>
        <v/>
      </c>
      <c r="AL16">
        <f>IF($AK16=1,SUMPRODUCT(--($AO$2:$AO$1501&lt;$AO16))+1,"")</f>
        <v/>
      </c>
      <c r="AM16">
        <f>IF($D16="","",IF(OR($R16=TRUE(),$R16="TRUE"),1,0))</f>
        <v/>
      </c>
      <c r="AN16">
        <f>IF($D16="","",IF($AA16="Yes",1,0))</f>
        <v/>
      </c>
      <c r="AO16">
        <f>IF($AK16=1,IFERROR(IF(VALUE($D16)&lt;100000000,VALUE($D16),1000000000),IFERROR(IF(VALUE(MID($D16,2,20))&lt;100000000,VALUE(MID($D16,2,20)),1000000000),1000000000))+ROW()/100000,"")</f>
        <v/>
      </c>
    </row>
    <row r="17">
      <c r="F17" s="11" t="n"/>
      <c r="N17" s="7">
        <f>IF($D17="","",M17*V17/100)</f>
        <v/>
      </c>
      <c r="O17" s="7" t="n"/>
      <c r="U17" s="7" t="n"/>
      <c r="V17" s="7" t="n"/>
      <c r="W17" s="7">
        <f>IF($D17="","",V17*AB17/100)</f>
        <v/>
      </c>
      <c r="X17" s="7">
        <f>IF($D17="","",V17-W17)</f>
        <v/>
      </c>
      <c r="Y17" s="7">
        <f>IF($D17="","",X17-N17)</f>
        <v/>
      </c>
      <c r="AB17">
        <f>IF($D17="","",IF($AN17=1,0,IF($AM17=1,Settings!$C$6,Settings!$C$7))*100)</f>
        <v/>
      </c>
      <c r="AF17" s="7" t="n"/>
      <c r="AI17" s="11" t="n"/>
      <c r="AK17">
        <f>IF($D17="","",IF(COUNTIF($D$2:$D17,$D17)=1,1,0))</f>
        <v/>
      </c>
      <c r="AL17">
        <f>IF($AK17=1,SUMPRODUCT(--($AO$2:$AO$1501&lt;$AO17))+1,"")</f>
        <v/>
      </c>
      <c r="AM17">
        <f>IF($D17="","",IF(OR($R17=TRUE(),$R17="TRUE"),1,0))</f>
        <v/>
      </c>
      <c r="AN17">
        <f>IF($D17="","",IF($AA17="Yes",1,0))</f>
        <v/>
      </c>
      <c r="AO17">
        <f>IF($AK17=1,IFERROR(IF(VALUE($D17)&lt;100000000,VALUE($D17),1000000000),IFERROR(IF(VALUE(MID($D17,2,20))&lt;100000000,VALUE(MID($D17,2,20)),1000000000),1000000000))+ROW()/100000,"")</f>
        <v/>
      </c>
    </row>
    <row r="18">
      <c r="F18" s="11" t="n"/>
      <c r="N18" s="7">
        <f>IF($D18="","",M18*V18/100)</f>
        <v/>
      </c>
      <c r="O18" s="7" t="n"/>
      <c r="U18" s="7" t="n"/>
      <c r="V18" s="7" t="n"/>
      <c r="W18" s="7">
        <f>IF($D18="","",V18*AB18/100)</f>
        <v/>
      </c>
      <c r="X18" s="7">
        <f>IF($D18="","",V18-W18)</f>
        <v/>
      </c>
      <c r="Y18" s="7">
        <f>IF($D18="","",X18-N18)</f>
        <v/>
      </c>
      <c r="AB18">
        <f>IF($D18="","",IF($AN18=1,0,IF($AM18=1,Settings!$C$6,Settings!$C$7))*100)</f>
        <v/>
      </c>
      <c r="AF18" s="7" t="n"/>
      <c r="AI18" s="11" t="n"/>
      <c r="AK18">
        <f>IF($D18="","",IF(COUNTIF($D$2:$D18,$D18)=1,1,0))</f>
        <v/>
      </c>
      <c r="AL18">
        <f>IF($AK18=1,SUMPRODUCT(--($AO$2:$AO$1501&lt;$AO18))+1,"")</f>
        <v/>
      </c>
      <c r="AM18">
        <f>IF($D18="","",IF(OR($R18=TRUE(),$R18="TRUE"),1,0))</f>
        <v/>
      </c>
      <c r="AN18">
        <f>IF($D18="","",IF($AA18="Yes",1,0))</f>
        <v/>
      </c>
      <c r="AO18">
        <f>IF($AK18=1,IFERROR(IF(VALUE($D18)&lt;100000000,VALUE($D18),1000000000),IFERROR(IF(VALUE(MID($D18,2,20))&lt;100000000,VALUE(MID($D18,2,20)),1000000000),1000000000))+ROW()/100000,"")</f>
        <v/>
      </c>
    </row>
    <row r="19">
      <c r="F19" s="11" t="n"/>
      <c r="N19" s="7">
        <f>IF($D19="","",M19*V19/100)</f>
        <v/>
      </c>
      <c r="O19" s="7" t="n"/>
      <c r="U19" s="7" t="n"/>
      <c r="V19" s="7" t="n"/>
      <c r="W19" s="7">
        <f>IF($D19="","",V19*AB19/100)</f>
        <v/>
      </c>
      <c r="X19" s="7">
        <f>IF($D19="","",V19-W19)</f>
        <v/>
      </c>
      <c r="Y19" s="7">
        <f>IF($D19="","",X19-N19)</f>
        <v/>
      </c>
      <c r="AB19">
        <f>IF($D19="","",IF($AN19=1,0,IF($AM19=1,Settings!$C$6,Settings!$C$7))*100)</f>
        <v/>
      </c>
      <c r="AF19" s="7" t="n"/>
      <c r="AI19" s="11" t="n"/>
      <c r="AK19">
        <f>IF($D19="","",IF(COUNTIF($D$2:$D19,$D19)=1,1,0))</f>
        <v/>
      </c>
      <c r="AL19">
        <f>IF($AK19=1,SUMPRODUCT(--($AO$2:$AO$1501&lt;$AO19))+1,"")</f>
        <v/>
      </c>
      <c r="AM19">
        <f>IF($D19="","",IF(OR($R19=TRUE(),$R19="TRUE"),1,0))</f>
        <v/>
      </c>
      <c r="AN19">
        <f>IF($D19="","",IF($AA19="Yes",1,0))</f>
        <v/>
      </c>
      <c r="AO19">
        <f>IF($AK19=1,IFERROR(IF(VALUE($D19)&lt;100000000,VALUE($D19),1000000000),IFERROR(IF(VALUE(MID($D19,2,20))&lt;100000000,VALUE(MID($D19,2,20)),1000000000),1000000000))+ROW()/100000,"")</f>
        <v/>
      </c>
    </row>
    <row r="20">
      <c r="F20" s="11" t="n"/>
      <c r="N20" s="7">
        <f>IF($D20="","",M20*V20/100)</f>
        <v/>
      </c>
      <c r="O20" s="7" t="n"/>
      <c r="U20" s="7" t="n"/>
      <c r="V20" s="7" t="n"/>
      <c r="W20" s="7">
        <f>IF($D20="","",V20*AB20/100)</f>
        <v/>
      </c>
      <c r="X20" s="7">
        <f>IF($D20="","",V20-W20)</f>
        <v/>
      </c>
      <c r="Y20" s="7">
        <f>IF($D20="","",X20-N20)</f>
        <v/>
      </c>
      <c r="AB20">
        <f>IF($D20="","",IF($AN20=1,0,IF($AM20=1,Settings!$C$6,Settings!$C$7))*100)</f>
        <v/>
      </c>
      <c r="AF20" s="7" t="n"/>
      <c r="AI20" s="11" t="n"/>
      <c r="AK20">
        <f>IF($D20="","",IF(COUNTIF($D$2:$D20,$D20)=1,1,0))</f>
        <v/>
      </c>
      <c r="AL20">
        <f>IF($AK20=1,SUMPRODUCT(--($AO$2:$AO$1501&lt;$AO20))+1,"")</f>
        <v/>
      </c>
      <c r="AM20">
        <f>IF($D20="","",IF(OR($R20=TRUE(),$R20="TRUE"),1,0))</f>
        <v/>
      </c>
      <c r="AN20">
        <f>IF($D20="","",IF($AA20="Yes",1,0))</f>
        <v/>
      </c>
      <c r="AO20">
        <f>IF($AK20=1,IFERROR(IF(VALUE($D20)&lt;100000000,VALUE($D20),1000000000),IFERROR(IF(VALUE(MID($D20,2,20))&lt;100000000,VALUE(MID($D20,2,20)),1000000000),1000000000))+ROW()/100000,"")</f>
        <v/>
      </c>
    </row>
    <row r="21">
      <c r="F21" s="11" t="n"/>
      <c r="N21" s="7">
        <f>IF($D21="","",M21*V21/100)</f>
        <v/>
      </c>
      <c r="O21" s="7" t="n"/>
      <c r="U21" s="7" t="n"/>
      <c r="V21" s="7" t="n"/>
      <c r="W21" s="7">
        <f>IF($D21="","",V21*AB21/100)</f>
        <v/>
      </c>
      <c r="X21" s="7">
        <f>IF($D21="","",V21-W21)</f>
        <v/>
      </c>
      <c r="Y21" s="7">
        <f>IF($D21="","",X21-N21)</f>
        <v/>
      </c>
      <c r="AB21">
        <f>IF($D21="","",IF($AN21=1,0,IF($AM21=1,Settings!$C$6,Settings!$C$7))*100)</f>
        <v/>
      </c>
      <c r="AF21" s="7" t="n"/>
      <c r="AI21" s="11" t="n"/>
      <c r="AK21">
        <f>IF($D21="","",IF(COUNTIF($D$2:$D21,$D21)=1,1,0))</f>
        <v/>
      </c>
      <c r="AL21">
        <f>IF($AK21=1,SUMPRODUCT(--($AO$2:$AO$1501&lt;$AO21))+1,"")</f>
        <v/>
      </c>
      <c r="AM21">
        <f>IF($D21="","",IF(OR($R21=TRUE(),$R21="TRUE"),1,0))</f>
        <v/>
      </c>
      <c r="AN21">
        <f>IF($D21="","",IF($AA21="Yes",1,0))</f>
        <v/>
      </c>
      <c r="AO21">
        <f>IF($AK21=1,IFERROR(IF(VALUE($D21)&lt;100000000,VALUE($D21),1000000000),IFERROR(IF(VALUE(MID($D21,2,20))&lt;100000000,VALUE(MID($D21,2,20)),1000000000),1000000000))+ROW()/100000,"")</f>
        <v/>
      </c>
    </row>
    <row r="22">
      <c r="F22" s="11" t="n"/>
      <c r="N22" s="7">
        <f>IF($D22="","",M22*V22/100)</f>
        <v/>
      </c>
      <c r="O22" s="7" t="n"/>
      <c r="U22" s="7" t="n"/>
      <c r="V22" s="7" t="n"/>
      <c r="W22" s="7">
        <f>IF($D22="","",V22*AB22/100)</f>
        <v/>
      </c>
      <c r="X22" s="7">
        <f>IF($D22="","",V22-W22)</f>
        <v/>
      </c>
      <c r="Y22" s="7">
        <f>IF($D22="","",X22-N22)</f>
        <v/>
      </c>
      <c r="AB22">
        <f>IF($D22="","",IF($AN22=1,0,IF($AM22=1,Settings!$C$6,Settings!$C$7))*100)</f>
        <v/>
      </c>
      <c r="AF22" s="7" t="n"/>
      <c r="AI22" s="11" t="n"/>
      <c r="AK22">
        <f>IF($D22="","",IF(COUNTIF($D$2:$D22,$D22)=1,1,0))</f>
        <v/>
      </c>
      <c r="AL22">
        <f>IF($AK22=1,SUMPRODUCT(--($AO$2:$AO$1501&lt;$AO22))+1,"")</f>
        <v/>
      </c>
      <c r="AM22">
        <f>IF($D22="","",IF(OR($R22=TRUE(),$R22="TRUE"),1,0))</f>
        <v/>
      </c>
      <c r="AN22">
        <f>IF($D22="","",IF($AA22="Yes",1,0))</f>
        <v/>
      </c>
      <c r="AO22">
        <f>IF($AK22=1,IFERROR(IF(VALUE($D22)&lt;100000000,VALUE($D22),1000000000),IFERROR(IF(VALUE(MID($D22,2,20))&lt;100000000,VALUE(MID($D22,2,20)),1000000000),1000000000))+ROW()/100000,"")</f>
        <v/>
      </c>
    </row>
    <row r="23">
      <c r="F23" s="11" t="n"/>
      <c r="N23" s="7">
        <f>IF($D23="","",M23*V23/100)</f>
        <v/>
      </c>
      <c r="O23" s="7" t="n"/>
      <c r="U23" s="7" t="n"/>
      <c r="V23" s="7" t="n"/>
      <c r="W23" s="7">
        <f>IF($D23="","",V23*AB23/100)</f>
        <v/>
      </c>
      <c r="X23" s="7">
        <f>IF($D23="","",V23-W23)</f>
        <v/>
      </c>
      <c r="Y23" s="7">
        <f>IF($D23="","",X23-N23)</f>
        <v/>
      </c>
      <c r="AB23">
        <f>IF($D23="","",IF($AN23=1,0,IF($AM23=1,Settings!$C$6,Settings!$C$7))*100)</f>
        <v/>
      </c>
      <c r="AF23" s="7" t="n"/>
      <c r="AI23" s="11" t="n"/>
      <c r="AK23">
        <f>IF($D23="","",IF(COUNTIF($D$2:$D23,$D23)=1,1,0))</f>
        <v/>
      </c>
      <c r="AL23">
        <f>IF($AK23=1,SUMPRODUCT(--($AO$2:$AO$1501&lt;$AO23))+1,"")</f>
        <v/>
      </c>
      <c r="AM23">
        <f>IF($D23="","",IF(OR($R23=TRUE(),$R23="TRUE"),1,0))</f>
        <v/>
      </c>
      <c r="AN23">
        <f>IF($D23="","",IF($AA23="Yes",1,0))</f>
        <v/>
      </c>
      <c r="AO23">
        <f>IF($AK23=1,IFERROR(IF(VALUE($D23)&lt;100000000,VALUE($D23),1000000000),IFERROR(IF(VALUE(MID($D23,2,20))&lt;100000000,VALUE(MID($D23,2,20)),1000000000),1000000000))+ROW()/100000,"")</f>
        <v/>
      </c>
    </row>
    <row r="24">
      <c r="F24" s="11" t="n"/>
      <c r="N24" s="7">
        <f>IF($D24="","",M24*V24/100)</f>
        <v/>
      </c>
      <c r="O24" s="7" t="n"/>
      <c r="U24" s="7" t="n"/>
      <c r="V24" s="7" t="n"/>
      <c r="W24" s="7">
        <f>IF($D24="","",V24*AB24/100)</f>
        <v/>
      </c>
      <c r="X24" s="7">
        <f>IF($D24="","",V24-W24)</f>
        <v/>
      </c>
      <c r="Y24" s="7">
        <f>IF($D24="","",X24-N24)</f>
        <v/>
      </c>
      <c r="AB24">
        <f>IF($D24="","",IF($AN24=1,0,IF($AM24=1,Settings!$C$6,Settings!$C$7))*100)</f>
        <v/>
      </c>
      <c r="AF24" s="7" t="n"/>
      <c r="AI24" s="11" t="n"/>
      <c r="AK24">
        <f>IF($D24="","",IF(COUNTIF($D$2:$D24,$D24)=1,1,0))</f>
        <v/>
      </c>
      <c r="AL24">
        <f>IF($AK24=1,SUMPRODUCT(--($AO$2:$AO$1501&lt;$AO24))+1,"")</f>
        <v/>
      </c>
      <c r="AM24">
        <f>IF($D24="","",IF(OR($R24=TRUE(),$R24="TRUE"),1,0))</f>
        <v/>
      </c>
      <c r="AN24">
        <f>IF($D24="","",IF($AA24="Yes",1,0))</f>
        <v/>
      </c>
      <c r="AO24">
        <f>IF($AK24=1,IFERROR(IF(VALUE($D24)&lt;100000000,VALUE($D24),1000000000),IFERROR(IF(VALUE(MID($D24,2,20))&lt;100000000,VALUE(MID($D24,2,20)),1000000000),1000000000))+ROW()/100000,"")</f>
        <v/>
      </c>
    </row>
    <row r="25">
      <c r="F25" s="11" t="n"/>
      <c r="N25" s="7">
        <f>IF($D25="","",M25*V25/100)</f>
        <v/>
      </c>
      <c r="O25" s="7" t="n"/>
      <c r="U25" s="7" t="n"/>
      <c r="V25" s="7" t="n"/>
      <c r="W25" s="7">
        <f>IF($D25="","",V25*AB25/100)</f>
        <v/>
      </c>
      <c r="X25" s="7">
        <f>IF($D25="","",V25-W25)</f>
        <v/>
      </c>
      <c r="Y25" s="7">
        <f>IF($D25="","",X25-N25)</f>
        <v/>
      </c>
      <c r="AB25">
        <f>IF($D25="","",IF($AN25=1,0,IF($AM25=1,Settings!$C$6,Settings!$C$7))*100)</f>
        <v/>
      </c>
      <c r="AF25" s="7" t="n"/>
      <c r="AI25" s="11" t="n"/>
      <c r="AK25">
        <f>IF($D25="","",IF(COUNTIF($D$2:$D25,$D25)=1,1,0))</f>
        <v/>
      </c>
      <c r="AL25">
        <f>IF($AK25=1,SUMPRODUCT(--($AO$2:$AO$1501&lt;$AO25))+1,"")</f>
        <v/>
      </c>
      <c r="AM25">
        <f>IF($D25="","",IF(OR($R25=TRUE(),$R25="TRUE"),1,0))</f>
        <v/>
      </c>
      <c r="AN25">
        <f>IF($D25="","",IF($AA25="Yes",1,0))</f>
        <v/>
      </c>
      <c r="AO25">
        <f>IF($AK25=1,IFERROR(IF(VALUE($D25)&lt;100000000,VALUE($D25),1000000000),IFERROR(IF(VALUE(MID($D25,2,20))&lt;100000000,VALUE(MID($D25,2,20)),1000000000),1000000000))+ROW()/100000,"")</f>
        <v/>
      </c>
    </row>
    <row r="26">
      <c r="F26" s="11" t="n"/>
      <c r="N26" s="7">
        <f>IF($D26="","",M26*V26/100)</f>
        <v/>
      </c>
      <c r="O26" s="7" t="n"/>
      <c r="U26" s="7" t="n"/>
      <c r="V26" s="7" t="n"/>
      <c r="W26" s="7">
        <f>IF($D26="","",V26*AB26/100)</f>
        <v/>
      </c>
      <c r="X26" s="7">
        <f>IF($D26="","",V26-W26)</f>
        <v/>
      </c>
      <c r="Y26" s="7">
        <f>IF($D26="","",X26-N26)</f>
        <v/>
      </c>
      <c r="AB26">
        <f>IF($D26="","",IF($AN26=1,0,IF($AM26=1,Settings!$C$6,Settings!$C$7))*100)</f>
        <v/>
      </c>
      <c r="AF26" s="7" t="n"/>
      <c r="AI26" s="11" t="n"/>
      <c r="AK26">
        <f>IF($D26="","",IF(COUNTIF($D$2:$D26,$D26)=1,1,0))</f>
        <v/>
      </c>
      <c r="AL26">
        <f>IF($AK26=1,SUMPRODUCT(--($AO$2:$AO$1501&lt;$AO26))+1,"")</f>
        <v/>
      </c>
      <c r="AM26">
        <f>IF($D26="","",IF(OR($R26=TRUE(),$R26="TRUE"),1,0))</f>
        <v/>
      </c>
      <c r="AN26">
        <f>IF($D26="","",IF($AA26="Yes",1,0))</f>
        <v/>
      </c>
      <c r="AO26">
        <f>IF($AK26=1,IFERROR(IF(VALUE($D26)&lt;100000000,VALUE($D26),1000000000),IFERROR(IF(VALUE(MID($D26,2,20))&lt;100000000,VALUE(MID($D26,2,20)),1000000000),1000000000))+ROW()/100000,"")</f>
        <v/>
      </c>
    </row>
    <row r="27">
      <c r="F27" s="11" t="n"/>
      <c r="N27" s="7">
        <f>IF($D27="","",M27*V27/100)</f>
        <v/>
      </c>
      <c r="O27" s="7" t="n"/>
      <c r="U27" s="7" t="n"/>
      <c r="V27" s="7" t="n"/>
      <c r="W27" s="7">
        <f>IF($D27="","",V27*AB27/100)</f>
        <v/>
      </c>
      <c r="X27" s="7">
        <f>IF($D27="","",V27-W27)</f>
        <v/>
      </c>
      <c r="Y27" s="7">
        <f>IF($D27="","",X27-N27)</f>
        <v/>
      </c>
      <c r="AB27">
        <f>IF($D27="","",IF($AN27=1,0,IF($AM27=1,Settings!$C$6,Settings!$C$7))*100)</f>
        <v/>
      </c>
      <c r="AF27" s="7" t="n"/>
      <c r="AI27" s="11" t="n"/>
      <c r="AK27">
        <f>IF($D27="","",IF(COUNTIF($D$2:$D27,$D27)=1,1,0))</f>
        <v/>
      </c>
      <c r="AL27">
        <f>IF($AK27=1,SUMPRODUCT(--($AO$2:$AO$1501&lt;$AO27))+1,"")</f>
        <v/>
      </c>
      <c r="AM27">
        <f>IF($D27="","",IF(OR($R27=TRUE(),$R27="TRUE"),1,0))</f>
        <v/>
      </c>
      <c r="AN27">
        <f>IF($D27="","",IF($AA27="Yes",1,0))</f>
        <v/>
      </c>
      <c r="AO27">
        <f>IF($AK27=1,IFERROR(IF(VALUE($D27)&lt;100000000,VALUE($D27),1000000000),IFERROR(IF(VALUE(MID($D27,2,20))&lt;100000000,VALUE(MID($D27,2,20)),1000000000),1000000000))+ROW()/100000,"")</f>
        <v/>
      </c>
    </row>
    <row r="28">
      <c r="F28" s="11" t="n"/>
      <c r="N28" s="7">
        <f>IF($D28="","",M28*V28/100)</f>
        <v/>
      </c>
      <c r="O28" s="7" t="n"/>
      <c r="U28" s="7" t="n"/>
      <c r="V28" s="7" t="n"/>
      <c r="W28" s="7">
        <f>IF($D28="","",V28*AB28/100)</f>
        <v/>
      </c>
      <c r="X28" s="7">
        <f>IF($D28="","",V28-W28)</f>
        <v/>
      </c>
      <c r="Y28" s="7">
        <f>IF($D28="","",X28-N28)</f>
        <v/>
      </c>
      <c r="AB28">
        <f>IF($D28="","",IF($AN28=1,0,IF($AM28=1,Settings!$C$6,Settings!$C$7))*100)</f>
        <v/>
      </c>
      <c r="AF28" s="7" t="n"/>
      <c r="AI28" s="11" t="n"/>
      <c r="AK28">
        <f>IF($D28="","",IF(COUNTIF($D$2:$D28,$D28)=1,1,0))</f>
        <v/>
      </c>
      <c r="AL28">
        <f>IF($AK28=1,SUMPRODUCT(--($AO$2:$AO$1501&lt;$AO28))+1,"")</f>
        <v/>
      </c>
      <c r="AM28">
        <f>IF($D28="","",IF(OR($R28=TRUE(),$R28="TRUE"),1,0))</f>
        <v/>
      </c>
      <c r="AN28">
        <f>IF($D28="","",IF($AA28="Yes",1,0))</f>
        <v/>
      </c>
      <c r="AO28">
        <f>IF($AK28=1,IFERROR(IF(VALUE($D28)&lt;100000000,VALUE($D28),1000000000),IFERROR(IF(VALUE(MID($D28,2,20))&lt;100000000,VALUE(MID($D28,2,20)),1000000000),1000000000))+ROW()/100000,"")</f>
        <v/>
      </c>
    </row>
    <row r="29">
      <c r="F29" s="11" t="n"/>
      <c r="N29" s="7">
        <f>IF($D29="","",M29*V29/100)</f>
        <v/>
      </c>
      <c r="O29" s="7" t="n"/>
      <c r="U29" s="7" t="n"/>
      <c r="V29" s="7" t="n"/>
      <c r="W29" s="7">
        <f>IF($D29="","",V29*AB29/100)</f>
        <v/>
      </c>
      <c r="X29" s="7">
        <f>IF($D29="","",V29-W29)</f>
        <v/>
      </c>
      <c r="Y29" s="7">
        <f>IF($D29="","",X29-N29)</f>
        <v/>
      </c>
      <c r="AB29">
        <f>IF($D29="","",IF($AN29=1,0,IF($AM29=1,Settings!$C$6,Settings!$C$7))*100)</f>
        <v/>
      </c>
      <c r="AF29" s="7" t="n"/>
      <c r="AI29" s="11" t="n"/>
      <c r="AK29">
        <f>IF($D29="","",IF(COUNTIF($D$2:$D29,$D29)=1,1,0))</f>
        <v/>
      </c>
      <c r="AL29">
        <f>IF($AK29=1,SUMPRODUCT(--($AO$2:$AO$1501&lt;$AO29))+1,"")</f>
        <v/>
      </c>
      <c r="AM29">
        <f>IF($D29="","",IF(OR($R29=TRUE(),$R29="TRUE"),1,0))</f>
        <v/>
      </c>
      <c r="AN29">
        <f>IF($D29="","",IF($AA29="Yes",1,0))</f>
        <v/>
      </c>
      <c r="AO29">
        <f>IF($AK29=1,IFERROR(IF(VALUE($D29)&lt;100000000,VALUE($D29),1000000000),IFERROR(IF(VALUE(MID($D29,2,20))&lt;100000000,VALUE(MID($D29,2,20)),1000000000),1000000000))+ROW()/100000,"")</f>
        <v/>
      </c>
    </row>
    <row r="30">
      <c r="F30" s="11" t="n"/>
      <c r="N30" s="7">
        <f>IF($D30="","",M30*V30/100)</f>
        <v/>
      </c>
      <c r="O30" s="7" t="n"/>
      <c r="U30" s="7" t="n"/>
      <c r="V30" s="7" t="n"/>
      <c r="W30" s="7">
        <f>IF($D30="","",V30*AB30/100)</f>
        <v/>
      </c>
      <c r="X30" s="7">
        <f>IF($D30="","",V30-W30)</f>
        <v/>
      </c>
      <c r="Y30" s="7">
        <f>IF($D30="","",X30-N30)</f>
        <v/>
      </c>
      <c r="AB30">
        <f>IF($D30="","",IF($AN30=1,0,IF($AM30=1,Settings!$C$6,Settings!$C$7))*100)</f>
        <v/>
      </c>
      <c r="AF30" s="7" t="n"/>
      <c r="AI30" s="11" t="n"/>
      <c r="AK30">
        <f>IF($D30="","",IF(COUNTIF($D$2:$D30,$D30)=1,1,0))</f>
        <v/>
      </c>
      <c r="AL30">
        <f>IF($AK30=1,SUMPRODUCT(--($AO$2:$AO$1501&lt;$AO30))+1,"")</f>
        <v/>
      </c>
      <c r="AM30">
        <f>IF($D30="","",IF(OR($R30=TRUE(),$R30="TRUE"),1,0))</f>
        <v/>
      </c>
      <c r="AN30">
        <f>IF($D30="","",IF($AA30="Yes",1,0))</f>
        <v/>
      </c>
      <c r="AO30">
        <f>IF($AK30=1,IFERROR(IF(VALUE($D30)&lt;100000000,VALUE($D30),1000000000),IFERROR(IF(VALUE(MID($D30,2,20))&lt;100000000,VALUE(MID($D30,2,20)),1000000000),1000000000))+ROW()/100000,"")</f>
        <v/>
      </c>
    </row>
    <row r="31">
      <c r="F31" s="11" t="n"/>
      <c r="N31" s="7">
        <f>IF($D31="","",M31*V31/100)</f>
        <v/>
      </c>
      <c r="O31" s="7" t="n"/>
      <c r="U31" s="7" t="n"/>
      <c r="V31" s="7" t="n"/>
      <c r="W31" s="7">
        <f>IF($D31="","",V31*AB31/100)</f>
        <v/>
      </c>
      <c r="X31" s="7">
        <f>IF($D31="","",V31-W31)</f>
        <v/>
      </c>
      <c r="Y31" s="7">
        <f>IF($D31="","",X31-N31)</f>
        <v/>
      </c>
      <c r="AB31">
        <f>IF($D31="","",IF($AN31=1,0,IF($AM31=1,Settings!$C$6,Settings!$C$7))*100)</f>
        <v/>
      </c>
      <c r="AF31" s="7" t="n"/>
      <c r="AI31" s="11" t="n"/>
      <c r="AK31">
        <f>IF($D31="","",IF(COUNTIF($D$2:$D31,$D31)=1,1,0))</f>
        <v/>
      </c>
      <c r="AL31">
        <f>IF($AK31=1,SUMPRODUCT(--($AO$2:$AO$1501&lt;$AO31))+1,"")</f>
        <v/>
      </c>
      <c r="AM31">
        <f>IF($D31="","",IF(OR($R31=TRUE(),$R31="TRUE"),1,0))</f>
        <v/>
      </c>
      <c r="AN31">
        <f>IF($D31="","",IF($AA31="Yes",1,0))</f>
        <v/>
      </c>
      <c r="AO31">
        <f>IF($AK31=1,IFERROR(IF(VALUE($D31)&lt;100000000,VALUE($D31),1000000000),IFERROR(IF(VALUE(MID($D31,2,20))&lt;100000000,VALUE(MID($D31,2,20)),1000000000),1000000000))+ROW()/100000,"")</f>
        <v/>
      </c>
    </row>
    <row r="32">
      <c r="F32" s="11" t="n"/>
      <c r="N32" s="7">
        <f>IF($D32="","",M32*V32/100)</f>
        <v/>
      </c>
      <c r="O32" s="7" t="n"/>
      <c r="U32" s="7" t="n"/>
      <c r="V32" s="7" t="n"/>
      <c r="W32" s="7">
        <f>IF($D32="","",V32*AB32/100)</f>
        <v/>
      </c>
      <c r="X32" s="7">
        <f>IF($D32="","",V32-W32)</f>
        <v/>
      </c>
      <c r="Y32" s="7">
        <f>IF($D32="","",X32-N32)</f>
        <v/>
      </c>
      <c r="AB32">
        <f>IF($D32="","",IF($AN32=1,0,IF($AM32=1,Settings!$C$6,Settings!$C$7))*100)</f>
        <v/>
      </c>
      <c r="AF32" s="7" t="n"/>
      <c r="AI32" s="11" t="n"/>
      <c r="AK32">
        <f>IF($D32="","",IF(COUNTIF($D$2:$D32,$D32)=1,1,0))</f>
        <v/>
      </c>
      <c r="AL32">
        <f>IF($AK32=1,SUMPRODUCT(--($AO$2:$AO$1501&lt;$AO32))+1,"")</f>
        <v/>
      </c>
      <c r="AM32">
        <f>IF($D32="","",IF(OR($R32=TRUE(),$R32="TRUE"),1,0))</f>
        <v/>
      </c>
      <c r="AN32">
        <f>IF($D32="","",IF($AA32="Yes",1,0))</f>
        <v/>
      </c>
      <c r="AO32">
        <f>IF($AK32=1,IFERROR(IF(VALUE($D32)&lt;100000000,VALUE($D32),1000000000),IFERROR(IF(VALUE(MID($D32,2,20))&lt;100000000,VALUE(MID($D32,2,20)),1000000000),1000000000))+ROW()/100000,"")</f>
        <v/>
      </c>
    </row>
    <row r="33">
      <c r="F33" s="11" t="n"/>
      <c r="N33" s="7">
        <f>IF($D33="","",M33*V33/100)</f>
        <v/>
      </c>
      <c r="O33" s="7" t="n"/>
      <c r="U33" s="7" t="n"/>
      <c r="V33" s="7" t="n"/>
      <c r="W33" s="7">
        <f>IF($D33="","",V33*AB33/100)</f>
        <v/>
      </c>
      <c r="X33" s="7">
        <f>IF($D33="","",V33-W33)</f>
        <v/>
      </c>
      <c r="Y33" s="7">
        <f>IF($D33="","",X33-N33)</f>
        <v/>
      </c>
      <c r="AB33">
        <f>IF($D33="","",IF($AN33=1,0,IF($AM33=1,Settings!$C$6,Settings!$C$7))*100)</f>
        <v/>
      </c>
      <c r="AF33" s="7" t="n"/>
      <c r="AI33" s="11" t="n"/>
      <c r="AK33">
        <f>IF($D33="","",IF(COUNTIF($D$2:$D33,$D33)=1,1,0))</f>
        <v/>
      </c>
      <c r="AL33">
        <f>IF($AK33=1,SUMPRODUCT(--($AO$2:$AO$1501&lt;$AO33))+1,"")</f>
        <v/>
      </c>
      <c r="AM33">
        <f>IF($D33="","",IF(OR($R33=TRUE(),$R33="TRUE"),1,0))</f>
        <v/>
      </c>
      <c r="AN33">
        <f>IF($D33="","",IF($AA33="Yes",1,0))</f>
        <v/>
      </c>
      <c r="AO33">
        <f>IF($AK33=1,IFERROR(IF(VALUE($D33)&lt;100000000,VALUE($D33),1000000000),IFERROR(IF(VALUE(MID($D33,2,20))&lt;100000000,VALUE(MID($D33,2,20)),1000000000),1000000000))+ROW()/100000,"")</f>
        <v/>
      </c>
    </row>
    <row r="34">
      <c r="F34" s="11" t="n"/>
      <c r="N34" s="7">
        <f>IF($D34="","",M34*V34/100)</f>
        <v/>
      </c>
      <c r="O34" s="7" t="n"/>
      <c r="U34" s="7" t="n"/>
      <c r="V34" s="7" t="n"/>
      <c r="W34" s="7">
        <f>IF($D34="","",V34*AB34/100)</f>
        <v/>
      </c>
      <c r="X34" s="7">
        <f>IF($D34="","",V34-W34)</f>
        <v/>
      </c>
      <c r="Y34" s="7">
        <f>IF($D34="","",X34-N34)</f>
        <v/>
      </c>
      <c r="AB34">
        <f>IF($D34="","",IF($AN34=1,0,IF($AM34=1,Settings!$C$6,Settings!$C$7))*100)</f>
        <v/>
      </c>
      <c r="AF34" s="7" t="n"/>
      <c r="AI34" s="11" t="n"/>
      <c r="AK34">
        <f>IF($D34="","",IF(COUNTIF($D$2:$D34,$D34)=1,1,0))</f>
        <v/>
      </c>
      <c r="AL34">
        <f>IF($AK34=1,SUMPRODUCT(--($AO$2:$AO$1501&lt;$AO34))+1,"")</f>
        <v/>
      </c>
      <c r="AM34">
        <f>IF($D34="","",IF(OR($R34=TRUE(),$R34="TRUE"),1,0))</f>
        <v/>
      </c>
      <c r="AN34">
        <f>IF($D34="","",IF($AA34="Yes",1,0))</f>
        <v/>
      </c>
      <c r="AO34">
        <f>IF($AK34=1,IFERROR(IF(VALUE($D34)&lt;100000000,VALUE($D34),1000000000),IFERROR(IF(VALUE(MID($D34,2,20))&lt;100000000,VALUE(MID($D34,2,20)),1000000000),1000000000))+ROW()/100000,"")</f>
        <v/>
      </c>
    </row>
    <row r="35">
      <c r="F35" s="11" t="n"/>
      <c r="N35" s="7">
        <f>IF($D35="","",M35*V35/100)</f>
        <v/>
      </c>
      <c r="O35" s="7" t="n"/>
      <c r="U35" s="7" t="n"/>
      <c r="V35" s="7" t="n"/>
      <c r="W35" s="7">
        <f>IF($D35="","",V35*AB35/100)</f>
        <v/>
      </c>
      <c r="X35" s="7">
        <f>IF($D35="","",V35-W35)</f>
        <v/>
      </c>
      <c r="Y35" s="7">
        <f>IF($D35="","",X35-N35)</f>
        <v/>
      </c>
      <c r="AB35">
        <f>IF($D35="","",IF($AN35=1,0,IF($AM35=1,Settings!$C$6,Settings!$C$7))*100)</f>
        <v/>
      </c>
      <c r="AF35" s="7" t="n"/>
      <c r="AI35" s="11" t="n"/>
      <c r="AK35">
        <f>IF($D35="","",IF(COUNTIF($D$2:$D35,$D35)=1,1,0))</f>
        <v/>
      </c>
      <c r="AL35">
        <f>IF($AK35=1,SUMPRODUCT(--($AO$2:$AO$1501&lt;$AO35))+1,"")</f>
        <v/>
      </c>
      <c r="AM35">
        <f>IF($D35="","",IF(OR($R35=TRUE(),$R35="TRUE"),1,0))</f>
        <v/>
      </c>
      <c r="AN35">
        <f>IF($D35="","",IF($AA35="Yes",1,0))</f>
        <v/>
      </c>
      <c r="AO35">
        <f>IF($AK35=1,IFERROR(IF(VALUE($D35)&lt;100000000,VALUE($D35),1000000000),IFERROR(IF(VALUE(MID($D35,2,20))&lt;100000000,VALUE(MID($D35,2,20)),1000000000),1000000000))+ROW()/100000,"")</f>
        <v/>
      </c>
    </row>
    <row r="36">
      <c r="F36" s="11" t="n"/>
      <c r="N36" s="7">
        <f>IF($D36="","",M36*V36/100)</f>
        <v/>
      </c>
      <c r="O36" s="7" t="n"/>
      <c r="U36" s="7" t="n"/>
      <c r="V36" s="7" t="n"/>
      <c r="W36" s="7">
        <f>IF($D36="","",V36*AB36/100)</f>
        <v/>
      </c>
      <c r="X36" s="7">
        <f>IF($D36="","",V36-W36)</f>
        <v/>
      </c>
      <c r="Y36" s="7">
        <f>IF($D36="","",X36-N36)</f>
        <v/>
      </c>
      <c r="AB36">
        <f>IF($D36="","",IF($AN36=1,0,IF($AM36=1,Settings!$C$6,Settings!$C$7))*100)</f>
        <v/>
      </c>
      <c r="AF36" s="7" t="n"/>
      <c r="AI36" s="11" t="n"/>
      <c r="AK36">
        <f>IF($D36="","",IF(COUNTIF($D$2:$D36,$D36)=1,1,0))</f>
        <v/>
      </c>
      <c r="AL36">
        <f>IF($AK36=1,SUMPRODUCT(--($AO$2:$AO$1501&lt;$AO36))+1,"")</f>
        <v/>
      </c>
      <c r="AM36">
        <f>IF($D36="","",IF(OR($R36=TRUE(),$R36="TRUE"),1,0))</f>
        <v/>
      </c>
      <c r="AN36">
        <f>IF($D36="","",IF($AA36="Yes",1,0))</f>
        <v/>
      </c>
      <c r="AO36">
        <f>IF($AK36=1,IFERROR(IF(VALUE($D36)&lt;100000000,VALUE($D36),1000000000),IFERROR(IF(VALUE(MID($D36,2,20))&lt;100000000,VALUE(MID($D36,2,20)),1000000000),1000000000))+ROW()/100000,"")</f>
        <v/>
      </c>
    </row>
    <row r="37">
      <c r="F37" s="11" t="n"/>
      <c r="N37" s="7">
        <f>IF($D37="","",M37*V37/100)</f>
        <v/>
      </c>
      <c r="O37" s="7" t="n"/>
      <c r="U37" s="7" t="n"/>
      <c r="V37" s="7" t="n"/>
      <c r="W37" s="7">
        <f>IF($D37="","",V37*AB37/100)</f>
        <v/>
      </c>
      <c r="X37" s="7">
        <f>IF($D37="","",V37-W37)</f>
        <v/>
      </c>
      <c r="Y37" s="7">
        <f>IF($D37="","",X37-N37)</f>
        <v/>
      </c>
      <c r="AB37">
        <f>IF($D37="","",IF($AN37=1,0,IF($AM37=1,Settings!$C$6,Settings!$C$7))*100)</f>
        <v/>
      </c>
      <c r="AF37" s="7" t="n"/>
      <c r="AI37" s="11" t="n"/>
      <c r="AK37">
        <f>IF($D37="","",IF(COUNTIF($D$2:$D37,$D37)=1,1,0))</f>
        <v/>
      </c>
      <c r="AL37">
        <f>IF($AK37=1,SUMPRODUCT(--($AO$2:$AO$1501&lt;$AO37))+1,"")</f>
        <v/>
      </c>
      <c r="AM37">
        <f>IF($D37="","",IF(OR($R37=TRUE(),$R37="TRUE"),1,0))</f>
        <v/>
      </c>
      <c r="AN37">
        <f>IF($D37="","",IF($AA37="Yes",1,0))</f>
        <v/>
      </c>
      <c r="AO37">
        <f>IF($AK37=1,IFERROR(IF(VALUE($D37)&lt;100000000,VALUE($D37),1000000000),IFERROR(IF(VALUE(MID($D37,2,20))&lt;100000000,VALUE(MID($D37,2,20)),1000000000),1000000000))+ROW()/100000,"")</f>
        <v/>
      </c>
    </row>
    <row r="38">
      <c r="F38" s="11" t="n"/>
      <c r="N38" s="7">
        <f>IF($D38="","",M38*V38/100)</f>
        <v/>
      </c>
      <c r="O38" s="7" t="n"/>
      <c r="U38" s="7" t="n"/>
      <c r="V38" s="7" t="n"/>
      <c r="W38" s="7">
        <f>IF($D38="","",V38*AB38/100)</f>
        <v/>
      </c>
      <c r="X38" s="7">
        <f>IF($D38="","",V38-W38)</f>
        <v/>
      </c>
      <c r="Y38" s="7">
        <f>IF($D38="","",X38-N38)</f>
        <v/>
      </c>
      <c r="AB38">
        <f>IF($D38="","",IF($AN38=1,0,IF($AM38=1,Settings!$C$6,Settings!$C$7))*100)</f>
        <v/>
      </c>
      <c r="AF38" s="7" t="n"/>
      <c r="AI38" s="11" t="n"/>
      <c r="AK38">
        <f>IF($D38="","",IF(COUNTIF($D$2:$D38,$D38)=1,1,0))</f>
        <v/>
      </c>
      <c r="AL38">
        <f>IF($AK38=1,SUMPRODUCT(--($AO$2:$AO$1501&lt;$AO38))+1,"")</f>
        <v/>
      </c>
      <c r="AM38">
        <f>IF($D38="","",IF(OR($R38=TRUE(),$R38="TRUE"),1,0))</f>
        <v/>
      </c>
      <c r="AN38">
        <f>IF($D38="","",IF($AA38="Yes",1,0))</f>
        <v/>
      </c>
      <c r="AO38">
        <f>IF($AK38=1,IFERROR(IF(VALUE($D38)&lt;100000000,VALUE($D38),1000000000),IFERROR(IF(VALUE(MID($D38,2,20))&lt;100000000,VALUE(MID($D38,2,20)),1000000000),1000000000))+ROW()/100000,"")</f>
        <v/>
      </c>
    </row>
    <row r="39">
      <c r="F39" s="11" t="n"/>
      <c r="N39" s="7">
        <f>IF($D39="","",M39*V39/100)</f>
        <v/>
      </c>
      <c r="O39" s="7" t="n"/>
      <c r="U39" s="7" t="n"/>
      <c r="V39" s="7" t="n"/>
      <c r="W39" s="7">
        <f>IF($D39="","",V39*AB39/100)</f>
        <v/>
      </c>
      <c r="X39" s="7">
        <f>IF($D39="","",V39-W39)</f>
        <v/>
      </c>
      <c r="Y39" s="7">
        <f>IF($D39="","",X39-N39)</f>
        <v/>
      </c>
      <c r="AB39">
        <f>IF($D39="","",IF($AN39=1,0,IF($AM39=1,Settings!$C$6,Settings!$C$7))*100)</f>
        <v/>
      </c>
      <c r="AF39" s="7" t="n"/>
      <c r="AI39" s="11" t="n"/>
      <c r="AK39">
        <f>IF($D39="","",IF(COUNTIF($D$2:$D39,$D39)=1,1,0))</f>
        <v/>
      </c>
      <c r="AL39">
        <f>IF($AK39=1,SUMPRODUCT(--($AO$2:$AO$1501&lt;$AO39))+1,"")</f>
        <v/>
      </c>
      <c r="AM39">
        <f>IF($D39="","",IF(OR($R39=TRUE(),$R39="TRUE"),1,0))</f>
        <v/>
      </c>
      <c r="AN39">
        <f>IF($D39="","",IF($AA39="Yes",1,0))</f>
        <v/>
      </c>
      <c r="AO39">
        <f>IF($AK39=1,IFERROR(IF(VALUE($D39)&lt;100000000,VALUE($D39),1000000000),IFERROR(IF(VALUE(MID($D39,2,20))&lt;100000000,VALUE(MID($D39,2,20)),1000000000),1000000000))+ROW()/100000,"")</f>
        <v/>
      </c>
    </row>
    <row r="40">
      <c r="F40" s="11" t="n"/>
      <c r="N40" s="7">
        <f>IF($D40="","",M40*V40/100)</f>
        <v/>
      </c>
      <c r="O40" s="7" t="n"/>
      <c r="U40" s="7" t="n"/>
      <c r="V40" s="7" t="n"/>
      <c r="W40" s="7">
        <f>IF($D40="","",V40*AB40/100)</f>
        <v/>
      </c>
      <c r="X40" s="7">
        <f>IF($D40="","",V40-W40)</f>
        <v/>
      </c>
      <c r="Y40" s="7">
        <f>IF($D40="","",X40-N40)</f>
        <v/>
      </c>
      <c r="AB40">
        <f>IF($D40="","",IF($AN40=1,0,IF($AM40=1,Settings!$C$6,Settings!$C$7))*100)</f>
        <v/>
      </c>
      <c r="AF40" s="7" t="n"/>
      <c r="AI40" s="11" t="n"/>
      <c r="AK40">
        <f>IF($D40="","",IF(COUNTIF($D$2:$D40,$D40)=1,1,0))</f>
        <v/>
      </c>
      <c r="AL40">
        <f>IF($AK40=1,SUMPRODUCT(--($AO$2:$AO$1501&lt;$AO40))+1,"")</f>
        <v/>
      </c>
      <c r="AM40">
        <f>IF($D40="","",IF(OR($R40=TRUE(),$R40="TRUE"),1,0))</f>
        <v/>
      </c>
      <c r="AN40">
        <f>IF($D40="","",IF($AA40="Yes",1,0))</f>
        <v/>
      </c>
      <c r="AO40">
        <f>IF($AK40=1,IFERROR(IF(VALUE($D40)&lt;100000000,VALUE($D40),1000000000),IFERROR(IF(VALUE(MID($D40,2,20))&lt;100000000,VALUE(MID($D40,2,20)),1000000000),1000000000))+ROW()/100000,"")</f>
        <v/>
      </c>
    </row>
    <row r="41">
      <c r="F41" s="11" t="n"/>
      <c r="N41" s="7">
        <f>IF($D41="","",M41*V41/100)</f>
        <v/>
      </c>
      <c r="O41" s="7" t="n"/>
      <c r="U41" s="7" t="n"/>
      <c r="V41" s="7" t="n"/>
      <c r="W41" s="7">
        <f>IF($D41="","",V41*AB41/100)</f>
        <v/>
      </c>
      <c r="X41" s="7">
        <f>IF($D41="","",V41-W41)</f>
        <v/>
      </c>
      <c r="Y41" s="7">
        <f>IF($D41="","",X41-N41)</f>
        <v/>
      </c>
      <c r="AB41">
        <f>IF($D41="","",IF($AN41=1,0,IF($AM41=1,Settings!$C$6,Settings!$C$7))*100)</f>
        <v/>
      </c>
      <c r="AF41" s="7" t="n"/>
      <c r="AI41" s="11" t="n"/>
      <c r="AK41">
        <f>IF($D41="","",IF(COUNTIF($D$2:$D41,$D41)=1,1,0))</f>
        <v/>
      </c>
      <c r="AL41">
        <f>IF($AK41=1,SUMPRODUCT(--($AO$2:$AO$1501&lt;$AO41))+1,"")</f>
        <v/>
      </c>
      <c r="AM41">
        <f>IF($D41="","",IF(OR($R41=TRUE(),$R41="TRUE"),1,0))</f>
        <v/>
      </c>
      <c r="AN41">
        <f>IF($D41="","",IF($AA41="Yes",1,0))</f>
        <v/>
      </c>
      <c r="AO41">
        <f>IF($AK41=1,IFERROR(IF(VALUE($D41)&lt;100000000,VALUE($D41),1000000000),IFERROR(IF(VALUE(MID($D41,2,20))&lt;100000000,VALUE(MID($D41,2,20)),1000000000),1000000000))+ROW()/100000,"")</f>
        <v/>
      </c>
    </row>
    <row r="42">
      <c r="F42" s="11" t="n"/>
      <c r="N42" s="7">
        <f>IF($D42="","",M42*V42/100)</f>
        <v/>
      </c>
      <c r="O42" s="7" t="n"/>
      <c r="U42" s="7" t="n"/>
      <c r="V42" s="7" t="n"/>
      <c r="W42" s="7">
        <f>IF($D42="","",V42*AB42/100)</f>
        <v/>
      </c>
      <c r="X42" s="7">
        <f>IF($D42="","",V42-W42)</f>
        <v/>
      </c>
      <c r="Y42" s="7">
        <f>IF($D42="","",X42-N42)</f>
        <v/>
      </c>
      <c r="AB42">
        <f>IF($D42="","",IF($AN42=1,0,IF($AM42=1,Settings!$C$6,Settings!$C$7))*100)</f>
        <v/>
      </c>
      <c r="AF42" s="7" t="n"/>
      <c r="AI42" s="11" t="n"/>
      <c r="AK42">
        <f>IF($D42="","",IF(COUNTIF($D$2:$D42,$D42)=1,1,0))</f>
        <v/>
      </c>
      <c r="AL42">
        <f>IF($AK42=1,SUMPRODUCT(--($AO$2:$AO$1501&lt;$AO42))+1,"")</f>
        <v/>
      </c>
      <c r="AM42">
        <f>IF($D42="","",IF(OR($R42=TRUE(),$R42="TRUE"),1,0))</f>
        <v/>
      </c>
      <c r="AN42">
        <f>IF($D42="","",IF($AA42="Yes",1,0))</f>
        <v/>
      </c>
      <c r="AO42">
        <f>IF($AK42=1,IFERROR(IF(VALUE($D42)&lt;100000000,VALUE($D42),1000000000),IFERROR(IF(VALUE(MID($D42,2,20))&lt;100000000,VALUE(MID($D42,2,20)),1000000000),1000000000))+ROW()/100000,"")</f>
        <v/>
      </c>
    </row>
    <row r="43">
      <c r="F43" s="11" t="n"/>
      <c r="N43" s="7">
        <f>IF($D43="","",M43*V43/100)</f>
        <v/>
      </c>
      <c r="O43" s="7" t="n"/>
      <c r="U43" s="7" t="n"/>
      <c r="V43" s="7" t="n"/>
      <c r="W43" s="7">
        <f>IF($D43="","",V43*AB43/100)</f>
        <v/>
      </c>
      <c r="X43" s="7">
        <f>IF($D43="","",V43-W43)</f>
        <v/>
      </c>
      <c r="Y43" s="7">
        <f>IF($D43="","",X43-N43)</f>
        <v/>
      </c>
      <c r="AB43">
        <f>IF($D43="","",IF($AN43=1,0,IF($AM43=1,Settings!$C$6,Settings!$C$7))*100)</f>
        <v/>
      </c>
      <c r="AF43" s="7" t="n"/>
      <c r="AI43" s="11" t="n"/>
      <c r="AK43">
        <f>IF($D43="","",IF(COUNTIF($D$2:$D43,$D43)=1,1,0))</f>
        <v/>
      </c>
      <c r="AL43">
        <f>IF($AK43=1,SUMPRODUCT(--($AO$2:$AO$1501&lt;$AO43))+1,"")</f>
        <v/>
      </c>
      <c r="AM43">
        <f>IF($D43="","",IF(OR($R43=TRUE(),$R43="TRUE"),1,0))</f>
        <v/>
      </c>
      <c r="AN43">
        <f>IF($D43="","",IF($AA43="Yes",1,0))</f>
        <v/>
      </c>
      <c r="AO43">
        <f>IF($AK43=1,IFERROR(IF(VALUE($D43)&lt;100000000,VALUE($D43),1000000000),IFERROR(IF(VALUE(MID($D43,2,20))&lt;100000000,VALUE(MID($D43,2,20)),1000000000),1000000000))+ROW()/100000,"")</f>
        <v/>
      </c>
    </row>
    <row r="44">
      <c r="F44" s="11" t="n"/>
      <c r="N44" s="7">
        <f>IF($D44="","",M44*V44/100)</f>
        <v/>
      </c>
      <c r="O44" s="7" t="n"/>
      <c r="U44" s="7" t="n"/>
      <c r="V44" s="7" t="n"/>
      <c r="W44" s="7">
        <f>IF($D44="","",V44*AB44/100)</f>
        <v/>
      </c>
      <c r="X44" s="7">
        <f>IF($D44="","",V44-W44)</f>
        <v/>
      </c>
      <c r="Y44" s="7">
        <f>IF($D44="","",X44-N44)</f>
        <v/>
      </c>
      <c r="AB44">
        <f>IF($D44="","",IF($AN44=1,0,IF($AM44=1,Settings!$C$6,Settings!$C$7))*100)</f>
        <v/>
      </c>
      <c r="AF44" s="7" t="n"/>
      <c r="AI44" s="11" t="n"/>
      <c r="AK44">
        <f>IF($D44="","",IF(COUNTIF($D$2:$D44,$D44)=1,1,0))</f>
        <v/>
      </c>
      <c r="AL44">
        <f>IF($AK44=1,SUMPRODUCT(--($AO$2:$AO$1501&lt;$AO44))+1,"")</f>
        <v/>
      </c>
      <c r="AM44">
        <f>IF($D44="","",IF(OR($R44=TRUE(),$R44="TRUE"),1,0))</f>
        <v/>
      </c>
      <c r="AN44">
        <f>IF($D44="","",IF($AA44="Yes",1,0))</f>
        <v/>
      </c>
      <c r="AO44">
        <f>IF($AK44=1,IFERROR(IF(VALUE($D44)&lt;100000000,VALUE($D44),1000000000),IFERROR(IF(VALUE(MID($D44,2,20))&lt;100000000,VALUE(MID($D44,2,20)),1000000000),1000000000))+ROW()/100000,"")</f>
        <v/>
      </c>
    </row>
    <row r="45">
      <c r="F45" s="11" t="n"/>
      <c r="N45" s="7">
        <f>IF($D45="","",M45*V45/100)</f>
        <v/>
      </c>
      <c r="O45" s="7" t="n"/>
      <c r="U45" s="7" t="n"/>
      <c r="V45" s="7" t="n"/>
      <c r="W45" s="7">
        <f>IF($D45="","",V45*AB45/100)</f>
        <v/>
      </c>
      <c r="X45" s="7">
        <f>IF($D45="","",V45-W45)</f>
        <v/>
      </c>
      <c r="Y45" s="7">
        <f>IF($D45="","",X45-N45)</f>
        <v/>
      </c>
      <c r="AB45">
        <f>IF($D45="","",IF($AN45=1,0,IF($AM45=1,Settings!$C$6,Settings!$C$7))*100)</f>
        <v/>
      </c>
      <c r="AF45" s="7" t="n"/>
      <c r="AI45" s="11" t="n"/>
      <c r="AK45">
        <f>IF($D45="","",IF(COUNTIF($D$2:$D45,$D45)=1,1,0))</f>
        <v/>
      </c>
      <c r="AL45">
        <f>IF($AK45=1,SUMPRODUCT(--($AO$2:$AO$1501&lt;$AO45))+1,"")</f>
        <v/>
      </c>
      <c r="AM45">
        <f>IF($D45="","",IF(OR($R45=TRUE(),$R45="TRUE"),1,0))</f>
        <v/>
      </c>
      <c r="AN45">
        <f>IF($D45="","",IF($AA45="Yes",1,0))</f>
        <v/>
      </c>
      <c r="AO45">
        <f>IF($AK45=1,IFERROR(IF(VALUE($D45)&lt;100000000,VALUE($D45),1000000000),IFERROR(IF(VALUE(MID($D45,2,20))&lt;100000000,VALUE(MID($D45,2,20)),1000000000),1000000000))+ROW()/100000,"")</f>
        <v/>
      </c>
    </row>
    <row r="46">
      <c r="F46" s="11" t="n"/>
      <c r="N46" s="7">
        <f>IF($D46="","",M46*V46/100)</f>
        <v/>
      </c>
      <c r="O46" s="7" t="n"/>
      <c r="U46" s="7" t="n"/>
      <c r="V46" s="7" t="n"/>
      <c r="W46" s="7">
        <f>IF($D46="","",V46*AB46/100)</f>
        <v/>
      </c>
      <c r="X46" s="7">
        <f>IF($D46="","",V46-W46)</f>
        <v/>
      </c>
      <c r="Y46" s="7">
        <f>IF($D46="","",X46-N46)</f>
        <v/>
      </c>
      <c r="AB46">
        <f>IF($D46="","",IF($AN46=1,0,IF($AM46=1,Settings!$C$6,Settings!$C$7))*100)</f>
        <v/>
      </c>
      <c r="AF46" s="7" t="n"/>
      <c r="AI46" s="11" t="n"/>
      <c r="AK46">
        <f>IF($D46="","",IF(COUNTIF($D$2:$D46,$D46)=1,1,0))</f>
        <v/>
      </c>
      <c r="AL46">
        <f>IF($AK46=1,SUMPRODUCT(--($AO$2:$AO$1501&lt;$AO46))+1,"")</f>
        <v/>
      </c>
      <c r="AM46">
        <f>IF($D46="","",IF(OR($R46=TRUE(),$R46="TRUE"),1,0))</f>
        <v/>
      </c>
      <c r="AN46">
        <f>IF($D46="","",IF($AA46="Yes",1,0))</f>
        <v/>
      </c>
      <c r="AO46">
        <f>IF($AK46=1,IFERROR(IF(VALUE($D46)&lt;100000000,VALUE($D46),1000000000),IFERROR(IF(VALUE(MID($D46,2,20))&lt;100000000,VALUE(MID($D46,2,20)),1000000000),1000000000))+ROW()/100000,"")</f>
        <v/>
      </c>
    </row>
    <row r="47">
      <c r="F47" s="11" t="n"/>
      <c r="N47" s="7">
        <f>IF($D47="","",M47*V47/100)</f>
        <v/>
      </c>
      <c r="O47" s="7" t="n"/>
      <c r="U47" s="7" t="n"/>
      <c r="V47" s="7" t="n"/>
      <c r="W47" s="7">
        <f>IF($D47="","",V47*AB47/100)</f>
        <v/>
      </c>
      <c r="X47" s="7">
        <f>IF($D47="","",V47-W47)</f>
        <v/>
      </c>
      <c r="Y47" s="7">
        <f>IF($D47="","",X47-N47)</f>
        <v/>
      </c>
      <c r="AB47">
        <f>IF($D47="","",IF($AN47=1,0,IF($AM47=1,Settings!$C$6,Settings!$C$7))*100)</f>
        <v/>
      </c>
      <c r="AF47" s="7" t="n"/>
      <c r="AI47" s="11" t="n"/>
      <c r="AK47">
        <f>IF($D47="","",IF(COUNTIF($D$2:$D47,$D47)=1,1,0))</f>
        <v/>
      </c>
      <c r="AL47">
        <f>IF($AK47=1,SUMPRODUCT(--($AO$2:$AO$1501&lt;$AO47))+1,"")</f>
        <v/>
      </c>
      <c r="AM47">
        <f>IF($D47="","",IF(OR($R47=TRUE(),$R47="TRUE"),1,0))</f>
        <v/>
      </c>
      <c r="AN47">
        <f>IF($D47="","",IF($AA47="Yes",1,0))</f>
        <v/>
      </c>
      <c r="AO47">
        <f>IF($AK47=1,IFERROR(IF(VALUE($D47)&lt;100000000,VALUE($D47),1000000000),IFERROR(IF(VALUE(MID($D47,2,20))&lt;100000000,VALUE(MID($D47,2,20)),1000000000),1000000000))+ROW()/100000,"")</f>
        <v/>
      </c>
    </row>
    <row r="48">
      <c r="F48" s="11" t="n"/>
      <c r="N48" s="7">
        <f>IF($D48="","",M48*V48/100)</f>
        <v/>
      </c>
      <c r="O48" s="7" t="n"/>
      <c r="U48" s="7" t="n"/>
      <c r="V48" s="7" t="n"/>
      <c r="W48" s="7">
        <f>IF($D48="","",V48*AB48/100)</f>
        <v/>
      </c>
      <c r="X48" s="7">
        <f>IF($D48="","",V48-W48)</f>
        <v/>
      </c>
      <c r="Y48" s="7">
        <f>IF($D48="","",X48-N48)</f>
        <v/>
      </c>
      <c r="AB48">
        <f>IF($D48="","",IF($AN48=1,0,IF($AM48=1,Settings!$C$6,Settings!$C$7))*100)</f>
        <v/>
      </c>
      <c r="AF48" s="7" t="n"/>
      <c r="AI48" s="11" t="n"/>
      <c r="AK48">
        <f>IF($D48="","",IF(COUNTIF($D$2:$D48,$D48)=1,1,0))</f>
        <v/>
      </c>
      <c r="AL48">
        <f>IF($AK48=1,SUMPRODUCT(--($AO$2:$AO$1501&lt;$AO48))+1,"")</f>
        <v/>
      </c>
      <c r="AM48">
        <f>IF($D48="","",IF(OR($R48=TRUE(),$R48="TRUE"),1,0))</f>
        <v/>
      </c>
      <c r="AN48">
        <f>IF($D48="","",IF($AA48="Yes",1,0))</f>
        <v/>
      </c>
      <c r="AO48">
        <f>IF($AK48=1,IFERROR(IF(VALUE($D48)&lt;100000000,VALUE($D48),1000000000),IFERROR(IF(VALUE(MID($D48,2,20))&lt;100000000,VALUE(MID($D48,2,20)),1000000000),1000000000))+ROW()/100000,"")</f>
        <v/>
      </c>
    </row>
    <row r="49">
      <c r="F49" s="11" t="n"/>
      <c r="N49" s="7">
        <f>IF($D49="","",M49*V49/100)</f>
        <v/>
      </c>
      <c r="O49" s="7" t="n"/>
      <c r="U49" s="7" t="n"/>
      <c r="V49" s="7" t="n"/>
      <c r="W49" s="7">
        <f>IF($D49="","",V49*AB49/100)</f>
        <v/>
      </c>
      <c r="X49" s="7">
        <f>IF($D49="","",V49-W49)</f>
        <v/>
      </c>
      <c r="Y49" s="7">
        <f>IF($D49="","",X49-N49)</f>
        <v/>
      </c>
      <c r="AB49">
        <f>IF($D49="","",IF($AN49=1,0,IF($AM49=1,Settings!$C$6,Settings!$C$7))*100)</f>
        <v/>
      </c>
      <c r="AF49" s="7" t="n"/>
      <c r="AI49" s="11" t="n"/>
      <c r="AK49">
        <f>IF($D49="","",IF(COUNTIF($D$2:$D49,$D49)=1,1,0))</f>
        <v/>
      </c>
      <c r="AL49">
        <f>IF($AK49=1,SUMPRODUCT(--($AO$2:$AO$1501&lt;$AO49))+1,"")</f>
        <v/>
      </c>
      <c r="AM49">
        <f>IF($D49="","",IF(OR($R49=TRUE(),$R49="TRUE"),1,0))</f>
        <v/>
      </c>
      <c r="AN49">
        <f>IF($D49="","",IF($AA49="Yes",1,0))</f>
        <v/>
      </c>
      <c r="AO49">
        <f>IF($AK49=1,IFERROR(IF(VALUE($D49)&lt;100000000,VALUE($D49),1000000000),IFERROR(IF(VALUE(MID($D49,2,20))&lt;100000000,VALUE(MID($D49,2,20)),1000000000),1000000000))+ROW()/100000,"")</f>
        <v/>
      </c>
    </row>
    <row r="50">
      <c r="F50" s="11" t="n"/>
      <c r="N50" s="7">
        <f>IF($D50="","",M50*V50/100)</f>
        <v/>
      </c>
      <c r="O50" s="7" t="n"/>
      <c r="U50" s="7" t="n"/>
      <c r="V50" s="7" t="n"/>
      <c r="W50" s="7">
        <f>IF($D50="","",V50*AB50/100)</f>
        <v/>
      </c>
      <c r="X50" s="7">
        <f>IF($D50="","",V50-W50)</f>
        <v/>
      </c>
      <c r="Y50" s="7">
        <f>IF($D50="","",X50-N50)</f>
        <v/>
      </c>
      <c r="AB50">
        <f>IF($D50="","",IF($AN50=1,0,IF($AM50=1,Settings!$C$6,Settings!$C$7))*100)</f>
        <v/>
      </c>
      <c r="AF50" s="7" t="n"/>
      <c r="AI50" s="11" t="n"/>
      <c r="AK50">
        <f>IF($D50="","",IF(COUNTIF($D$2:$D50,$D50)=1,1,0))</f>
        <v/>
      </c>
      <c r="AL50">
        <f>IF($AK50=1,SUMPRODUCT(--($AO$2:$AO$1501&lt;$AO50))+1,"")</f>
        <v/>
      </c>
      <c r="AM50">
        <f>IF($D50="","",IF(OR($R50=TRUE(),$R50="TRUE"),1,0))</f>
        <v/>
      </c>
      <c r="AN50">
        <f>IF($D50="","",IF($AA50="Yes",1,0))</f>
        <v/>
      </c>
      <c r="AO50">
        <f>IF($AK50=1,IFERROR(IF(VALUE($D50)&lt;100000000,VALUE($D50),1000000000),IFERROR(IF(VALUE(MID($D50,2,20))&lt;100000000,VALUE(MID($D50,2,20)),1000000000),1000000000))+ROW()/100000,"")</f>
        <v/>
      </c>
    </row>
    <row r="51">
      <c r="F51" s="11" t="n"/>
      <c r="N51" s="7">
        <f>IF($D51="","",M51*V51/100)</f>
        <v/>
      </c>
      <c r="O51" s="7" t="n"/>
      <c r="U51" s="7" t="n"/>
      <c r="V51" s="7" t="n"/>
      <c r="W51" s="7">
        <f>IF($D51="","",V51*AB51/100)</f>
        <v/>
      </c>
      <c r="X51" s="7">
        <f>IF($D51="","",V51-W51)</f>
        <v/>
      </c>
      <c r="Y51" s="7">
        <f>IF($D51="","",X51-N51)</f>
        <v/>
      </c>
      <c r="AB51">
        <f>IF($D51="","",IF($AN51=1,0,IF($AM51=1,Settings!$C$6,Settings!$C$7))*100)</f>
        <v/>
      </c>
      <c r="AF51" s="7" t="n"/>
      <c r="AI51" s="11" t="n"/>
      <c r="AK51">
        <f>IF($D51="","",IF(COUNTIF($D$2:$D51,$D51)=1,1,0))</f>
        <v/>
      </c>
      <c r="AL51">
        <f>IF($AK51=1,SUMPRODUCT(--($AO$2:$AO$1501&lt;$AO51))+1,"")</f>
        <v/>
      </c>
      <c r="AM51">
        <f>IF($D51="","",IF(OR($R51=TRUE(),$R51="TRUE"),1,0))</f>
        <v/>
      </c>
      <c r="AN51">
        <f>IF($D51="","",IF($AA51="Yes",1,0))</f>
        <v/>
      </c>
      <c r="AO51">
        <f>IF($AK51=1,IFERROR(IF(VALUE($D51)&lt;100000000,VALUE($D51),1000000000),IFERROR(IF(VALUE(MID($D51,2,20))&lt;100000000,VALUE(MID($D51,2,20)),1000000000),1000000000))+ROW()/100000,"")</f>
        <v/>
      </c>
    </row>
    <row r="52">
      <c r="F52" s="11" t="n"/>
      <c r="N52" s="7">
        <f>IF($D52="","",M52*V52/100)</f>
        <v/>
      </c>
      <c r="O52" s="7" t="n"/>
      <c r="U52" s="7" t="n"/>
      <c r="V52" s="7" t="n"/>
      <c r="W52" s="7">
        <f>IF($D52="","",V52*AB52/100)</f>
        <v/>
      </c>
      <c r="X52" s="7">
        <f>IF($D52="","",V52-W52)</f>
        <v/>
      </c>
      <c r="Y52" s="7">
        <f>IF($D52="","",X52-N52)</f>
        <v/>
      </c>
      <c r="AB52">
        <f>IF($D52="","",IF($AN52=1,0,IF($AM52=1,Settings!$C$6,Settings!$C$7))*100)</f>
        <v/>
      </c>
      <c r="AF52" s="7" t="n"/>
      <c r="AI52" s="11" t="n"/>
      <c r="AK52">
        <f>IF($D52="","",IF(COUNTIF($D$2:$D52,$D52)=1,1,0))</f>
        <v/>
      </c>
      <c r="AL52">
        <f>IF($AK52=1,SUMPRODUCT(--($AO$2:$AO$1501&lt;$AO52))+1,"")</f>
        <v/>
      </c>
      <c r="AM52">
        <f>IF($D52="","",IF(OR($R52=TRUE(),$R52="TRUE"),1,0))</f>
        <v/>
      </c>
      <c r="AN52">
        <f>IF($D52="","",IF($AA52="Yes",1,0))</f>
        <v/>
      </c>
      <c r="AO52">
        <f>IF($AK52=1,IFERROR(IF(VALUE($D52)&lt;100000000,VALUE($D52),1000000000),IFERROR(IF(VALUE(MID($D52,2,20))&lt;100000000,VALUE(MID($D52,2,20)),1000000000),1000000000))+ROW()/100000,"")</f>
        <v/>
      </c>
    </row>
    <row r="53">
      <c r="F53" s="11" t="n"/>
      <c r="N53" s="7">
        <f>IF($D53="","",M53*V53/100)</f>
        <v/>
      </c>
      <c r="O53" s="7" t="n"/>
      <c r="U53" s="7" t="n"/>
      <c r="V53" s="7" t="n"/>
      <c r="W53" s="7">
        <f>IF($D53="","",V53*AB53/100)</f>
        <v/>
      </c>
      <c r="X53" s="7">
        <f>IF($D53="","",V53-W53)</f>
        <v/>
      </c>
      <c r="Y53" s="7">
        <f>IF($D53="","",X53-N53)</f>
        <v/>
      </c>
      <c r="AB53">
        <f>IF($D53="","",IF($AN53=1,0,IF($AM53=1,Settings!$C$6,Settings!$C$7))*100)</f>
        <v/>
      </c>
      <c r="AF53" s="7" t="n"/>
      <c r="AI53" s="11" t="n"/>
      <c r="AK53">
        <f>IF($D53="","",IF(COUNTIF($D$2:$D53,$D53)=1,1,0))</f>
        <v/>
      </c>
      <c r="AL53">
        <f>IF($AK53=1,SUMPRODUCT(--($AO$2:$AO$1501&lt;$AO53))+1,"")</f>
        <v/>
      </c>
      <c r="AM53">
        <f>IF($D53="","",IF(OR($R53=TRUE(),$R53="TRUE"),1,0))</f>
        <v/>
      </c>
      <c r="AN53">
        <f>IF($D53="","",IF($AA53="Yes",1,0))</f>
        <v/>
      </c>
      <c r="AO53">
        <f>IF($AK53=1,IFERROR(IF(VALUE($D53)&lt;100000000,VALUE($D53),1000000000),IFERROR(IF(VALUE(MID($D53,2,20))&lt;100000000,VALUE(MID($D53,2,20)),1000000000),1000000000))+ROW()/100000,"")</f>
        <v/>
      </c>
    </row>
    <row r="54">
      <c r="F54" s="11" t="n"/>
      <c r="N54" s="7">
        <f>IF($D54="","",M54*V54/100)</f>
        <v/>
      </c>
      <c r="O54" s="7" t="n"/>
      <c r="U54" s="7" t="n"/>
      <c r="V54" s="7" t="n"/>
      <c r="W54" s="7">
        <f>IF($D54="","",V54*AB54/100)</f>
        <v/>
      </c>
      <c r="X54" s="7">
        <f>IF($D54="","",V54-W54)</f>
        <v/>
      </c>
      <c r="Y54" s="7">
        <f>IF($D54="","",X54-N54)</f>
        <v/>
      </c>
      <c r="AB54">
        <f>IF($D54="","",IF($AN54=1,0,IF($AM54=1,Settings!$C$6,Settings!$C$7))*100)</f>
        <v/>
      </c>
      <c r="AF54" s="7" t="n"/>
      <c r="AI54" s="11" t="n"/>
      <c r="AK54">
        <f>IF($D54="","",IF(COUNTIF($D$2:$D54,$D54)=1,1,0))</f>
        <v/>
      </c>
      <c r="AL54">
        <f>IF($AK54=1,SUMPRODUCT(--($AO$2:$AO$1501&lt;$AO54))+1,"")</f>
        <v/>
      </c>
      <c r="AM54">
        <f>IF($D54="","",IF(OR($R54=TRUE(),$R54="TRUE"),1,0))</f>
        <v/>
      </c>
      <c r="AN54">
        <f>IF($D54="","",IF($AA54="Yes",1,0))</f>
        <v/>
      </c>
      <c r="AO54">
        <f>IF($AK54=1,IFERROR(IF(VALUE($D54)&lt;100000000,VALUE($D54),1000000000),IFERROR(IF(VALUE(MID($D54,2,20))&lt;100000000,VALUE(MID($D54,2,20)),1000000000),1000000000))+ROW()/100000,"")</f>
        <v/>
      </c>
    </row>
    <row r="55">
      <c r="F55" s="11" t="n"/>
      <c r="N55" s="7">
        <f>IF($D55="","",M55*V55/100)</f>
        <v/>
      </c>
      <c r="O55" s="7" t="n"/>
      <c r="U55" s="7" t="n"/>
      <c r="V55" s="7" t="n"/>
      <c r="W55" s="7">
        <f>IF($D55="","",V55*AB55/100)</f>
        <v/>
      </c>
      <c r="X55" s="7">
        <f>IF($D55="","",V55-W55)</f>
        <v/>
      </c>
      <c r="Y55" s="7">
        <f>IF($D55="","",X55-N55)</f>
        <v/>
      </c>
      <c r="AB55">
        <f>IF($D55="","",IF($AN55=1,0,IF($AM55=1,Settings!$C$6,Settings!$C$7))*100)</f>
        <v/>
      </c>
      <c r="AF55" s="7" t="n"/>
      <c r="AI55" s="11" t="n"/>
      <c r="AK55">
        <f>IF($D55="","",IF(COUNTIF($D$2:$D55,$D55)=1,1,0))</f>
        <v/>
      </c>
      <c r="AL55">
        <f>IF($AK55=1,SUMPRODUCT(--($AO$2:$AO$1501&lt;$AO55))+1,"")</f>
        <v/>
      </c>
      <c r="AM55">
        <f>IF($D55="","",IF(OR($R55=TRUE(),$R55="TRUE"),1,0))</f>
        <v/>
      </c>
      <c r="AN55">
        <f>IF($D55="","",IF($AA55="Yes",1,0))</f>
        <v/>
      </c>
      <c r="AO55">
        <f>IF($AK55=1,IFERROR(IF(VALUE($D55)&lt;100000000,VALUE($D55),1000000000),IFERROR(IF(VALUE(MID($D55,2,20))&lt;100000000,VALUE(MID($D55,2,20)),1000000000),1000000000))+ROW()/100000,"")</f>
        <v/>
      </c>
    </row>
    <row r="56">
      <c r="F56" s="11" t="n"/>
      <c r="N56" s="7">
        <f>IF($D56="","",M56*V56/100)</f>
        <v/>
      </c>
      <c r="O56" s="7" t="n"/>
      <c r="U56" s="7" t="n"/>
      <c r="V56" s="7" t="n"/>
      <c r="W56" s="7">
        <f>IF($D56="","",V56*AB56/100)</f>
        <v/>
      </c>
      <c r="X56" s="7">
        <f>IF($D56="","",V56-W56)</f>
        <v/>
      </c>
      <c r="Y56" s="7">
        <f>IF($D56="","",X56-N56)</f>
        <v/>
      </c>
      <c r="AB56">
        <f>IF($D56="","",IF($AN56=1,0,IF($AM56=1,Settings!$C$6,Settings!$C$7))*100)</f>
        <v/>
      </c>
      <c r="AF56" s="7" t="n"/>
      <c r="AI56" s="11" t="n"/>
      <c r="AK56">
        <f>IF($D56="","",IF(COUNTIF($D$2:$D56,$D56)=1,1,0))</f>
        <v/>
      </c>
      <c r="AL56">
        <f>IF($AK56=1,SUMPRODUCT(--($AO$2:$AO$1501&lt;$AO56))+1,"")</f>
        <v/>
      </c>
      <c r="AM56">
        <f>IF($D56="","",IF(OR($R56=TRUE(),$R56="TRUE"),1,0))</f>
        <v/>
      </c>
      <c r="AN56">
        <f>IF($D56="","",IF($AA56="Yes",1,0))</f>
        <v/>
      </c>
      <c r="AO56">
        <f>IF($AK56=1,IFERROR(IF(VALUE($D56)&lt;100000000,VALUE($D56),1000000000),IFERROR(IF(VALUE(MID($D56,2,20))&lt;100000000,VALUE(MID($D56,2,20)),1000000000),1000000000))+ROW()/100000,"")</f>
        <v/>
      </c>
    </row>
    <row r="57">
      <c r="F57" s="11" t="n"/>
      <c r="N57" s="7">
        <f>IF($D57="","",M57*V57/100)</f>
        <v/>
      </c>
      <c r="O57" s="7" t="n"/>
      <c r="U57" s="7" t="n"/>
      <c r="V57" s="7" t="n"/>
      <c r="W57" s="7">
        <f>IF($D57="","",V57*AB57/100)</f>
        <v/>
      </c>
      <c r="X57" s="7">
        <f>IF($D57="","",V57-W57)</f>
        <v/>
      </c>
      <c r="Y57" s="7">
        <f>IF($D57="","",X57-N57)</f>
        <v/>
      </c>
      <c r="AB57">
        <f>IF($D57="","",IF($AN57=1,0,IF($AM57=1,Settings!$C$6,Settings!$C$7))*100)</f>
        <v/>
      </c>
      <c r="AF57" s="7" t="n"/>
      <c r="AI57" s="11" t="n"/>
      <c r="AK57">
        <f>IF($D57="","",IF(COUNTIF($D$2:$D57,$D57)=1,1,0))</f>
        <v/>
      </c>
      <c r="AL57">
        <f>IF($AK57=1,SUMPRODUCT(--($AO$2:$AO$1501&lt;$AO57))+1,"")</f>
        <v/>
      </c>
      <c r="AM57">
        <f>IF($D57="","",IF(OR($R57=TRUE(),$R57="TRUE"),1,0))</f>
        <v/>
      </c>
      <c r="AN57">
        <f>IF($D57="","",IF($AA57="Yes",1,0))</f>
        <v/>
      </c>
      <c r="AO57">
        <f>IF($AK57=1,IFERROR(IF(VALUE($D57)&lt;100000000,VALUE($D57),1000000000),IFERROR(IF(VALUE(MID($D57,2,20))&lt;100000000,VALUE(MID($D57,2,20)),1000000000),1000000000))+ROW()/100000,"")</f>
        <v/>
      </c>
    </row>
    <row r="58">
      <c r="F58" s="11" t="n"/>
      <c r="N58" s="7">
        <f>IF($D58="","",M58*V58/100)</f>
        <v/>
      </c>
      <c r="O58" s="7" t="n"/>
      <c r="U58" s="7" t="n"/>
      <c r="V58" s="7" t="n"/>
      <c r="W58" s="7">
        <f>IF($D58="","",V58*AB58/100)</f>
        <v/>
      </c>
      <c r="X58" s="7">
        <f>IF($D58="","",V58-W58)</f>
        <v/>
      </c>
      <c r="Y58" s="7">
        <f>IF($D58="","",X58-N58)</f>
        <v/>
      </c>
      <c r="AB58">
        <f>IF($D58="","",IF($AN58=1,0,IF($AM58=1,Settings!$C$6,Settings!$C$7))*100)</f>
        <v/>
      </c>
      <c r="AF58" s="7" t="n"/>
      <c r="AI58" s="11" t="n"/>
      <c r="AK58">
        <f>IF($D58="","",IF(COUNTIF($D$2:$D58,$D58)=1,1,0))</f>
        <v/>
      </c>
      <c r="AL58">
        <f>IF($AK58=1,SUMPRODUCT(--($AO$2:$AO$1501&lt;$AO58))+1,"")</f>
        <v/>
      </c>
      <c r="AM58">
        <f>IF($D58="","",IF(OR($R58=TRUE(),$R58="TRUE"),1,0))</f>
        <v/>
      </c>
      <c r="AN58">
        <f>IF($D58="","",IF($AA58="Yes",1,0))</f>
        <v/>
      </c>
      <c r="AO58">
        <f>IF($AK58=1,IFERROR(IF(VALUE($D58)&lt;100000000,VALUE($D58),1000000000),IFERROR(IF(VALUE(MID($D58,2,20))&lt;100000000,VALUE(MID($D58,2,20)),1000000000),1000000000))+ROW()/100000,"")</f>
        <v/>
      </c>
    </row>
    <row r="59">
      <c r="F59" s="11" t="n"/>
      <c r="N59" s="7">
        <f>IF($D59="","",M59*V59/100)</f>
        <v/>
      </c>
      <c r="O59" s="7" t="n"/>
      <c r="U59" s="7" t="n"/>
      <c r="V59" s="7" t="n"/>
      <c r="W59" s="7">
        <f>IF($D59="","",V59*AB59/100)</f>
        <v/>
      </c>
      <c r="X59" s="7">
        <f>IF($D59="","",V59-W59)</f>
        <v/>
      </c>
      <c r="Y59" s="7">
        <f>IF($D59="","",X59-N59)</f>
        <v/>
      </c>
      <c r="AB59">
        <f>IF($D59="","",IF($AN59=1,0,IF($AM59=1,Settings!$C$6,Settings!$C$7))*100)</f>
        <v/>
      </c>
      <c r="AF59" s="7" t="n"/>
      <c r="AI59" s="11" t="n"/>
      <c r="AK59">
        <f>IF($D59="","",IF(COUNTIF($D$2:$D59,$D59)=1,1,0))</f>
        <v/>
      </c>
      <c r="AL59">
        <f>IF($AK59=1,SUMPRODUCT(--($AO$2:$AO$1501&lt;$AO59))+1,"")</f>
        <v/>
      </c>
      <c r="AM59">
        <f>IF($D59="","",IF(OR($R59=TRUE(),$R59="TRUE"),1,0))</f>
        <v/>
      </c>
      <c r="AN59">
        <f>IF($D59="","",IF($AA59="Yes",1,0))</f>
        <v/>
      </c>
      <c r="AO59">
        <f>IF($AK59=1,IFERROR(IF(VALUE($D59)&lt;100000000,VALUE($D59),1000000000),IFERROR(IF(VALUE(MID($D59,2,20))&lt;100000000,VALUE(MID($D59,2,20)),1000000000),1000000000))+ROW()/100000,"")</f>
        <v/>
      </c>
    </row>
    <row r="60">
      <c r="F60" s="11" t="n"/>
      <c r="N60" s="7">
        <f>IF($D60="","",M60*V60/100)</f>
        <v/>
      </c>
      <c r="O60" s="7" t="n"/>
      <c r="U60" s="7" t="n"/>
      <c r="V60" s="7" t="n"/>
      <c r="W60" s="7">
        <f>IF($D60="","",V60*AB60/100)</f>
        <v/>
      </c>
      <c r="X60" s="7">
        <f>IF($D60="","",V60-W60)</f>
        <v/>
      </c>
      <c r="Y60" s="7">
        <f>IF($D60="","",X60-N60)</f>
        <v/>
      </c>
      <c r="AB60">
        <f>IF($D60="","",IF($AN60=1,0,IF($AM60=1,Settings!$C$6,Settings!$C$7))*100)</f>
        <v/>
      </c>
      <c r="AF60" s="7" t="n"/>
      <c r="AI60" s="11" t="n"/>
      <c r="AK60">
        <f>IF($D60="","",IF(COUNTIF($D$2:$D60,$D60)=1,1,0))</f>
        <v/>
      </c>
      <c r="AL60">
        <f>IF($AK60=1,SUMPRODUCT(--($AO$2:$AO$1501&lt;$AO60))+1,"")</f>
        <v/>
      </c>
      <c r="AM60">
        <f>IF($D60="","",IF(OR($R60=TRUE(),$R60="TRUE"),1,0))</f>
        <v/>
      </c>
      <c r="AN60">
        <f>IF($D60="","",IF($AA60="Yes",1,0))</f>
        <v/>
      </c>
      <c r="AO60">
        <f>IF($AK60=1,IFERROR(IF(VALUE($D60)&lt;100000000,VALUE($D60),1000000000),IFERROR(IF(VALUE(MID($D60,2,20))&lt;100000000,VALUE(MID($D60,2,20)),1000000000),1000000000))+ROW()/100000,"")</f>
        <v/>
      </c>
    </row>
    <row r="61">
      <c r="F61" s="11" t="n"/>
      <c r="N61" s="7">
        <f>IF($D61="","",M61*V61/100)</f>
        <v/>
      </c>
      <c r="O61" s="7" t="n"/>
      <c r="U61" s="7" t="n"/>
      <c r="V61" s="7" t="n"/>
      <c r="W61" s="7">
        <f>IF($D61="","",V61*AB61/100)</f>
        <v/>
      </c>
      <c r="X61" s="7">
        <f>IF($D61="","",V61-W61)</f>
        <v/>
      </c>
      <c r="Y61" s="7">
        <f>IF($D61="","",X61-N61)</f>
        <v/>
      </c>
      <c r="AB61">
        <f>IF($D61="","",IF($AN61=1,0,IF($AM61=1,Settings!$C$6,Settings!$C$7))*100)</f>
        <v/>
      </c>
      <c r="AF61" s="7" t="n"/>
      <c r="AI61" s="11" t="n"/>
      <c r="AK61">
        <f>IF($D61="","",IF(COUNTIF($D$2:$D61,$D61)=1,1,0))</f>
        <v/>
      </c>
      <c r="AL61">
        <f>IF($AK61=1,SUMPRODUCT(--($AO$2:$AO$1501&lt;$AO61))+1,"")</f>
        <v/>
      </c>
      <c r="AM61">
        <f>IF($D61="","",IF(OR($R61=TRUE(),$R61="TRUE"),1,0))</f>
        <v/>
      </c>
      <c r="AN61">
        <f>IF($D61="","",IF($AA61="Yes",1,0))</f>
        <v/>
      </c>
      <c r="AO61">
        <f>IF($AK61=1,IFERROR(IF(VALUE($D61)&lt;100000000,VALUE($D61),1000000000),IFERROR(IF(VALUE(MID($D61,2,20))&lt;100000000,VALUE(MID($D61,2,20)),1000000000),1000000000))+ROW()/100000,"")</f>
        <v/>
      </c>
    </row>
    <row r="62">
      <c r="F62" s="11" t="n"/>
      <c r="N62" s="7">
        <f>IF($D62="","",M62*V62/100)</f>
        <v/>
      </c>
      <c r="O62" s="7" t="n"/>
      <c r="U62" s="7" t="n"/>
      <c r="V62" s="7" t="n"/>
      <c r="W62" s="7">
        <f>IF($D62="","",V62*AB62/100)</f>
        <v/>
      </c>
      <c r="X62" s="7">
        <f>IF($D62="","",V62-W62)</f>
        <v/>
      </c>
      <c r="Y62" s="7">
        <f>IF($D62="","",X62-N62)</f>
        <v/>
      </c>
      <c r="AB62">
        <f>IF($D62="","",IF($AN62=1,0,IF($AM62=1,Settings!$C$6,Settings!$C$7))*100)</f>
        <v/>
      </c>
      <c r="AF62" s="7" t="n"/>
      <c r="AI62" s="11" t="n"/>
      <c r="AK62">
        <f>IF($D62="","",IF(COUNTIF($D$2:$D62,$D62)=1,1,0))</f>
        <v/>
      </c>
      <c r="AL62">
        <f>IF($AK62=1,SUMPRODUCT(--($AO$2:$AO$1501&lt;$AO62))+1,"")</f>
        <v/>
      </c>
      <c r="AM62">
        <f>IF($D62="","",IF(OR($R62=TRUE(),$R62="TRUE"),1,0))</f>
        <v/>
      </c>
      <c r="AN62">
        <f>IF($D62="","",IF($AA62="Yes",1,0))</f>
        <v/>
      </c>
      <c r="AO62">
        <f>IF($AK62=1,IFERROR(IF(VALUE($D62)&lt;100000000,VALUE($D62),1000000000),IFERROR(IF(VALUE(MID($D62,2,20))&lt;100000000,VALUE(MID($D62,2,20)),1000000000),1000000000))+ROW()/100000,"")</f>
        <v/>
      </c>
    </row>
    <row r="63">
      <c r="F63" s="11" t="n"/>
      <c r="N63" s="7">
        <f>IF($D63="","",M63*V63/100)</f>
        <v/>
      </c>
      <c r="O63" s="7" t="n"/>
      <c r="U63" s="7" t="n"/>
      <c r="V63" s="7" t="n"/>
      <c r="W63" s="7">
        <f>IF($D63="","",V63*AB63/100)</f>
        <v/>
      </c>
      <c r="X63" s="7">
        <f>IF($D63="","",V63-W63)</f>
        <v/>
      </c>
      <c r="Y63" s="7">
        <f>IF($D63="","",X63-N63)</f>
        <v/>
      </c>
      <c r="AB63">
        <f>IF($D63="","",IF($AN63=1,0,IF($AM63=1,Settings!$C$6,Settings!$C$7))*100)</f>
        <v/>
      </c>
      <c r="AF63" s="7" t="n"/>
      <c r="AI63" s="11" t="n"/>
      <c r="AK63">
        <f>IF($D63="","",IF(COUNTIF($D$2:$D63,$D63)=1,1,0))</f>
        <v/>
      </c>
      <c r="AL63">
        <f>IF($AK63=1,SUMPRODUCT(--($AO$2:$AO$1501&lt;$AO63))+1,"")</f>
        <v/>
      </c>
      <c r="AM63">
        <f>IF($D63="","",IF(OR($R63=TRUE(),$R63="TRUE"),1,0))</f>
        <v/>
      </c>
      <c r="AN63">
        <f>IF($D63="","",IF($AA63="Yes",1,0))</f>
        <v/>
      </c>
      <c r="AO63">
        <f>IF($AK63=1,IFERROR(IF(VALUE($D63)&lt;100000000,VALUE($D63),1000000000),IFERROR(IF(VALUE(MID($D63,2,20))&lt;100000000,VALUE(MID($D63,2,20)),1000000000),1000000000))+ROW()/100000,"")</f>
        <v/>
      </c>
    </row>
    <row r="64">
      <c r="F64" s="11" t="n"/>
      <c r="N64" s="7">
        <f>IF($D64="","",M64*V64/100)</f>
        <v/>
      </c>
      <c r="O64" s="7" t="n"/>
      <c r="U64" s="7" t="n"/>
      <c r="V64" s="7" t="n"/>
      <c r="W64" s="7">
        <f>IF($D64="","",V64*AB64/100)</f>
        <v/>
      </c>
      <c r="X64" s="7">
        <f>IF($D64="","",V64-W64)</f>
        <v/>
      </c>
      <c r="Y64" s="7">
        <f>IF($D64="","",X64-N64)</f>
        <v/>
      </c>
      <c r="AB64">
        <f>IF($D64="","",IF($AN64=1,0,IF($AM64=1,Settings!$C$6,Settings!$C$7))*100)</f>
        <v/>
      </c>
      <c r="AF64" s="7" t="n"/>
      <c r="AI64" s="11" t="n"/>
      <c r="AK64">
        <f>IF($D64="","",IF(COUNTIF($D$2:$D64,$D64)=1,1,0))</f>
        <v/>
      </c>
      <c r="AL64">
        <f>IF($AK64=1,SUMPRODUCT(--($AO$2:$AO$1501&lt;$AO64))+1,"")</f>
        <v/>
      </c>
      <c r="AM64">
        <f>IF($D64="","",IF(OR($R64=TRUE(),$R64="TRUE"),1,0))</f>
        <v/>
      </c>
      <c r="AN64">
        <f>IF($D64="","",IF($AA64="Yes",1,0))</f>
        <v/>
      </c>
      <c r="AO64">
        <f>IF($AK64=1,IFERROR(IF(VALUE($D64)&lt;100000000,VALUE($D64),1000000000),IFERROR(IF(VALUE(MID($D64,2,20))&lt;100000000,VALUE(MID($D64,2,20)),1000000000),1000000000))+ROW()/100000,"")</f>
        <v/>
      </c>
    </row>
    <row r="65">
      <c r="F65" s="11" t="n"/>
      <c r="N65" s="7">
        <f>IF($D65="","",M65*V65/100)</f>
        <v/>
      </c>
      <c r="O65" s="7" t="n"/>
      <c r="U65" s="7" t="n"/>
      <c r="V65" s="7" t="n"/>
      <c r="W65" s="7">
        <f>IF($D65="","",V65*AB65/100)</f>
        <v/>
      </c>
      <c r="X65" s="7">
        <f>IF($D65="","",V65-W65)</f>
        <v/>
      </c>
      <c r="Y65" s="7">
        <f>IF($D65="","",X65-N65)</f>
        <v/>
      </c>
      <c r="AB65">
        <f>IF($D65="","",IF($AN65=1,0,IF($AM65=1,Settings!$C$6,Settings!$C$7))*100)</f>
        <v/>
      </c>
      <c r="AF65" s="7" t="n"/>
      <c r="AI65" s="11" t="n"/>
      <c r="AK65">
        <f>IF($D65="","",IF(COUNTIF($D$2:$D65,$D65)=1,1,0))</f>
        <v/>
      </c>
      <c r="AL65">
        <f>IF($AK65=1,SUMPRODUCT(--($AO$2:$AO$1501&lt;$AO65))+1,"")</f>
        <v/>
      </c>
      <c r="AM65">
        <f>IF($D65="","",IF(OR($R65=TRUE(),$R65="TRUE"),1,0))</f>
        <v/>
      </c>
      <c r="AN65">
        <f>IF($D65="","",IF($AA65="Yes",1,0))</f>
        <v/>
      </c>
      <c r="AO65">
        <f>IF($AK65=1,IFERROR(IF(VALUE($D65)&lt;100000000,VALUE($D65),1000000000),IFERROR(IF(VALUE(MID($D65,2,20))&lt;100000000,VALUE(MID($D65,2,20)),1000000000),1000000000))+ROW()/100000,"")</f>
        <v/>
      </c>
    </row>
    <row r="66">
      <c r="F66" s="11" t="n"/>
      <c r="N66" s="7">
        <f>IF($D66="","",M66*V66/100)</f>
        <v/>
      </c>
      <c r="O66" s="7" t="n"/>
      <c r="U66" s="7" t="n"/>
      <c r="V66" s="7" t="n"/>
      <c r="W66" s="7">
        <f>IF($D66="","",V66*AB66/100)</f>
        <v/>
      </c>
      <c r="X66" s="7">
        <f>IF($D66="","",V66-W66)</f>
        <v/>
      </c>
      <c r="Y66" s="7">
        <f>IF($D66="","",X66-N66)</f>
        <v/>
      </c>
      <c r="AB66">
        <f>IF($D66="","",IF($AN66=1,0,IF($AM66=1,Settings!$C$6,Settings!$C$7))*100)</f>
        <v/>
      </c>
      <c r="AF66" s="7" t="n"/>
      <c r="AI66" s="11" t="n"/>
      <c r="AK66">
        <f>IF($D66="","",IF(COUNTIF($D$2:$D66,$D66)=1,1,0))</f>
        <v/>
      </c>
      <c r="AL66">
        <f>IF($AK66=1,SUMPRODUCT(--($AO$2:$AO$1501&lt;$AO66))+1,"")</f>
        <v/>
      </c>
      <c r="AM66">
        <f>IF($D66="","",IF(OR($R66=TRUE(),$R66="TRUE"),1,0))</f>
        <v/>
      </c>
      <c r="AN66">
        <f>IF($D66="","",IF($AA66="Yes",1,0))</f>
        <v/>
      </c>
      <c r="AO66">
        <f>IF($AK66=1,IFERROR(IF(VALUE($D66)&lt;100000000,VALUE($D66),1000000000),IFERROR(IF(VALUE(MID($D66,2,20))&lt;100000000,VALUE(MID($D66,2,20)),1000000000),1000000000))+ROW()/100000,"")</f>
        <v/>
      </c>
    </row>
    <row r="67">
      <c r="F67" s="11" t="n"/>
      <c r="N67" s="7">
        <f>IF($D67="","",M67*V67/100)</f>
        <v/>
      </c>
      <c r="O67" s="7" t="n"/>
      <c r="U67" s="7" t="n"/>
      <c r="V67" s="7" t="n"/>
      <c r="W67" s="7">
        <f>IF($D67="","",V67*AB67/100)</f>
        <v/>
      </c>
      <c r="X67" s="7">
        <f>IF($D67="","",V67-W67)</f>
        <v/>
      </c>
      <c r="Y67" s="7">
        <f>IF($D67="","",X67-N67)</f>
        <v/>
      </c>
      <c r="AB67">
        <f>IF($D67="","",IF($AN67=1,0,IF($AM67=1,Settings!$C$6,Settings!$C$7))*100)</f>
        <v/>
      </c>
      <c r="AF67" s="7" t="n"/>
      <c r="AI67" s="11" t="n"/>
      <c r="AK67">
        <f>IF($D67="","",IF(COUNTIF($D$2:$D67,$D67)=1,1,0))</f>
        <v/>
      </c>
      <c r="AL67">
        <f>IF($AK67=1,SUMPRODUCT(--($AO$2:$AO$1501&lt;$AO67))+1,"")</f>
        <v/>
      </c>
      <c r="AM67">
        <f>IF($D67="","",IF(OR($R67=TRUE(),$R67="TRUE"),1,0))</f>
        <v/>
      </c>
      <c r="AN67">
        <f>IF($D67="","",IF($AA67="Yes",1,0))</f>
        <v/>
      </c>
      <c r="AO67">
        <f>IF($AK67=1,IFERROR(IF(VALUE($D67)&lt;100000000,VALUE($D67),1000000000),IFERROR(IF(VALUE(MID($D67,2,20))&lt;100000000,VALUE(MID($D67,2,20)),1000000000),1000000000))+ROW()/100000,"")</f>
        <v/>
      </c>
    </row>
    <row r="68">
      <c r="F68" s="11" t="n"/>
      <c r="N68" s="7">
        <f>IF($D68="","",M68*V68/100)</f>
        <v/>
      </c>
      <c r="O68" s="7" t="n"/>
      <c r="U68" s="7" t="n"/>
      <c r="V68" s="7" t="n"/>
      <c r="W68" s="7">
        <f>IF($D68="","",V68*AB68/100)</f>
        <v/>
      </c>
      <c r="X68" s="7">
        <f>IF($D68="","",V68-W68)</f>
        <v/>
      </c>
      <c r="Y68" s="7">
        <f>IF($D68="","",X68-N68)</f>
        <v/>
      </c>
      <c r="AB68">
        <f>IF($D68="","",IF($AN68=1,0,IF($AM68=1,Settings!$C$6,Settings!$C$7))*100)</f>
        <v/>
      </c>
      <c r="AF68" s="7" t="n"/>
      <c r="AI68" s="11" t="n"/>
      <c r="AK68">
        <f>IF($D68="","",IF(COUNTIF($D$2:$D68,$D68)=1,1,0))</f>
        <v/>
      </c>
      <c r="AL68">
        <f>IF($AK68=1,SUMPRODUCT(--($AO$2:$AO$1501&lt;$AO68))+1,"")</f>
        <v/>
      </c>
      <c r="AM68">
        <f>IF($D68="","",IF(OR($R68=TRUE(),$R68="TRUE"),1,0))</f>
        <v/>
      </c>
      <c r="AN68">
        <f>IF($D68="","",IF($AA68="Yes",1,0))</f>
        <v/>
      </c>
      <c r="AO68">
        <f>IF($AK68=1,IFERROR(IF(VALUE($D68)&lt;100000000,VALUE($D68),1000000000),IFERROR(IF(VALUE(MID($D68,2,20))&lt;100000000,VALUE(MID($D68,2,20)),1000000000),1000000000))+ROW()/100000,"")</f>
        <v/>
      </c>
    </row>
    <row r="69">
      <c r="F69" s="11" t="n"/>
      <c r="N69" s="7">
        <f>IF($D69="","",M69*V69/100)</f>
        <v/>
      </c>
      <c r="O69" s="7" t="n"/>
      <c r="U69" s="7" t="n"/>
      <c r="V69" s="7" t="n"/>
      <c r="W69" s="7">
        <f>IF($D69="","",V69*AB69/100)</f>
        <v/>
      </c>
      <c r="X69" s="7">
        <f>IF($D69="","",V69-W69)</f>
        <v/>
      </c>
      <c r="Y69" s="7">
        <f>IF($D69="","",X69-N69)</f>
        <v/>
      </c>
      <c r="AB69">
        <f>IF($D69="","",IF($AN69=1,0,IF($AM69=1,Settings!$C$6,Settings!$C$7))*100)</f>
        <v/>
      </c>
      <c r="AF69" s="7" t="n"/>
      <c r="AI69" s="11" t="n"/>
      <c r="AK69">
        <f>IF($D69="","",IF(COUNTIF($D$2:$D69,$D69)=1,1,0))</f>
        <v/>
      </c>
      <c r="AL69">
        <f>IF($AK69=1,SUMPRODUCT(--($AO$2:$AO$1501&lt;$AO69))+1,"")</f>
        <v/>
      </c>
      <c r="AM69">
        <f>IF($D69="","",IF(OR($R69=TRUE(),$R69="TRUE"),1,0))</f>
        <v/>
      </c>
      <c r="AN69">
        <f>IF($D69="","",IF($AA69="Yes",1,0))</f>
        <v/>
      </c>
      <c r="AO69">
        <f>IF($AK69=1,IFERROR(IF(VALUE($D69)&lt;100000000,VALUE($D69),1000000000),IFERROR(IF(VALUE(MID($D69,2,20))&lt;100000000,VALUE(MID($D69,2,20)),1000000000),1000000000))+ROW()/100000,"")</f>
        <v/>
      </c>
    </row>
    <row r="70">
      <c r="F70" s="11" t="n"/>
      <c r="N70" s="7">
        <f>IF($D70="","",M70*V70/100)</f>
        <v/>
      </c>
      <c r="O70" s="7" t="n"/>
      <c r="U70" s="7" t="n"/>
      <c r="V70" s="7" t="n"/>
      <c r="W70" s="7">
        <f>IF($D70="","",V70*AB70/100)</f>
        <v/>
      </c>
      <c r="X70" s="7">
        <f>IF($D70="","",V70-W70)</f>
        <v/>
      </c>
      <c r="Y70" s="7">
        <f>IF($D70="","",X70-N70)</f>
        <v/>
      </c>
      <c r="AB70">
        <f>IF($D70="","",IF($AN70=1,0,IF($AM70=1,Settings!$C$6,Settings!$C$7))*100)</f>
        <v/>
      </c>
      <c r="AF70" s="7" t="n"/>
      <c r="AI70" s="11" t="n"/>
      <c r="AK70">
        <f>IF($D70="","",IF(COUNTIF($D$2:$D70,$D70)=1,1,0))</f>
        <v/>
      </c>
      <c r="AL70">
        <f>IF($AK70=1,SUMPRODUCT(--($AO$2:$AO$1501&lt;$AO70))+1,"")</f>
        <v/>
      </c>
      <c r="AM70">
        <f>IF($D70="","",IF(OR($R70=TRUE(),$R70="TRUE"),1,0))</f>
        <v/>
      </c>
      <c r="AN70">
        <f>IF($D70="","",IF($AA70="Yes",1,0))</f>
        <v/>
      </c>
      <c r="AO70">
        <f>IF($AK70=1,IFERROR(IF(VALUE($D70)&lt;100000000,VALUE($D70),1000000000),IFERROR(IF(VALUE(MID($D70,2,20))&lt;100000000,VALUE(MID($D70,2,20)),1000000000),1000000000))+ROW()/100000,"")</f>
        <v/>
      </c>
    </row>
    <row r="71">
      <c r="F71" s="11" t="n"/>
      <c r="N71" s="7">
        <f>IF($D71="","",M71*V71/100)</f>
        <v/>
      </c>
      <c r="O71" s="7" t="n"/>
      <c r="U71" s="7" t="n"/>
      <c r="V71" s="7" t="n"/>
      <c r="W71" s="7">
        <f>IF($D71="","",V71*AB71/100)</f>
        <v/>
      </c>
      <c r="X71" s="7">
        <f>IF($D71="","",V71-W71)</f>
        <v/>
      </c>
      <c r="Y71" s="7">
        <f>IF($D71="","",X71-N71)</f>
        <v/>
      </c>
      <c r="AB71">
        <f>IF($D71="","",IF($AN71=1,0,IF($AM71=1,Settings!$C$6,Settings!$C$7))*100)</f>
        <v/>
      </c>
      <c r="AF71" s="7" t="n"/>
      <c r="AI71" s="11" t="n"/>
      <c r="AK71">
        <f>IF($D71="","",IF(COUNTIF($D$2:$D71,$D71)=1,1,0))</f>
        <v/>
      </c>
      <c r="AL71">
        <f>IF($AK71=1,SUMPRODUCT(--($AO$2:$AO$1501&lt;$AO71))+1,"")</f>
        <v/>
      </c>
      <c r="AM71">
        <f>IF($D71="","",IF(OR($R71=TRUE(),$R71="TRUE"),1,0))</f>
        <v/>
      </c>
      <c r="AN71">
        <f>IF($D71="","",IF($AA71="Yes",1,0))</f>
        <v/>
      </c>
      <c r="AO71">
        <f>IF($AK71=1,IFERROR(IF(VALUE($D71)&lt;100000000,VALUE($D71),1000000000),IFERROR(IF(VALUE(MID($D71,2,20))&lt;100000000,VALUE(MID($D71,2,20)),1000000000),1000000000))+ROW()/100000,"")</f>
        <v/>
      </c>
    </row>
    <row r="72">
      <c r="F72" s="11" t="n"/>
      <c r="N72" s="7">
        <f>IF($D72="","",M72*V72/100)</f>
        <v/>
      </c>
      <c r="O72" s="7" t="n"/>
      <c r="U72" s="7" t="n"/>
      <c r="V72" s="7" t="n"/>
      <c r="W72" s="7">
        <f>IF($D72="","",V72*AB72/100)</f>
        <v/>
      </c>
      <c r="X72" s="7">
        <f>IF($D72="","",V72-W72)</f>
        <v/>
      </c>
      <c r="Y72" s="7">
        <f>IF($D72="","",X72-N72)</f>
        <v/>
      </c>
      <c r="AB72">
        <f>IF($D72="","",IF($AN72=1,0,IF($AM72=1,Settings!$C$6,Settings!$C$7))*100)</f>
        <v/>
      </c>
      <c r="AF72" s="7" t="n"/>
      <c r="AI72" s="11" t="n"/>
      <c r="AK72">
        <f>IF($D72="","",IF(COUNTIF($D$2:$D72,$D72)=1,1,0))</f>
        <v/>
      </c>
      <c r="AL72">
        <f>IF($AK72=1,SUMPRODUCT(--($AO$2:$AO$1501&lt;$AO72))+1,"")</f>
        <v/>
      </c>
      <c r="AM72">
        <f>IF($D72="","",IF(OR($R72=TRUE(),$R72="TRUE"),1,0))</f>
        <v/>
      </c>
      <c r="AN72">
        <f>IF($D72="","",IF($AA72="Yes",1,0))</f>
        <v/>
      </c>
      <c r="AO72">
        <f>IF($AK72=1,IFERROR(IF(VALUE($D72)&lt;100000000,VALUE($D72),1000000000),IFERROR(IF(VALUE(MID($D72,2,20))&lt;100000000,VALUE(MID($D72,2,20)),1000000000),1000000000))+ROW()/100000,"")</f>
        <v/>
      </c>
    </row>
    <row r="73">
      <c r="F73" s="11" t="n"/>
      <c r="N73" s="7">
        <f>IF($D73="","",M73*V73/100)</f>
        <v/>
      </c>
      <c r="O73" s="7" t="n"/>
      <c r="U73" s="7" t="n"/>
      <c r="V73" s="7" t="n"/>
      <c r="W73" s="7">
        <f>IF($D73="","",V73*AB73/100)</f>
        <v/>
      </c>
      <c r="X73" s="7">
        <f>IF($D73="","",V73-W73)</f>
        <v/>
      </c>
      <c r="Y73" s="7">
        <f>IF($D73="","",X73-N73)</f>
        <v/>
      </c>
      <c r="AB73">
        <f>IF($D73="","",IF($AN73=1,0,IF($AM73=1,Settings!$C$6,Settings!$C$7))*100)</f>
        <v/>
      </c>
      <c r="AF73" s="7" t="n"/>
      <c r="AI73" s="11" t="n"/>
      <c r="AK73">
        <f>IF($D73="","",IF(COUNTIF($D$2:$D73,$D73)=1,1,0))</f>
        <v/>
      </c>
      <c r="AL73">
        <f>IF($AK73=1,SUMPRODUCT(--($AO$2:$AO$1501&lt;$AO73))+1,"")</f>
        <v/>
      </c>
      <c r="AM73">
        <f>IF($D73="","",IF(OR($R73=TRUE(),$R73="TRUE"),1,0))</f>
        <v/>
      </c>
      <c r="AN73">
        <f>IF($D73="","",IF($AA73="Yes",1,0))</f>
        <v/>
      </c>
      <c r="AO73">
        <f>IF($AK73=1,IFERROR(IF(VALUE($D73)&lt;100000000,VALUE($D73),1000000000),IFERROR(IF(VALUE(MID($D73,2,20))&lt;100000000,VALUE(MID($D73,2,20)),1000000000),1000000000))+ROW()/100000,"")</f>
        <v/>
      </c>
    </row>
    <row r="74">
      <c r="F74" s="11" t="n"/>
      <c r="N74" s="7">
        <f>IF($D74="","",M74*V74/100)</f>
        <v/>
      </c>
      <c r="O74" s="7" t="n"/>
      <c r="U74" s="7" t="n"/>
      <c r="V74" s="7" t="n"/>
      <c r="W74" s="7">
        <f>IF($D74="","",V74*AB74/100)</f>
        <v/>
      </c>
      <c r="X74" s="7">
        <f>IF($D74="","",V74-W74)</f>
        <v/>
      </c>
      <c r="Y74" s="7">
        <f>IF($D74="","",X74-N74)</f>
        <v/>
      </c>
      <c r="AB74">
        <f>IF($D74="","",IF($AN74=1,0,IF($AM74=1,Settings!$C$6,Settings!$C$7))*100)</f>
        <v/>
      </c>
      <c r="AF74" s="7" t="n"/>
      <c r="AI74" s="11" t="n"/>
      <c r="AK74">
        <f>IF($D74="","",IF(COUNTIF($D$2:$D74,$D74)=1,1,0))</f>
        <v/>
      </c>
      <c r="AL74">
        <f>IF($AK74=1,SUMPRODUCT(--($AO$2:$AO$1501&lt;$AO74))+1,"")</f>
        <v/>
      </c>
      <c r="AM74">
        <f>IF($D74="","",IF(OR($R74=TRUE(),$R74="TRUE"),1,0))</f>
        <v/>
      </c>
      <c r="AN74">
        <f>IF($D74="","",IF($AA74="Yes",1,0))</f>
        <v/>
      </c>
      <c r="AO74">
        <f>IF($AK74=1,IFERROR(IF(VALUE($D74)&lt;100000000,VALUE($D74),1000000000),IFERROR(IF(VALUE(MID($D74,2,20))&lt;100000000,VALUE(MID($D74,2,20)),1000000000),1000000000))+ROW()/100000,"")</f>
        <v/>
      </c>
    </row>
    <row r="75">
      <c r="F75" s="11" t="n"/>
      <c r="N75" s="7">
        <f>IF($D75="","",M75*V75/100)</f>
        <v/>
      </c>
      <c r="O75" s="7" t="n"/>
      <c r="U75" s="7" t="n"/>
      <c r="V75" s="7" t="n"/>
      <c r="W75" s="7">
        <f>IF($D75="","",V75*AB75/100)</f>
        <v/>
      </c>
      <c r="X75" s="7">
        <f>IF($D75="","",V75-W75)</f>
        <v/>
      </c>
      <c r="Y75" s="7">
        <f>IF($D75="","",X75-N75)</f>
        <v/>
      </c>
      <c r="AB75">
        <f>IF($D75="","",IF($AN75=1,0,IF($AM75=1,Settings!$C$6,Settings!$C$7))*100)</f>
        <v/>
      </c>
      <c r="AF75" s="7" t="n"/>
      <c r="AI75" s="11" t="n"/>
      <c r="AK75">
        <f>IF($D75="","",IF(COUNTIF($D$2:$D75,$D75)=1,1,0))</f>
        <v/>
      </c>
      <c r="AL75">
        <f>IF($AK75=1,SUMPRODUCT(--($AO$2:$AO$1501&lt;$AO75))+1,"")</f>
        <v/>
      </c>
      <c r="AM75">
        <f>IF($D75="","",IF(OR($R75=TRUE(),$R75="TRUE"),1,0))</f>
        <v/>
      </c>
      <c r="AN75">
        <f>IF($D75="","",IF($AA75="Yes",1,0))</f>
        <v/>
      </c>
      <c r="AO75">
        <f>IF($AK75=1,IFERROR(IF(VALUE($D75)&lt;100000000,VALUE($D75),1000000000),IFERROR(IF(VALUE(MID($D75,2,20))&lt;100000000,VALUE(MID($D75,2,20)),1000000000),1000000000))+ROW()/100000,"")</f>
        <v/>
      </c>
    </row>
    <row r="76">
      <c r="F76" s="11" t="n"/>
      <c r="N76" s="7">
        <f>IF($D76="","",M76*V76/100)</f>
        <v/>
      </c>
      <c r="O76" s="7" t="n"/>
      <c r="U76" s="7" t="n"/>
      <c r="V76" s="7" t="n"/>
      <c r="W76" s="7">
        <f>IF($D76="","",V76*AB76/100)</f>
        <v/>
      </c>
      <c r="X76" s="7">
        <f>IF($D76="","",V76-W76)</f>
        <v/>
      </c>
      <c r="Y76" s="7">
        <f>IF($D76="","",X76-N76)</f>
        <v/>
      </c>
      <c r="AB76">
        <f>IF($D76="","",IF($AN76=1,0,IF($AM76=1,Settings!$C$6,Settings!$C$7))*100)</f>
        <v/>
      </c>
      <c r="AF76" s="7" t="n"/>
      <c r="AI76" s="11" t="n"/>
      <c r="AK76">
        <f>IF($D76="","",IF(COUNTIF($D$2:$D76,$D76)=1,1,0))</f>
        <v/>
      </c>
      <c r="AL76">
        <f>IF($AK76=1,SUMPRODUCT(--($AO$2:$AO$1501&lt;$AO76))+1,"")</f>
        <v/>
      </c>
      <c r="AM76">
        <f>IF($D76="","",IF(OR($R76=TRUE(),$R76="TRUE"),1,0))</f>
        <v/>
      </c>
      <c r="AN76">
        <f>IF($D76="","",IF($AA76="Yes",1,0))</f>
        <v/>
      </c>
      <c r="AO76">
        <f>IF($AK76=1,IFERROR(IF(VALUE($D76)&lt;100000000,VALUE($D76),1000000000),IFERROR(IF(VALUE(MID($D76,2,20))&lt;100000000,VALUE(MID($D76,2,20)),1000000000),1000000000))+ROW()/100000,"")</f>
        <v/>
      </c>
    </row>
    <row r="77">
      <c r="F77" s="11" t="n"/>
      <c r="N77" s="7">
        <f>IF($D77="","",M77*V77/100)</f>
        <v/>
      </c>
      <c r="O77" s="7" t="n"/>
      <c r="U77" s="7" t="n"/>
      <c r="V77" s="7" t="n"/>
      <c r="W77" s="7">
        <f>IF($D77="","",V77*AB77/100)</f>
        <v/>
      </c>
      <c r="X77" s="7">
        <f>IF($D77="","",V77-W77)</f>
        <v/>
      </c>
      <c r="Y77" s="7">
        <f>IF($D77="","",X77-N77)</f>
        <v/>
      </c>
      <c r="AB77">
        <f>IF($D77="","",IF($AN77=1,0,IF($AM77=1,Settings!$C$6,Settings!$C$7))*100)</f>
        <v/>
      </c>
      <c r="AF77" s="7" t="n"/>
      <c r="AI77" s="11" t="n"/>
      <c r="AK77">
        <f>IF($D77="","",IF(COUNTIF($D$2:$D77,$D77)=1,1,0))</f>
        <v/>
      </c>
      <c r="AL77">
        <f>IF($AK77=1,SUMPRODUCT(--($AO$2:$AO$1501&lt;$AO77))+1,"")</f>
        <v/>
      </c>
      <c r="AM77">
        <f>IF($D77="","",IF(OR($R77=TRUE(),$R77="TRUE"),1,0))</f>
        <v/>
      </c>
      <c r="AN77">
        <f>IF($D77="","",IF($AA77="Yes",1,0))</f>
        <v/>
      </c>
      <c r="AO77">
        <f>IF($AK77=1,IFERROR(IF(VALUE($D77)&lt;100000000,VALUE($D77),1000000000),IFERROR(IF(VALUE(MID($D77,2,20))&lt;100000000,VALUE(MID($D77,2,20)),1000000000),1000000000))+ROW()/100000,"")</f>
        <v/>
      </c>
    </row>
    <row r="78">
      <c r="F78" s="11" t="n"/>
      <c r="N78" s="7">
        <f>IF($D78="","",M78*V78/100)</f>
        <v/>
      </c>
      <c r="O78" s="7" t="n"/>
      <c r="U78" s="7" t="n"/>
      <c r="V78" s="7" t="n"/>
      <c r="W78" s="7">
        <f>IF($D78="","",V78*AB78/100)</f>
        <v/>
      </c>
      <c r="X78" s="7">
        <f>IF($D78="","",V78-W78)</f>
        <v/>
      </c>
      <c r="Y78" s="7">
        <f>IF($D78="","",X78-N78)</f>
        <v/>
      </c>
      <c r="AB78">
        <f>IF($D78="","",IF($AN78=1,0,IF($AM78=1,Settings!$C$6,Settings!$C$7))*100)</f>
        <v/>
      </c>
      <c r="AF78" s="7" t="n"/>
      <c r="AI78" s="11" t="n"/>
      <c r="AK78">
        <f>IF($D78="","",IF(COUNTIF($D$2:$D78,$D78)=1,1,0))</f>
        <v/>
      </c>
      <c r="AL78">
        <f>IF($AK78=1,SUMPRODUCT(--($AO$2:$AO$1501&lt;$AO78))+1,"")</f>
        <v/>
      </c>
      <c r="AM78">
        <f>IF($D78="","",IF(OR($R78=TRUE(),$R78="TRUE"),1,0))</f>
        <v/>
      </c>
      <c r="AN78">
        <f>IF($D78="","",IF($AA78="Yes",1,0))</f>
        <v/>
      </c>
      <c r="AO78">
        <f>IF($AK78=1,IFERROR(IF(VALUE($D78)&lt;100000000,VALUE($D78),1000000000),IFERROR(IF(VALUE(MID($D78,2,20))&lt;100000000,VALUE(MID($D78,2,20)),1000000000),1000000000))+ROW()/100000,"")</f>
        <v/>
      </c>
    </row>
    <row r="79">
      <c r="F79" s="11" t="n"/>
      <c r="N79" s="7">
        <f>IF($D79="","",M79*V79/100)</f>
        <v/>
      </c>
      <c r="O79" s="7" t="n"/>
      <c r="U79" s="7" t="n"/>
      <c r="V79" s="7" t="n"/>
      <c r="W79" s="7">
        <f>IF($D79="","",V79*AB79/100)</f>
        <v/>
      </c>
      <c r="X79" s="7">
        <f>IF($D79="","",V79-W79)</f>
        <v/>
      </c>
      <c r="Y79" s="7">
        <f>IF($D79="","",X79-N79)</f>
        <v/>
      </c>
      <c r="AB79">
        <f>IF($D79="","",IF($AN79=1,0,IF($AM79=1,Settings!$C$6,Settings!$C$7))*100)</f>
        <v/>
      </c>
      <c r="AF79" s="7" t="n"/>
      <c r="AI79" s="11" t="n"/>
      <c r="AK79">
        <f>IF($D79="","",IF(COUNTIF($D$2:$D79,$D79)=1,1,0))</f>
        <v/>
      </c>
      <c r="AL79">
        <f>IF($AK79=1,SUMPRODUCT(--($AO$2:$AO$1501&lt;$AO79))+1,"")</f>
        <v/>
      </c>
      <c r="AM79">
        <f>IF($D79="","",IF(OR($R79=TRUE(),$R79="TRUE"),1,0))</f>
        <v/>
      </c>
      <c r="AN79">
        <f>IF($D79="","",IF($AA79="Yes",1,0))</f>
        <v/>
      </c>
      <c r="AO79">
        <f>IF($AK79=1,IFERROR(IF(VALUE($D79)&lt;100000000,VALUE($D79),1000000000),IFERROR(IF(VALUE(MID($D79,2,20))&lt;100000000,VALUE(MID($D79,2,20)),1000000000),1000000000))+ROW()/100000,"")</f>
        <v/>
      </c>
    </row>
    <row r="80">
      <c r="F80" s="11" t="n"/>
      <c r="N80" s="7">
        <f>IF($D80="","",M80*V80/100)</f>
        <v/>
      </c>
      <c r="O80" s="7" t="n"/>
      <c r="U80" s="7" t="n"/>
      <c r="V80" s="7" t="n"/>
      <c r="W80" s="7">
        <f>IF($D80="","",V80*AB80/100)</f>
        <v/>
      </c>
      <c r="X80" s="7">
        <f>IF($D80="","",V80-W80)</f>
        <v/>
      </c>
      <c r="Y80" s="7">
        <f>IF($D80="","",X80-N80)</f>
        <v/>
      </c>
      <c r="AB80">
        <f>IF($D80="","",IF($AN80=1,0,IF($AM80=1,Settings!$C$6,Settings!$C$7))*100)</f>
        <v/>
      </c>
      <c r="AF80" s="7" t="n"/>
      <c r="AI80" s="11" t="n"/>
      <c r="AK80">
        <f>IF($D80="","",IF(COUNTIF($D$2:$D80,$D80)=1,1,0))</f>
        <v/>
      </c>
      <c r="AL80">
        <f>IF($AK80=1,SUMPRODUCT(--($AO$2:$AO$1501&lt;$AO80))+1,"")</f>
        <v/>
      </c>
      <c r="AM80">
        <f>IF($D80="","",IF(OR($R80=TRUE(),$R80="TRUE"),1,0))</f>
        <v/>
      </c>
      <c r="AN80">
        <f>IF($D80="","",IF($AA80="Yes",1,0))</f>
        <v/>
      </c>
      <c r="AO80">
        <f>IF($AK80=1,IFERROR(IF(VALUE($D80)&lt;100000000,VALUE($D80),1000000000),IFERROR(IF(VALUE(MID($D80,2,20))&lt;100000000,VALUE(MID($D80,2,20)),1000000000),1000000000))+ROW()/100000,"")</f>
        <v/>
      </c>
    </row>
    <row r="81">
      <c r="F81" s="11" t="n"/>
      <c r="N81" s="7">
        <f>IF($D81="","",M81*V81/100)</f>
        <v/>
      </c>
      <c r="O81" s="7" t="n"/>
      <c r="U81" s="7" t="n"/>
      <c r="V81" s="7" t="n"/>
      <c r="W81" s="7">
        <f>IF($D81="","",V81*AB81/100)</f>
        <v/>
      </c>
      <c r="X81" s="7">
        <f>IF($D81="","",V81-W81)</f>
        <v/>
      </c>
      <c r="Y81" s="7">
        <f>IF($D81="","",X81-N81)</f>
        <v/>
      </c>
      <c r="AB81">
        <f>IF($D81="","",IF($AN81=1,0,IF($AM81=1,Settings!$C$6,Settings!$C$7))*100)</f>
        <v/>
      </c>
      <c r="AF81" s="7" t="n"/>
      <c r="AI81" s="11" t="n"/>
      <c r="AK81">
        <f>IF($D81="","",IF(COUNTIF($D$2:$D81,$D81)=1,1,0))</f>
        <v/>
      </c>
      <c r="AL81">
        <f>IF($AK81=1,SUMPRODUCT(--($AO$2:$AO$1501&lt;$AO81))+1,"")</f>
        <v/>
      </c>
      <c r="AM81">
        <f>IF($D81="","",IF(OR($R81=TRUE(),$R81="TRUE"),1,0))</f>
        <v/>
      </c>
      <c r="AN81">
        <f>IF($D81="","",IF($AA81="Yes",1,0))</f>
        <v/>
      </c>
      <c r="AO81">
        <f>IF($AK81=1,IFERROR(IF(VALUE($D81)&lt;100000000,VALUE($D81),1000000000),IFERROR(IF(VALUE(MID($D81,2,20))&lt;100000000,VALUE(MID($D81,2,20)),1000000000),1000000000))+ROW()/100000,"")</f>
        <v/>
      </c>
    </row>
    <row r="82">
      <c r="F82" s="11" t="n"/>
      <c r="N82" s="7">
        <f>IF($D82="","",M82*V82/100)</f>
        <v/>
      </c>
      <c r="O82" s="7" t="n"/>
      <c r="U82" s="7" t="n"/>
      <c r="V82" s="7" t="n"/>
      <c r="W82" s="7">
        <f>IF($D82="","",V82*AB82/100)</f>
        <v/>
      </c>
      <c r="X82" s="7">
        <f>IF($D82="","",V82-W82)</f>
        <v/>
      </c>
      <c r="Y82" s="7">
        <f>IF($D82="","",X82-N82)</f>
        <v/>
      </c>
      <c r="AB82">
        <f>IF($D82="","",IF($AN82=1,0,IF($AM82=1,Settings!$C$6,Settings!$C$7))*100)</f>
        <v/>
      </c>
      <c r="AF82" s="7" t="n"/>
      <c r="AI82" s="11" t="n"/>
      <c r="AK82">
        <f>IF($D82="","",IF(COUNTIF($D$2:$D82,$D82)=1,1,0))</f>
        <v/>
      </c>
      <c r="AL82">
        <f>IF($AK82=1,SUMPRODUCT(--($AO$2:$AO$1501&lt;$AO82))+1,"")</f>
        <v/>
      </c>
      <c r="AM82">
        <f>IF($D82="","",IF(OR($R82=TRUE(),$R82="TRUE"),1,0))</f>
        <v/>
      </c>
      <c r="AN82">
        <f>IF($D82="","",IF($AA82="Yes",1,0))</f>
        <v/>
      </c>
      <c r="AO82">
        <f>IF($AK82=1,IFERROR(IF(VALUE($D82)&lt;100000000,VALUE($D82),1000000000),IFERROR(IF(VALUE(MID($D82,2,20))&lt;100000000,VALUE(MID($D82,2,20)),1000000000),1000000000))+ROW()/100000,"")</f>
        <v/>
      </c>
    </row>
    <row r="83">
      <c r="F83" s="11" t="n"/>
      <c r="N83" s="7">
        <f>IF($D83="","",M83*V83/100)</f>
        <v/>
      </c>
      <c r="O83" s="7" t="n"/>
      <c r="U83" s="7" t="n"/>
      <c r="V83" s="7" t="n"/>
      <c r="W83" s="7">
        <f>IF($D83="","",V83*AB83/100)</f>
        <v/>
      </c>
      <c r="X83" s="7">
        <f>IF($D83="","",V83-W83)</f>
        <v/>
      </c>
      <c r="Y83" s="7">
        <f>IF($D83="","",X83-N83)</f>
        <v/>
      </c>
      <c r="AB83">
        <f>IF($D83="","",IF($AN83=1,0,IF($AM83=1,Settings!$C$6,Settings!$C$7))*100)</f>
        <v/>
      </c>
      <c r="AF83" s="7" t="n"/>
      <c r="AI83" s="11" t="n"/>
      <c r="AK83">
        <f>IF($D83="","",IF(COUNTIF($D$2:$D83,$D83)=1,1,0))</f>
        <v/>
      </c>
      <c r="AL83">
        <f>IF($AK83=1,SUMPRODUCT(--($AO$2:$AO$1501&lt;$AO83))+1,"")</f>
        <v/>
      </c>
      <c r="AM83">
        <f>IF($D83="","",IF(OR($R83=TRUE(),$R83="TRUE"),1,0))</f>
        <v/>
      </c>
      <c r="AN83">
        <f>IF($D83="","",IF($AA83="Yes",1,0))</f>
        <v/>
      </c>
      <c r="AO83">
        <f>IF($AK83=1,IFERROR(IF(VALUE($D83)&lt;100000000,VALUE($D83),1000000000),IFERROR(IF(VALUE(MID($D83,2,20))&lt;100000000,VALUE(MID($D83,2,20)),1000000000),1000000000))+ROW()/100000,"")</f>
        <v/>
      </c>
    </row>
    <row r="84">
      <c r="F84" s="11" t="n"/>
      <c r="N84" s="7">
        <f>IF($D84="","",M84*V84/100)</f>
        <v/>
      </c>
      <c r="O84" s="7" t="n"/>
      <c r="U84" s="7" t="n"/>
      <c r="V84" s="7" t="n"/>
      <c r="W84" s="7">
        <f>IF($D84="","",V84*AB84/100)</f>
        <v/>
      </c>
      <c r="X84" s="7">
        <f>IF($D84="","",V84-W84)</f>
        <v/>
      </c>
      <c r="Y84" s="7">
        <f>IF($D84="","",X84-N84)</f>
        <v/>
      </c>
      <c r="AB84">
        <f>IF($D84="","",IF($AN84=1,0,IF($AM84=1,Settings!$C$6,Settings!$C$7))*100)</f>
        <v/>
      </c>
      <c r="AF84" s="7" t="n"/>
      <c r="AI84" s="11" t="n"/>
      <c r="AK84">
        <f>IF($D84="","",IF(COUNTIF($D$2:$D84,$D84)=1,1,0))</f>
        <v/>
      </c>
      <c r="AL84">
        <f>IF($AK84=1,SUMPRODUCT(--($AO$2:$AO$1501&lt;$AO84))+1,"")</f>
        <v/>
      </c>
      <c r="AM84">
        <f>IF($D84="","",IF(OR($R84=TRUE(),$R84="TRUE"),1,0))</f>
        <v/>
      </c>
      <c r="AN84">
        <f>IF($D84="","",IF($AA84="Yes",1,0))</f>
        <v/>
      </c>
      <c r="AO84">
        <f>IF($AK84=1,IFERROR(IF(VALUE($D84)&lt;100000000,VALUE($D84),1000000000),IFERROR(IF(VALUE(MID($D84,2,20))&lt;100000000,VALUE(MID($D84,2,20)),1000000000),1000000000))+ROW()/100000,"")</f>
        <v/>
      </c>
    </row>
    <row r="85">
      <c r="F85" s="11" t="n"/>
      <c r="N85" s="7">
        <f>IF($D85="","",M85*V85/100)</f>
        <v/>
      </c>
      <c r="O85" s="7" t="n"/>
      <c r="U85" s="7" t="n"/>
      <c r="V85" s="7" t="n"/>
      <c r="W85" s="7">
        <f>IF($D85="","",V85*AB85/100)</f>
        <v/>
      </c>
      <c r="X85" s="7">
        <f>IF($D85="","",V85-W85)</f>
        <v/>
      </c>
      <c r="Y85" s="7">
        <f>IF($D85="","",X85-N85)</f>
        <v/>
      </c>
      <c r="AB85">
        <f>IF($D85="","",IF($AN85=1,0,IF($AM85=1,Settings!$C$6,Settings!$C$7))*100)</f>
        <v/>
      </c>
      <c r="AF85" s="7" t="n"/>
      <c r="AI85" s="11" t="n"/>
      <c r="AK85">
        <f>IF($D85="","",IF(COUNTIF($D$2:$D85,$D85)=1,1,0))</f>
        <v/>
      </c>
      <c r="AL85">
        <f>IF($AK85=1,SUMPRODUCT(--($AO$2:$AO$1501&lt;$AO85))+1,"")</f>
        <v/>
      </c>
      <c r="AM85">
        <f>IF($D85="","",IF(OR($R85=TRUE(),$R85="TRUE"),1,0))</f>
        <v/>
      </c>
      <c r="AN85">
        <f>IF($D85="","",IF($AA85="Yes",1,0))</f>
        <v/>
      </c>
      <c r="AO85">
        <f>IF($AK85=1,IFERROR(IF(VALUE($D85)&lt;100000000,VALUE($D85),1000000000),IFERROR(IF(VALUE(MID($D85,2,20))&lt;100000000,VALUE(MID($D85,2,20)),1000000000),1000000000))+ROW()/100000,"")</f>
        <v/>
      </c>
    </row>
    <row r="86">
      <c r="F86" s="11" t="n"/>
      <c r="N86" s="7">
        <f>IF($D86="","",M86*V86/100)</f>
        <v/>
      </c>
      <c r="O86" s="7" t="n"/>
      <c r="U86" s="7" t="n"/>
      <c r="V86" s="7" t="n"/>
      <c r="W86" s="7">
        <f>IF($D86="","",V86*AB86/100)</f>
        <v/>
      </c>
      <c r="X86" s="7">
        <f>IF($D86="","",V86-W86)</f>
        <v/>
      </c>
      <c r="Y86" s="7">
        <f>IF($D86="","",X86-N86)</f>
        <v/>
      </c>
      <c r="AB86">
        <f>IF($D86="","",IF($AN86=1,0,IF($AM86=1,Settings!$C$6,Settings!$C$7))*100)</f>
        <v/>
      </c>
      <c r="AF86" s="7" t="n"/>
      <c r="AI86" s="11" t="n"/>
      <c r="AK86">
        <f>IF($D86="","",IF(COUNTIF($D$2:$D86,$D86)=1,1,0))</f>
        <v/>
      </c>
      <c r="AL86">
        <f>IF($AK86=1,SUMPRODUCT(--($AO$2:$AO$1501&lt;$AO86))+1,"")</f>
        <v/>
      </c>
      <c r="AM86">
        <f>IF($D86="","",IF(OR($R86=TRUE(),$R86="TRUE"),1,0))</f>
        <v/>
      </c>
      <c r="AN86">
        <f>IF($D86="","",IF($AA86="Yes",1,0))</f>
        <v/>
      </c>
      <c r="AO86">
        <f>IF($AK86=1,IFERROR(IF(VALUE($D86)&lt;100000000,VALUE($D86),1000000000),IFERROR(IF(VALUE(MID($D86,2,20))&lt;100000000,VALUE(MID($D86,2,20)),1000000000),1000000000))+ROW()/100000,"")</f>
        <v/>
      </c>
    </row>
    <row r="87">
      <c r="F87" s="11" t="n"/>
      <c r="N87" s="7">
        <f>IF($D87="","",M87*V87/100)</f>
        <v/>
      </c>
      <c r="O87" s="7" t="n"/>
      <c r="U87" s="7" t="n"/>
      <c r="V87" s="7" t="n"/>
      <c r="W87" s="7">
        <f>IF($D87="","",V87*AB87/100)</f>
        <v/>
      </c>
      <c r="X87" s="7">
        <f>IF($D87="","",V87-W87)</f>
        <v/>
      </c>
      <c r="Y87" s="7">
        <f>IF($D87="","",X87-N87)</f>
        <v/>
      </c>
      <c r="AB87">
        <f>IF($D87="","",IF($AN87=1,0,IF($AM87=1,Settings!$C$6,Settings!$C$7))*100)</f>
        <v/>
      </c>
      <c r="AF87" s="7" t="n"/>
      <c r="AI87" s="11" t="n"/>
      <c r="AK87">
        <f>IF($D87="","",IF(COUNTIF($D$2:$D87,$D87)=1,1,0))</f>
        <v/>
      </c>
      <c r="AL87">
        <f>IF($AK87=1,SUMPRODUCT(--($AO$2:$AO$1501&lt;$AO87))+1,"")</f>
        <v/>
      </c>
      <c r="AM87">
        <f>IF($D87="","",IF(OR($R87=TRUE(),$R87="TRUE"),1,0))</f>
        <v/>
      </c>
      <c r="AN87">
        <f>IF($D87="","",IF($AA87="Yes",1,0))</f>
        <v/>
      </c>
      <c r="AO87">
        <f>IF($AK87=1,IFERROR(IF(VALUE($D87)&lt;100000000,VALUE($D87),1000000000),IFERROR(IF(VALUE(MID($D87,2,20))&lt;100000000,VALUE(MID($D87,2,20)),1000000000),1000000000))+ROW()/100000,"")</f>
        <v/>
      </c>
    </row>
    <row r="88">
      <c r="F88" s="11" t="n"/>
      <c r="N88" s="7">
        <f>IF($D88="","",M88*V88/100)</f>
        <v/>
      </c>
      <c r="O88" s="7" t="n"/>
      <c r="U88" s="7" t="n"/>
      <c r="V88" s="7" t="n"/>
      <c r="W88" s="7">
        <f>IF($D88="","",V88*AB88/100)</f>
        <v/>
      </c>
      <c r="X88" s="7">
        <f>IF($D88="","",V88-W88)</f>
        <v/>
      </c>
      <c r="Y88" s="7">
        <f>IF($D88="","",X88-N88)</f>
        <v/>
      </c>
      <c r="AB88">
        <f>IF($D88="","",IF($AN88=1,0,IF($AM88=1,Settings!$C$6,Settings!$C$7))*100)</f>
        <v/>
      </c>
      <c r="AF88" s="7" t="n"/>
      <c r="AI88" s="11" t="n"/>
      <c r="AK88">
        <f>IF($D88="","",IF(COUNTIF($D$2:$D88,$D88)=1,1,0))</f>
        <v/>
      </c>
      <c r="AL88">
        <f>IF($AK88=1,SUMPRODUCT(--($AO$2:$AO$1501&lt;$AO88))+1,"")</f>
        <v/>
      </c>
      <c r="AM88">
        <f>IF($D88="","",IF(OR($R88=TRUE(),$R88="TRUE"),1,0))</f>
        <v/>
      </c>
      <c r="AN88">
        <f>IF($D88="","",IF($AA88="Yes",1,0))</f>
        <v/>
      </c>
      <c r="AO88">
        <f>IF($AK88=1,IFERROR(IF(VALUE($D88)&lt;100000000,VALUE($D88),1000000000),IFERROR(IF(VALUE(MID($D88,2,20))&lt;100000000,VALUE(MID($D88,2,20)),1000000000),1000000000))+ROW()/100000,"")</f>
        <v/>
      </c>
    </row>
    <row r="89">
      <c r="F89" s="11" t="n"/>
      <c r="N89" s="7">
        <f>IF($D89="","",M89*V89/100)</f>
        <v/>
      </c>
      <c r="O89" s="7" t="n"/>
      <c r="U89" s="7" t="n"/>
      <c r="V89" s="7" t="n"/>
      <c r="W89" s="7">
        <f>IF($D89="","",V89*AB89/100)</f>
        <v/>
      </c>
      <c r="X89" s="7">
        <f>IF($D89="","",V89-W89)</f>
        <v/>
      </c>
      <c r="Y89" s="7">
        <f>IF($D89="","",X89-N89)</f>
        <v/>
      </c>
      <c r="AB89">
        <f>IF($D89="","",IF($AN89=1,0,IF($AM89=1,Settings!$C$6,Settings!$C$7))*100)</f>
        <v/>
      </c>
      <c r="AF89" s="7" t="n"/>
      <c r="AI89" s="11" t="n"/>
      <c r="AK89">
        <f>IF($D89="","",IF(COUNTIF($D$2:$D89,$D89)=1,1,0))</f>
        <v/>
      </c>
      <c r="AL89">
        <f>IF($AK89=1,SUMPRODUCT(--($AO$2:$AO$1501&lt;$AO89))+1,"")</f>
        <v/>
      </c>
      <c r="AM89">
        <f>IF($D89="","",IF(OR($R89=TRUE(),$R89="TRUE"),1,0))</f>
        <v/>
      </c>
      <c r="AN89">
        <f>IF($D89="","",IF($AA89="Yes",1,0))</f>
        <v/>
      </c>
      <c r="AO89">
        <f>IF($AK89=1,IFERROR(IF(VALUE($D89)&lt;100000000,VALUE($D89),1000000000),IFERROR(IF(VALUE(MID($D89,2,20))&lt;100000000,VALUE(MID($D89,2,20)),1000000000),1000000000))+ROW()/100000,"")</f>
        <v/>
      </c>
    </row>
    <row r="90">
      <c r="F90" s="11" t="n"/>
      <c r="N90" s="7">
        <f>IF($D90="","",M90*V90/100)</f>
        <v/>
      </c>
      <c r="O90" s="7" t="n"/>
      <c r="U90" s="7" t="n"/>
      <c r="V90" s="7" t="n"/>
      <c r="W90" s="7">
        <f>IF($D90="","",V90*AB90/100)</f>
        <v/>
      </c>
      <c r="X90" s="7">
        <f>IF($D90="","",V90-W90)</f>
        <v/>
      </c>
      <c r="Y90" s="7">
        <f>IF($D90="","",X90-N90)</f>
        <v/>
      </c>
      <c r="AB90">
        <f>IF($D90="","",IF($AN90=1,0,IF($AM90=1,Settings!$C$6,Settings!$C$7))*100)</f>
        <v/>
      </c>
      <c r="AF90" s="7" t="n"/>
      <c r="AI90" s="11" t="n"/>
      <c r="AK90">
        <f>IF($D90="","",IF(COUNTIF($D$2:$D90,$D90)=1,1,0))</f>
        <v/>
      </c>
      <c r="AL90">
        <f>IF($AK90=1,SUMPRODUCT(--($AO$2:$AO$1501&lt;$AO90))+1,"")</f>
        <v/>
      </c>
      <c r="AM90">
        <f>IF($D90="","",IF(OR($R90=TRUE(),$R90="TRUE"),1,0))</f>
        <v/>
      </c>
      <c r="AN90">
        <f>IF($D90="","",IF($AA90="Yes",1,0))</f>
        <v/>
      </c>
      <c r="AO90">
        <f>IF($AK90=1,IFERROR(IF(VALUE($D90)&lt;100000000,VALUE($D90),1000000000),IFERROR(IF(VALUE(MID($D90,2,20))&lt;100000000,VALUE(MID($D90,2,20)),1000000000),1000000000))+ROW()/100000,"")</f>
        <v/>
      </c>
    </row>
    <row r="91">
      <c r="F91" s="11" t="n"/>
      <c r="N91" s="7">
        <f>IF($D91="","",M91*V91/100)</f>
        <v/>
      </c>
      <c r="O91" s="7" t="n"/>
      <c r="U91" s="7" t="n"/>
      <c r="V91" s="7" t="n"/>
      <c r="W91" s="7">
        <f>IF($D91="","",V91*AB91/100)</f>
        <v/>
      </c>
      <c r="X91" s="7">
        <f>IF($D91="","",V91-W91)</f>
        <v/>
      </c>
      <c r="Y91" s="7">
        <f>IF($D91="","",X91-N91)</f>
        <v/>
      </c>
      <c r="AB91">
        <f>IF($D91="","",IF($AN91=1,0,IF($AM91=1,Settings!$C$6,Settings!$C$7))*100)</f>
        <v/>
      </c>
      <c r="AF91" s="7" t="n"/>
      <c r="AI91" s="11" t="n"/>
      <c r="AK91">
        <f>IF($D91="","",IF(COUNTIF($D$2:$D91,$D91)=1,1,0))</f>
        <v/>
      </c>
      <c r="AL91">
        <f>IF($AK91=1,SUMPRODUCT(--($AO$2:$AO$1501&lt;$AO91))+1,"")</f>
        <v/>
      </c>
      <c r="AM91">
        <f>IF($D91="","",IF(OR($R91=TRUE(),$R91="TRUE"),1,0))</f>
        <v/>
      </c>
      <c r="AN91">
        <f>IF($D91="","",IF($AA91="Yes",1,0))</f>
        <v/>
      </c>
      <c r="AO91">
        <f>IF($AK91=1,IFERROR(IF(VALUE($D91)&lt;100000000,VALUE($D91),1000000000),IFERROR(IF(VALUE(MID($D91,2,20))&lt;100000000,VALUE(MID($D91,2,20)),1000000000),1000000000))+ROW()/100000,"")</f>
        <v/>
      </c>
    </row>
    <row r="92">
      <c r="F92" s="11" t="n"/>
      <c r="N92" s="7">
        <f>IF($D92="","",M92*V92/100)</f>
        <v/>
      </c>
      <c r="O92" s="7" t="n"/>
      <c r="U92" s="7" t="n"/>
      <c r="V92" s="7" t="n"/>
      <c r="W92" s="7">
        <f>IF($D92="","",V92*AB92/100)</f>
        <v/>
      </c>
      <c r="X92" s="7">
        <f>IF($D92="","",V92-W92)</f>
        <v/>
      </c>
      <c r="Y92" s="7">
        <f>IF($D92="","",X92-N92)</f>
        <v/>
      </c>
      <c r="AB92">
        <f>IF($D92="","",IF($AN92=1,0,IF($AM92=1,Settings!$C$6,Settings!$C$7))*100)</f>
        <v/>
      </c>
      <c r="AF92" s="7" t="n"/>
      <c r="AI92" s="11" t="n"/>
      <c r="AK92">
        <f>IF($D92="","",IF(COUNTIF($D$2:$D92,$D92)=1,1,0))</f>
        <v/>
      </c>
      <c r="AL92">
        <f>IF($AK92=1,SUMPRODUCT(--($AO$2:$AO$1501&lt;$AO92))+1,"")</f>
        <v/>
      </c>
      <c r="AM92">
        <f>IF($D92="","",IF(OR($R92=TRUE(),$R92="TRUE"),1,0))</f>
        <v/>
      </c>
      <c r="AN92">
        <f>IF($D92="","",IF($AA92="Yes",1,0))</f>
        <v/>
      </c>
      <c r="AO92">
        <f>IF($AK92=1,IFERROR(IF(VALUE($D92)&lt;100000000,VALUE($D92),1000000000),IFERROR(IF(VALUE(MID($D92,2,20))&lt;100000000,VALUE(MID($D92,2,20)),1000000000),1000000000))+ROW()/100000,"")</f>
        <v/>
      </c>
    </row>
    <row r="93">
      <c r="F93" s="11" t="n"/>
      <c r="N93" s="7">
        <f>IF($D93="","",M93*V93/100)</f>
        <v/>
      </c>
      <c r="O93" s="7" t="n"/>
      <c r="U93" s="7" t="n"/>
      <c r="V93" s="7" t="n"/>
      <c r="W93" s="7">
        <f>IF($D93="","",V93*AB93/100)</f>
        <v/>
      </c>
      <c r="X93" s="7">
        <f>IF($D93="","",V93-W93)</f>
        <v/>
      </c>
      <c r="Y93" s="7">
        <f>IF($D93="","",X93-N93)</f>
        <v/>
      </c>
      <c r="AB93">
        <f>IF($D93="","",IF($AN93=1,0,IF($AM93=1,Settings!$C$6,Settings!$C$7))*100)</f>
        <v/>
      </c>
      <c r="AF93" s="7" t="n"/>
      <c r="AI93" s="11" t="n"/>
      <c r="AK93">
        <f>IF($D93="","",IF(COUNTIF($D$2:$D93,$D93)=1,1,0))</f>
        <v/>
      </c>
      <c r="AL93">
        <f>IF($AK93=1,SUMPRODUCT(--($AO$2:$AO$1501&lt;$AO93))+1,"")</f>
        <v/>
      </c>
      <c r="AM93">
        <f>IF($D93="","",IF(OR($R93=TRUE(),$R93="TRUE"),1,0))</f>
        <v/>
      </c>
      <c r="AN93">
        <f>IF($D93="","",IF($AA93="Yes",1,0))</f>
        <v/>
      </c>
      <c r="AO93">
        <f>IF($AK93=1,IFERROR(IF(VALUE($D93)&lt;100000000,VALUE($D93),1000000000),IFERROR(IF(VALUE(MID($D93,2,20))&lt;100000000,VALUE(MID($D93,2,20)),1000000000),1000000000))+ROW()/100000,"")</f>
        <v/>
      </c>
    </row>
    <row r="94">
      <c r="F94" s="11" t="n"/>
      <c r="N94" s="7">
        <f>IF($D94="","",M94*V94/100)</f>
        <v/>
      </c>
      <c r="O94" s="7" t="n"/>
      <c r="U94" s="7" t="n"/>
      <c r="V94" s="7" t="n"/>
      <c r="W94" s="7">
        <f>IF($D94="","",V94*AB94/100)</f>
        <v/>
      </c>
      <c r="X94" s="7">
        <f>IF($D94="","",V94-W94)</f>
        <v/>
      </c>
      <c r="Y94" s="7">
        <f>IF($D94="","",X94-N94)</f>
        <v/>
      </c>
      <c r="AB94">
        <f>IF($D94="","",IF($AN94=1,0,IF($AM94=1,Settings!$C$6,Settings!$C$7))*100)</f>
        <v/>
      </c>
      <c r="AF94" s="7" t="n"/>
      <c r="AI94" s="11" t="n"/>
      <c r="AK94">
        <f>IF($D94="","",IF(COUNTIF($D$2:$D94,$D94)=1,1,0))</f>
        <v/>
      </c>
      <c r="AL94">
        <f>IF($AK94=1,SUMPRODUCT(--($AO$2:$AO$1501&lt;$AO94))+1,"")</f>
        <v/>
      </c>
      <c r="AM94">
        <f>IF($D94="","",IF(OR($R94=TRUE(),$R94="TRUE"),1,0))</f>
        <v/>
      </c>
      <c r="AN94">
        <f>IF($D94="","",IF($AA94="Yes",1,0))</f>
        <v/>
      </c>
      <c r="AO94">
        <f>IF($AK94=1,IFERROR(IF(VALUE($D94)&lt;100000000,VALUE($D94),1000000000),IFERROR(IF(VALUE(MID($D94,2,20))&lt;100000000,VALUE(MID($D94,2,20)),1000000000),1000000000))+ROW()/100000,"")</f>
        <v/>
      </c>
    </row>
    <row r="95">
      <c r="F95" s="11" t="n"/>
      <c r="N95" s="7">
        <f>IF($D95="","",M95*V95/100)</f>
        <v/>
      </c>
      <c r="O95" s="7" t="n"/>
      <c r="U95" s="7" t="n"/>
      <c r="V95" s="7" t="n"/>
      <c r="W95" s="7">
        <f>IF($D95="","",V95*AB95/100)</f>
        <v/>
      </c>
      <c r="X95" s="7">
        <f>IF($D95="","",V95-W95)</f>
        <v/>
      </c>
      <c r="Y95" s="7">
        <f>IF($D95="","",X95-N95)</f>
        <v/>
      </c>
      <c r="AB95">
        <f>IF($D95="","",IF($AN95=1,0,IF($AM95=1,Settings!$C$6,Settings!$C$7))*100)</f>
        <v/>
      </c>
      <c r="AF95" s="7" t="n"/>
      <c r="AI95" s="11" t="n"/>
      <c r="AK95">
        <f>IF($D95="","",IF(COUNTIF($D$2:$D95,$D95)=1,1,0))</f>
        <v/>
      </c>
      <c r="AL95">
        <f>IF($AK95=1,SUMPRODUCT(--($AO$2:$AO$1501&lt;$AO95))+1,"")</f>
        <v/>
      </c>
      <c r="AM95">
        <f>IF($D95="","",IF(OR($R95=TRUE(),$R95="TRUE"),1,0))</f>
        <v/>
      </c>
      <c r="AN95">
        <f>IF($D95="","",IF($AA95="Yes",1,0))</f>
        <v/>
      </c>
      <c r="AO95">
        <f>IF($AK95=1,IFERROR(IF(VALUE($D95)&lt;100000000,VALUE($D95),1000000000),IFERROR(IF(VALUE(MID($D95,2,20))&lt;100000000,VALUE(MID($D95,2,20)),1000000000),1000000000))+ROW()/100000,"")</f>
        <v/>
      </c>
    </row>
    <row r="96">
      <c r="F96" s="11" t="n"/>
      <c r="N96" s="7">
        <f>IF($D96="","",M96*V96/100)</f>
        <v/>
      </c>
      <c r="O96" s="7" t="n"/>
      <c r="U96" s="7" t="n"/>
      <c r="V96" s="7" t="n"/>
      <c r="W96" s="7">
        <f>IF($D96="","",V96*AB96/100)</f>
        <v/>
      </c>
      <c r="X96" s="7">
        <f>IF($D96="","",V96-W96)</f>
        <v/>
      </c>
      <c r="Y96" s="7">
        <f>IF($D96="","",X96-N96)</f>
        <v/>
      </c>
      <c r="AB96">
        <f>IF($D96="","",IF($AN96=1,0,IF($AM96=1,Settings!$C$6,Settings!$C$7))*100)</f>
        <v/>
      </c>
      <c r="AF96" s="7" t="n"/>
      <c r="AI96" s="11" t="n"/>
      <c r="AK96">
        <f>IF($D96="","",IF(COUNTIF($D$2:$D96,$D96)=1,1,0))</f>
        <v/>
      </c>
      <c r="AL96">
        <f>IF($AK96=1,SUMPRODUCT(--($AO$2:$AO$1501&lt;$AO96))+1,"")</f>
        <v/>
      </c>
      <c r="AM96">
        <f>IF($D96="","",IF(OR($R96=TRUE(),$R96="TRUE"),1,0))</f>
        <v/>
      </c>
      <c r="AN96">
        <f>IF($D96="","",IF($AA96="Yes",1,0))</f>
        <v/>
      </c>
      <c r="AO96">
        <f>IF($AK96=1,IFERROR(IF(VALUE($D96)&lt;100000000,VALUE($D96),1000000000),IFERROR(IF(VALUE(MID($D96,2,20))&lt;100000000,VALUE(MID($D96,2,20)),1000000000),1000000000))+ROW()/100000,"")</f>
        <v/>
      </c>
    </row>
    <row r="97">
      <c r="F97" s="11" t="n"/>
      <c r="N97" s="7">
        <f>IF($D97="","",M97*V97/100)</f>
        <v/>
      </c>
      <c r="O97" s="7" t="n"/>
      <c r="U97" s="7" t="n"/>
      <c r="V97" s="7" t="n"/>
      <c r="W97" s="7">
        <f>IF($D97="","",V97*AB97/100)</f>
        <v/>
      </c>
      <c r="X97" s="7">
        <f>IF($D97="","",V97-W97)</f>
        <v/>
      </c>
      <c r="Y97" s="7">
        <f>IF($D97="","",X97-N97)</f>
        <v/>
      </c>
      <c r="AB97">
        <f>IF($D97="","",IF($AN97=1,0,IF($AM97=1,Settings!$C$6,Settings!$C$7))*100)</f>
        <v/>
      </c>
      <c r="AF97" s="7" t="n"/>
      <c r="AI97" s="11" t="n"/>
      <c r="AK97">
        <f>IF($D97="","",IF(COUNTIF($D$2:$D97,$D97)=1,1,0))</f>
        <v/>
      </c>
      <c r="AL97">
        <f>IF($AK97=1,SUMPRODUCT(--($AO$2:$AO$1501&lt;$AO97))+1,"")</f>
        <v/>
      </c>
      <c r="AM97">
        <f>IF($D97="","",IF(OR($R97=TRUE(),$R97="TRUE"),1,0))</f>
        <v/>
      </c>
      <c r="AN97">
        <f>IF($D97="","",IF($AA97="Yes",1,0))</f>
        <v/>
      </c>
      <c r="AO97">
        <f>IF($AK97=1,IFERROR(IF(VALUE($D97)&lt;100000000,VALUE($D97),1000000000),IFERROR(IF(VALUE(MID($D97,2,20))&lt;100000000,VALUE(MID($D97,2,20)),1000000000),1000000000))+ROW()/100000,"")</f>
        <v/>
      </c>
    </row>
    <row r="98">
      <c r="F98" s="11" t="n"/>
      <c r="N98" s="7">
        <f>IF($D98="","",M98*V98/100)</f>
        <v/>
      </c>
      <c r="O98" s="7" t="n"/>
      <c r="U98" s="7" t="n"/>
      <c r="V98" s="7" t="n"/>
      <c r="W98" s="7">
        <f>IF($D98="","",V98*AB98/100)</f>
        <v/>
      </c>
      <c r="X98" s="7">
        <f>IF($D98="","",V98-W98)</f>
        <v/>
      </c>
      <c r="Y98" s="7">
        <f>IF($D98="","",X98-N98)</f>
        <v/>
      </c>
      <c r="AB98">
        <f>IF($D98="","",IF($AN98=1,0,IF($AM98=1,Settings!$C$6,Settings!$C$7))*100)</f>
        <v/>
      </c>
      <c r="AF98" s="7" t="n"/>
      <c r="AI98" s="11" t="n"/>
      <c r="AK98">
        <f>IF($D98="","",IF(COUNTIF($D$2:$D98,$D98)=1,1,0))</f>
        <v/>
      </c>
      <c r="AL98">
        <f>IF($AK98=1,SUMPRODUCT(--($AO$2:$AO$1501&lt;$AO98))+1,"")</f>
        <v/>
      </c>
      <c r="AM98">
        <f>IF($D98="","",IF(OR($R98=TRUE(),$R98="TRUE"),1,0))</f>
        <v/>
      </c>
      <c r="AN98">
        <f>IF($D98="","",IF($AA98="Yes",1,0))</f>
        <v/>
      </c>
      <c r="AO98">
        <f>IF($AK98=1,IFERROR(IF(VALUE($D98)&lt;100000000,VALUE($D98),1000000000),IFERROR(IF(VALUE(MID($D98,2,20))&lt;100000000,VALUE(MID($D98,2,20)),1000000000),1000000000))+ROW()/100000,"")</f>
        <v/>
      </c>
    </row>
    <row r="99">
      <c r="F99" s="11" t="n"/>
      <c r="N99" s="7">
        <f>IF($D99="","",M99*V99/100)</f>
        <v/>
      </c>
      <c r="O99" s="7" t="n"/>
      <c r="U99" s="7" t="n"/>
      <c r="V99" s="7" t="n"/>
      <c r="W99" s="7">
        <f>IF($D99="","",V99*AB99/100)</f>
        <v/>
      </c>
      <c r="X99" s="7">
        <f>IF($D99="","",V99-W99)</f>
        <v/>
      </c>
      <c r="Y99" s="7">
        <f>IF($D99="","",X99-N99)</f>
        <v/>
      </c>
      <c r="AB99">
        <f>IF($D99="","",IF($AN99=1,0,IF($AM99=1,Settings!$C$6,Settings!$C$7))*100)</f>
        <v/>
      </c>
      <c r="AF99" s="7" t="n"/>
      <c r="AI99" s="11" t="n"/>
      <c r="AK99">
        <f>IF($D99="","",IF(COUNTIF($D$2:$D99,$D99)=1,1,0))</f>
        <v/>
      </c>
      <c r="AL99">
        <f>IF($AK99=1,SUMPRODUCT(--($AO$2:$AO$1501&lt;$AO99))+1,"")</f>
        <v/>
      </c>
      <c r="AM99">
        <f>IF($D99="","",IF(OR($R99=TRUE(),$R99="TRUE"),1,0))</f>
        <v/>
      </c>
      <c r="AN99">
        <f>IF($D99="","",IF($AA99="Yes",1,0))</f>
        <v/>
      </c>
      <c r="AO99">
        <f>IF($AK99=1,IFERROR(IF(VALUE($D99)&lt;100000000,VALUE($D99),1000000000),IFERROR(IF(VALUE(MID($D99,2,20))&lt;100000000,VALUE(MID($D99,2,20)),1000000000),1000000000))+ROW()/100000,"")</f>
        <v/>
      </c>
    </row>
    <row r="100">
      <c r="F100" s="11" t="n"/>
      <c r="N100" s="7">
        <f>IF($D100="","",M100*V100/100)</f>
        <v/>
      </c>
      <c r="O100" s="7" t="n"/>
      <c r="U100" s="7" t="n"/>
      <c r="V100" s="7" t="n"/>
      <c r="W100" s="7">
        <f>IF($D100="","",V100*AB100/100)</f>
        <v/>
      </c>
      <c r="X100" s="7">
        <f>IF($D100="","",V100-W100)</f>
        <v/>
      </c>
      <c r="Y100" s="7">
        <f>IF($D100="","",X100-N100)</f>
        <v/>
      </c>
      <c r="AB100">
        <f>IF($D100="","",IF($AN100=1,0,IF($AM100=1,Settings!$C$6,Settings!$C$7))*100)</f>
        <v/>
      </c>
      <c r="AF100" s="7" t="n"/>
      <c r="AI100" s="11" t="n"/>
      <c r="AK100">
        <f>IF($D100="","",IF(COUNTIF($D$2:$D100,$D100)=1,1,0))</f>
        <v/>
      </c>
      <c r="AL100">
        <f>IF($AK100=1,SUMPRODUCT(--($AO$2:$AO$1501&lt;$AO100))+1,"")</f>
        <v/>
      </c>
      <c r="AM100">
        <f>IF($D100="","",IF(OR($R100=TRUE(),$R100="TRUE"),1,0))</f>
        <v/>
      </c>
      <c r="AN100">
        <f>IF($D100="","",IF($AA100="Yes",1,0))</f>
        <v/>
      </c>
      <c r="AO100">
        <f>IF($AK100=1,IFERROR(IF(VALUE($D100)&lt;100000000,VALUE($D100),1000000000),IFERROR(IF(VALUE(MID($D100,2,20))&lt;100000000,VALUE(MID($D100,2,20)),1000000000),1000000000))+ROW()/100000,"")</f>
        <v/>
      </c>
    </row>
    <row r="101">
      <c r="F101" s="11" t="n"/>
      <c r="N101" s="7">
        <f>IF($D101="","",M101*V101/100)</f>
        <v/>
      </c>
      <c r="O101" s="7" t="n"/>
      <c r="U101" s="7" t="n"/>
      <c r="V101" s="7" t="n"/>
      <c r="W101" s="7">
        <f>IF($D101="","",V101*AB101/100)</f>
        <v/>
      </c>
      <c r="X101" s="7">
        <f>IF($D101="","",V101-W101)</f>
        <v/>
      </c>
      <c r="Y101" s="7">
        <f>IF($D101="","",X101-N101)</f>
        <v/>
      </c>
      <c r="AB101">
        <f>IF($D101="","",IF($AN101=1,0,IF($AM101=1,Settings!$C$6,Settings!$C$7))*100)</f>
        <v/>
      </c>
      <c r="AF101" s="7" t="n"/>
      <c r="AI101" s="11" t="n"/>
      <c r="AK101">
        <f>IF($D101="","",IF(COUNTIF($D$2:$D101,$D101)=1,1,0))</f>
        <v/>
      </c>
      <c r="AL101">
        <f>IF($AK101=1,SUMPRODUCT(--($AO$2:$AO$1501&lt;$AO101))+1,"")</f>
        <v/>
      </c>
      <c r="AM101">
        <f>IF($D101="","",IF(OR($R101=TRUE(),$R101="TRUE"),1,0))</f>
        <v/>
      </c>
      <c r="AN101">
        <f>IF($D101="","",IF($AA101="Yes",1,0))</f>
        <v/>
      </c>
      <c r="AO101">
        <f>IF($AK101=1,IFERROR(IF(VALUE($D101)&lt;100000000,VALUE($D101),1000000000),IFERROR(IF(VALUE(MID($D101,2,20))&lt;100000000,VALUE(MID($D101,2,20)),1000000000),1000000000))+ROW()/100000,"")</f>
        <v/>
      </c>
    </row>
    <row r="102">
      <c r="F102" s="11" t="n"/>
      <c r="N102" s="7">
        <f>IF($D102="","",M102*V102/100)</f>
        <v/>
      </c>
      <c r="O102" s="7" t="n"/>
      <c r="U102" s="7" t="n"/>
      <c r="V102" s="7" t="n"/>
      <c r="W102" s="7">
        <f>IF($D102="","",V102*AB102/100)</f>
        <v/>
      </c>
      <c r="X102" s="7">
        <f>IF($D102="","",V102-W102)</f>
        <v/>
      </c>
      <c r="Y102" s="7">
        <f>IF($D102="","",X102-N102)</f>
        <v/>
      </c>
      <c r="AB102">
        <f>IF($D102="","",IF($AN102=1,0,IF($AM102=1,Settings!$C$6,Settings!$C$7))*100)</f>
        <v/>
      </c>
      <c r="AF102" s="7" t="n"/>
      <c r="AI102" s="11" t="n"/>
      <c r="AK102">
        <f>IF($D102="","",IF(COUNTIF($D$2:$D102,$D102)=1,1,0))</f>
        <v/>
      </c>
      <c r="AL102">
        <f>IF($AK102=1,SUMPRODUCT(--($AO$2:$AO$1501&lt;$AO102))+1,"")</f>
        <v/>
      </c>
      <c r="AM102">
        <f>IF($D102="","",IF(OR($R102=TRUE(),$R102="TRUE"),1,0))</f>
        <v/>
      </c>
      <c r="AN102">
        <f>IF($D102="","",IF($AA102="Yes",1,0))</f>
        <v/>
      </c>
      <c r="AO102">
        <f>IF($AK102=1,IFERROR(IF(VALUE($D102)&lt;100000000,VALUE($D102),1000000000),IFERROR(IF(VALUE(MID($D102,2,20))&lt;100000000,VALUE(MID($D102,2,20)),1000000000),1000000000))+ROW()/100000,"")</f>
        <v/>
      </c>
    </row>
    <row r="103">
      <c r="F103" s="11" t="n"/>
      <c r="N103" s="7">
        <f>IF($D103="","",M103*V103/100)</f>
        <v/>
      </c>
      <c r="O103" s="7" t="n"/>
      <c r="U103" s="7" t="n"/>
      <c r="V103" s="7" t="n"/>
      <c r="W103" s="7">
        <f>IF($D103="","",V103*AB103/100)</f>
        <v/>
      </c>
      <c r="X103" s="7">
        <f>IF($D103="","",V103-W103)</f>
        <v/>
      </c>
      <c r="Y103" s="7">
        <f>IF($D103="","",X103-N103)</f>
        <v/>
      </c>
      <c r="AB103">
        <f>IF($D103="","",IF($AN103=1,0,IF($AM103=1,Settings!$C$6,Settings!$C$7))*100)</f>
        <v/>
      </c>
      <c r="AF103" s="7" t="n"/>
      <c r="AI103" s="11" t="n"/>
      <c r="AK103">
        <f>IF($D103="","",IF(COUNTIF($D$2:$D103,$D103)=1,1,0))</f>
        <v/>
      </c>
      <c r="AL103">
        <f>IF($AK103=1,SUMPRODUCT(--($AO$2:$AO$1501&lt;$AO103))+1,"")</f>
        <v/>
      </c>
      <c r="AM103">
        <f>IF($D103="","",IF(OR($R103=TRUE(),$R103="TRUE"),1,0))</f>
        <v/>
      </c>
      <c r="AN103">
        <f>IF($D103="","",IF($AA103="Yes",1,0))</f>
        <v/>
      </c>
      <c r="AO103">
        <f>IF($AK103=1,IFERROR(IF(VALUE($D103)&lt;100000000,VALUE($D103),1000000000),IFERROR(IF(VALUE(MID($D103,2,20))&lt;100000000,VALUE(MID($D103,2,20)),1000000000),1000000000))+ROW()/100000,"")</f>
        <v/>
      </c>
    </row>
    <row r="104">
      <c r="F104" s="11" t="n"/>
      <c r="N104" s="7">
        <f>IF($D104="","",M104*V104/100)</f>
        <v/>
      </c>
      <c r="O104" s="7" t="n"/>
      <c r="U104" s="7" t="n"/>
      <c r="V104" s="7" t="n"/>
      <c r="W104" s="7">
        <f>IF($D104="","",V104*AB104/100)</f>
        <v/>
      </c>
      <c r="X104" s="7">
        <f>IF($D104="","",V104-W104)</f>
        <v/>
      </c>
      <c r="Y104" s="7">
        <f>IF($D104="","",X104-N104)</f>
        <v/>
      </c>
      <c r="AB104">
        <f>IF($D104="","",IF($AN104=1,0,IF($AM104=1,Settings!$C$6,Settings!$C$7))*100)</f>
        <v/>
      </c>
      <c r="AF104" s="7" t="n"/>
      <c r="AI104" s="11" t="n"/>
      <c r="AK104">
        <f>IF($D104="","",IF(COUNTIF($D$2:$D104,$D104)=1,1,0))</f>
        <v/>
      </c>
      <c r="AL104">
        <f>IF($AK104=1,SUMPRODUCT(--($AO$2:$AO$1501&lt;$AO104))+1,"")</f>
        <v/>
      </c>
      <c r="AM104">
        <f>IF($D104="","",IF(OR($R104=TRUE(),$R104="TRUE"),1,0))</f>
        <v/>
      </c>
      <c r="AN104">
        <f>IF($D104="","",IF($AA104="Yes",1,0))</f>
        <v/>
      </c>
      <c r="AO104">
        <f>IF($AK104=1,IFERROR(IF(VALUE($D104)&lt;100000000,VALUE($D104),1000000000),IFERROR(IF(VALUE(MID($D104,2,20))&lt;100000000,VALUE(MID($D104,2,20)),1000000000),1000000000))+ROW()/100000,"")</f>
        <v/>
      </c>
    </row>
    <row r="105">
      <c r="F105" s="11" t="n"/>
      <c r="N105" s="7">
        <f>IF($D105="","",M105*V105/100)</f>
        <v/>
      </c>
      <c r="O105" s="7" t="n"/>
      <c r="U105" s="7" t="n"/>
      <c r="V105" s="7" t="n"/>
      <c r="W105" s="7">
        <f>IF($D105="","",V105*AB105/100)</f>
        <v/>
      </c>
      <c r="X105" s="7">
        <f>IF($D105="","",V105-W105)</f>
        <v/>
      </c>
      <c r="Y105" s="7">
        <f>IF($D105="","",X105-N105)</f>
        <v/>
      </c>
      <c r="AB105">
        <f>IF($D105="","",IF($AN105=1,0,IF($AM105=1,Settings!$C$6,Settings!$C$7))*100)</f>
        <v/>
      </c>
      <c r="AF105" s="7" t="n"/>
      <c r="AI105" s="11" t="n"/>
      <c r="AK105">
        <f>IF($D105="","",IF(COUNTIF($D$2:$D105,$D105)=1,1,0))</f>
        <v/>
      </c>
      <c r="AL105">
        <f>IF($AK105=1,SUMPRODUCT(--($AO$2:$AO$1501&lt;$AO105))+1,"")</f>
        <v/>
      </c>
      <c r="AM105">
        <f>IF($D105="","",IF(OR($R105=TRUE(),$R105="TRUE"),1,0))</f>
        <v/>
      </c>
      <c r="AN105">
        <f>IF($D105="","",IF($AA105="Yes",1,0))</f>
        <v/>
      </c>
      <c r="AO105">
        <f>IF($AK105=1,IFERROR(IF(VALUE($D105)&lt;100000000,VALUE($D105),1000000000),IFERROR(IF(VALUE(MID($D105,2,20))&lt;100000000,VALUE(MID($D105,2,20)),1000000000),1000000000))+ROW()/100000,"")</f>
        <v/>
      </c>
    </row>
    <row r="106">
      <c r="F106" s="11" t="n"/>
      <c r="N106" s="7">
        <f>IF($D106="","",M106*V106/100)</f>
        <v/>
      </c>
      <c r="O106" s="7" t="n"/>
      <c r="U106" s="7" t="n"/>
      <c r="V106" s="7" t="n"/>
      <c r="W106" s="7">
        <f>IF($D106="","",V106*AB106/100)</f>
        <v/>
      </c>
      <c r="X106" s="7">
        <f>IF($D106="","",V106-W106)</f>
        <v/>
      </c>
      <c r="Y106" s="7">
        <f>IF($D106="","",X106-N106)</f>
        <v/>
      </c>
      <c r="AB106">
        <f>IF($D106="","",IF($AN106=1,0,IF($AM106=1,Settings!$C$6,Settings!$C$7))*100)</f>
        <v/>
      </c>
      <c r="AF106" s="7" t="n"/>
      <c r="AI106" s="11" t="n"/>
      <c r="AK106">
        <f>IF($D106="","",IF(COUNTIF($D$2:$D106,$D106)=1,1,0))</f>
        <v/>
      </c>
      <c r="AL106">
        <f>IF($AK106=1,SUMPRODUCT(--($AO$2:$AO$1501&lt;$AO106))+1,"")</f>
        <v/>
      </c>
      <c r="AM106">
        <f>IF($D106="","",IF(OR($R106=TRUE(),$R106="TRUE"),1,0))</f>
        <v/>
      </c>
      <c r="AN106">
        <f>IF($D106="","",IF($AA106="Yes",1,0))</f>
        <v/>
      </c>
      <c r="AO106">
        <f>IF($AK106=1,IFERROR(IF(VALUE($D106)&lt;100000000,VALUE($D106),1000000000),IFERROR(IF(VALUE(MID($D106,2,20))&lt;100000000,VALUE(MID($D106,2,20)),1000000000),1000000000))+ROW()/100000,"")</f>
        <v/>
      </c>
    </row>
    <row r="107">
      <c r="F107" s="11" t="n"/>
      <c r="N107" s="7">
        <f>IF($D107="","",M107*V107/100)</f>
        <v/>
      </c>
      <c r="O107" s="7" t="n"/>
      <c r="U107" s="7" t="n"/>
      <c r="V107" s="7" t="n"/>
      <c r="W107" s="7">
        <f>IF($D107="","",V107*AB107/100)</f>
        <v/>
      </c>
      <c r="X107" s="7">
        <f>IF($D107="","",V107-W107)</f>
        <v/>
      </c>
      <c r="Y107" s="7">
        <f>IF($D107="","",X107-N107)</f>
        <v/>
      </c>
      <c r="AB107">
        <f>IF($D107="","",IF($AN107=1,0,IF($AM107=1,Settings!$C$6,Settings!$C$7))*100)</f>
        <v/>
      </c>
      <c r="AF107" s="7" t="n"/>
      <c r="AI107" s="11" t="n"/>
      <c r="AK107">
        <f>IF($D107="","",IF(COUNTIF($D$2:$D107,$D107)=1,1,0))</f>
        <v/>
      </c>
      <c r="AL107">
        <f>IF($AK107=1,SUMPRODUCT(--($AO$2:$AO$1501&lt;$AO107))+1,"")</f>
        <v/>
      </c>
      <c r="AM107">
        <f>IF($D107="","",IF(OR($R107=TRUE(),$R107="TRUE"),1,0))</f>
        <v/>
      </c>
      <c r="AN107">
        <f>IF($D107="","",IF($AA107="Yes",1,0))</f>
        <v/>
      </c>
      <c r="AO107">
        <f>IF($AK107=1,IFERROR(IF(VALUE($D107)&lt;100000000,VALUE($D107),1000000000),IFERROR(IF(VALUE(MID($D107,2,20))&lt;100000000,VALUE(MID($D107,2,20)),1000000000),1000000000))+ROW()/100000,"")</f>
        <v/>
      </c>
    </row>
    <row r="108">
      <c r="F108" s="11" t="n"/>
      <c r="N108" s="7">
        <f>IF($D108="","",M108*V108/100)</f>
        <v/>
      </c>
      <c r="O108" s="7" t="n"/>
      <c r="U108" s="7" t="n"/>
      <c r="V108" s="7" t="n"/>
      <c r="W108" s="7">
        <f>IF($D108="","",V108*AB108/100)</f>
        <v/>
      </c>
      <c r="X108" s="7">
        <f>IF($D108="","",V108-W108)</f>
        <v/>
      </c>
      <c r="Y108" s="7">
        <f>IF($D108="","",X108-N108)</f>
        <v/>
      </c>
      <c r="AB108">
        <f>IF($D108="","",IF($AN108=1,0,IF($AM108=1,Settings!$C$6,Settings!$C$7))*100)</f>
        <v/>
      </c>
      <c r="AF108" s="7" t="n"/>
      <c r="AI108" s="11" t="n"/>
      <c r="AK108">
        <f>IF($D108="","",IF(COUNTIF($D$2:$D108,$D108)=1,1,0))</f>
        <v/>
      </c>
      <c r="AL108">
        <f>IF($AK108=1,SUMPRODUCT(--($AO$2:$AO$1501&lt;$AO108))+1,"")</f>
        <v/>
      </c>
      <c r="AM108">
        <f>IF($D108="","",IF(OR($R108=TRUE(),$R108="TRUE"),1,0))</f>
        <v/>
      </c>
      <c r="AN108">
        <f>IF($D108="","",IF($AA108="Yes",1,0))</f>
        <v/>
      </c>
      <c r="AO108">
        <f>IF($AK108=1,IFERROR(IF(VALUE($D108)&lt;100000000,VALUE($D108),1000000000),IFERROR(IF(VALUE(MID($D108,2,20))&lt;100000000,VALUE(MID($D108,2,20)),1000000000),1000000000))+ROW()/100000,"")</f>
        <v/>
      </c>
    </row>
    <row r="109">
      <c r="F109" s="11" t="n"/>
      <c r="N109" s="7">
        <f>IF($D109="","",M109*V109/100)</f>
        <v/>
      </c>
      <c r="O109" s="7" t="n"/>
      <c r="U109" s="7" t="n"/>
      <c r="V109" s="7" t="n"/>
      <c r="W109" s="7">
        <f>IF($D109="","",V109*AB109/100)</f>
        <v/>
      </c>
      <c r="X109" s="7">
        <f>IF($D109="","",V109-W109)</f>
        <v/>
      </c>
      <c r="Y109" s="7">
        <f>IF($D109="","",X109-N109)</f>
        <v/>
      </c>
      <c r="AB109">
        <f>IF($D109="","",IF($AN109=1,0,IF($AM109=1,Settings!$C$6,Settings!$C$7))*100)</f>
        <v/>
      </c>
      <c r="AF109" s="7" t="n"/>
      <c r="AI109" s="11" t="n"/>
      <c r="AK109">
        <f>IF($D109="","",IF(COUNTIF($D$2:$D109,$D109)=1,1,0))</f>
        <v/>
      </c>
      <c r="AL109">
        <f>IF($AK109=1,SUMPRODUCT(--($AO$2:$AO$1501&lt;$AO109))+1,"")</f>
        <v/>
      </c>
      <c r="AM109">
        <f>IF($D109="","",IF(OR($R109=TRUE(),$R109="TRUE"),1,0))</f>
        <v/>
      </c>
      <c r="AN109">
        <f>IF($D109="","",IF($AA109="Yes",1,0))</f>
        <v/>
      </c>
      <c r="AO109">
        <f>IF($AK109=1,IFERROR(IF(VALUE($D109)&lt;100000000,VALUE($D109),1000000000),IFERROR(IF(VALUE(MID($D109,2,20))&lt;100000000,VALUE(MID($D109,2,20)),1000000000),1000000000))+ROW()/100000,"")</f>
        <v/>
      </c>
    </row>
    <row r="110">
      <c r="F110" s="11" t="n"/>
      <c r="N110" s="7">
        <f>IF($D110="","",M110*V110/100)</f>
        <v/>
      </c>
      <c r="O110" s="7" t="n"/>
      <c r="U110" s="7" t="n"/>
      <c r="V110" s="7" t="n"/>
      <c r="W110" s="7">
        <f>IF($D110="","",V110*AB110/100)</f>
        <v/>
      </c>
      <c r="X110" s="7">
        <f>IF($D110="","",V110-W110)</f>
        <v/>
      </c>
      <c r="Y110" s="7">
        <f>IF($D110="","",X110-N110)</f>
        <v/>
      </c>
      <c r="AB110">
        <f>IF($D110="","",IF($AN110=1,0,IF($AM110=1,Settings!$C$6,Settings!$C$7))*100)</f>
        <v/>
      </c>
      <c r="AF110" s="7" t="n"/>
      <c r="AI110" s="11" t="n"/>
      <c r="AK110">
        <f>IF($D110="","",IF(COUNTIF($D$2:$D110,$D110)=1,1,0))</f>
        <v/>
      </c>
      <c r="AL110">
        <f>IF($AK110=1,SUMPRODUCT(--($AO$2:$AO$1501&lt;$AO110))+1,"")</f>
        <v/>
      </c>
      <c r="AM110">
        <f>IF($D110="","",IF(OR($R110=TRUE(),$R110="TRUE"),1,0))</f>
        <v/>
      </c>
      <c r="AN110">
        <f>IF($D110="","",IF($AA110="Yes",1,0))</f>
        <v/>
      </c>
      <c r="AO110">
        <f>IF($AK110=1,IFERROR(IF(VALUE($D110)&lt;100000000,VALUE($D110),1000000000),IFERROR(IF(VALUE(MID($D110,2,20))&lt;100000000,VALUE(MID($D110,2,20)),1000000000),1000000000))+ROW()/100000,"")</f>
        <v/>
      </c>
    </row>
    <row r="111">
      <c r="F111" s="11" t="n"/>
      <c r="N111" s="7">
        <f>IF($D111="","",M111*V111/100)</f>
        <v/>
      </c>
      <c r="O111" s="7" t="n"/>
      <c r="U111" s="7" t="n"/>
      <c r="V111" s="7" t="n"/>
      <c r="W111" s="7">
        <f>IF($D111="","",V111*AB111/100)</f>
        <v/>
      </c>
      <c r="X111" s="7">
        <f>IF($D111="","",V111-W111)</f>
        <v/>
      </c>
      <c r="Y111" s="7">
        <f>IF($D111="","",X111-N111)</f>
        <v/>
      </c>
      <c r="AB111">
        <f>IF($D111="","",IF($AN111=1,0,IF($AM111=1,Settings!$C$6,Settings!$C$7))*100)</f>
        <v/>
      </c>
      <c r="AF111" s="7" t="n"/>
      <c r="AI111" s="11" t="n"/>
      <c r="AK111">
        <f>IF($D111="","",IF(COUNTIF($D$2:$D111,$D111)=1,1,0))</f>
        <v/>
      </c>
      <c r="AL111">
        <f>IF($AK111=1,SUMPRODUCT(--($AO$2:$AO$1501&lt;$AO111))+1,"")</f>
        <v/>
      </c>
      <c r="AM111">
        <f>IF($D111="","",IF(OR($R111=TRUE(),$R111="TRUE"),1,0))</f>
        <v/>
      </c>
      <c r="AN111">
        <f>IF($D111="","",IF($AA111="Yes",1,0))</f>
        <v/>
      </c>
      <c r="AO111">
        <f>IF($AK111=1,IFERROR(IF(VALUE($D111)&lt;100000000,VALUE($D111),1000000000),IFERROR(IF(VALUE(MID($D111,2,20))&lt;100000000,VALUE(MID($D111,2,20)),1000000000),1000000000))+ROW()/100000,"")</f>
        <v/>
      </c>
    </row>
    <row r="112">
      <c r="F112" s="11" t="n"/>
      <c r="N112" s="7">
        <f>IF($D112="","",M112*V112/100)</f>
        <v/>
      </c>
      <c r="O112" s="7" t="n"/>
      <c r="U112" s="7" t="n"/>
      <c r="V112" s="7" t="n"/>
      <c r="W112" s="7">
        <f>IF($D112="","",V112*AB112/100)</f>
        <v/>
      </c>
      <c r="X112" s="7">
        <f>IF($D112="","",V112-W112)</f>
        <v/>
      </c>
      <c r="Y112" s="7">
        <f>IF($D112="","",X112-N112)</f>
        <v/>
      </c>
      <c r="AB112">
        <f>IF($D112="","",IF($AN112=1,0,IF($AM112=1,Settings!$C$6,Settings!$C$7))*100)</f>
        <v/>
      </c>
      <c r="AF112" s="7" t="n"/>
      <c r="AI112" s="11" t="n"/>
      <c r="AK112">
        <f>IF($D112="","",IF(COUNTIF($D$2:$D112,$D112)=1,1,0))</f>
        <v/>
      </c>
      <c r="AL112">
        <f>IF($AK112=1,SUMPRODUCT(--($AO$2:$AO$1501&lt;$AO112))+1,"")</f>
        <v/>
      </c>
      <c r="AM112">
        <f>IF($D112="","",IF(OR($R112=TRUE(),$R112="TRUE"),1,0))</f>
        <v/>
      </c>
      <c r="AN112">
        <f>IF($D112="","",IF($AA112="Yes",1,0))</f>
        <v/>
      </c>
      <c r="AO112">
        <f>IF($AK112=1,IFERROR(IF(VALUE($D112)&lt;100000000,VALUE($D112),1000000000),IFERROR(IF(VALUE(MID($D112,2,20))&lt;100000000,VALUE(MID($D112,2,20)),1000000000),1000000000))+ROW()/100000,"")</f>
        <v/>
      </c>
    </row>
    <row r="113">
      <c r="F113" s="11" t="n"/>
      <c r="N113" s="7">
        <f>IF($D113="","",M113*V113/100)</f>
        <v/>
      </c>
      <c r="O113" s="7" t="n"/>
      <c r="U113" s="7" t="n"/>
      <c r="V113" s="7" t="n"/>
      <c r="W113" s="7">
        <f>IF($D113="","",V113*AB113/100)</f>
        <v/>
      </c>
      <c r="X113" s="7">
        <f>IF($D113="","",V113-W113)</f>
        <v/>
      </c>
      <c r="Y113" s="7">
        <f>IF($D113="","",X113-N113)</f>
        <v/>
      </c>
      <c r="AB113">
        <f>IF($D113="","",IF($AN113=1,0,IF($AM113=1,Settings!$C$6,Settings!$C$7))*100)</f>
        <v/>
      </c>
      <c r="AF113" s="7" t="n"/>
      <c r="AI113" s="11" t="n"/>
      <c r="AK113">
        <f>IF($D113="","",IF(COUNTIF($D$2:$D113,$D113)=1,1,0))</f>
        <v/>
      </c>
      <c r="AL113">
        <f>IF($AK113=1,SUMPRODUCT(--($AO$2:$AO$1501&lt;$AO113))+1,"")</f>
        <v/>
      </c>
      <c r="AM113">
        <f>IF($D113="","",IF(OR($R113=TRUE(),$R113="TRUE"),1,0))</f>
        <v/>
      </c>
      <c r="AN113">
        <f>IF($D113="","",IF($AA113="Yes",1,0))</f>
        <v/>
      </c>
      <c r="AO113">
        <f>IF($AK113=1,IFERROR(IF(VALUE($D113)&lt;100000000,VALUE($D113),1000000000),IFERROR(IF(VALUE(MID($D113,2,20))&lt;100000000,VALUE(MID($D113,2,20)),1000000000),1000000000))+ROW()/100000,"")</f>
        <v/>
      </c>
    </row>
    <row r="114">
      <c r="F114" s="11" t="n"/>
      <c r="N114" s="7">
        <f>IF($D114="","",M114*V114/100)</f>
        <v/>
      </c>
      <c r="O114" s="7" t="n"/>
      <c r="U114" s="7" t="n"/>
      <c r="V114" s="7" t="n"/>
      <c r="W114" s="7">
        <f>IF($D114="","",V114*AB114/100)</f>
        <v/>
      </c>
      <c r="X114" s="7">
        <f>IF($D114="","",V114-W114)</f>
        <v/>
      </c>
      <c r="Y114" s="7">
        <f>IF($D114="","",X114-N114)</f>
        <v/>
      </c>
      <c r="AB114">
        <f>IF($D114="","",IF($AN114=1,0,IF($AM114=1,Settings!$C$6,Settings!$C$7))*100)</f>
        <v/>
      </c>
      <c r="AF114" s="7" t="n"/>
      <c r="AI114" s="11" t="n"/>
      <c r="AK114">
        <f>IF($D114="","",IF(COUNTIF($D$2:$D114,$D114)=1,1,0))</f>
        <v/>
      </c>
      <c r="AL114">
        <f>IF($AK114=1,SUMPRODUCT(--($AO$2:$AO$1501&lt;$AO114))+1,"")</f>
        <v/>
      </c>
      <c r="AM114">
        <f>IF($D114="","",IF(OR($R114=TRUE(),$R114="TRUE"),1,0))</f>
        <v/>
      </c>
      <c r="AN114">
        <f>IF($D114="","",IF($AA114="Yes",1,0))</f>
        <v/>
      </c>
      <c r="AO114">
        <f>IF($AK114=1,IFERROR(IF(VALUE($D114)&lt;100000000,VALUE($D114),1000000000),IFERROR(IF(VALUE(MID($D114,2,20))&lt;100000000,VALUE(MID($D114,2,20)),1000000000),1000000000))+ROW()/100000,"")</f>
        <v/>
      </c>
    </row>
    <row r="115">
      <c r="F115" s="11" t="n"/>
      <c r="N115" s="7">
        <f>IF($D115="","",M115*V115/100)</f>
        <v/>
      </c>
      <c r="O115" s="7" t="n"/>
      <c r="U115" s="7" t="n"/>
      <c r="V115" s="7" t="n"/>
      <c r="W115" s="7">
        <f>IF($D115="","",V115*AB115/100)</f>
        <v/>
      </c>
      <c r="X115" s="7">
        <f>IF($D115="","",V115-W115)</f>
        <v/>
      </c>
      <c r="Y115" s="7">
        <f>IF($D115="","",X115-N115)</f>
        <v/>
      </c>
      <c r="AB115">
        <f>IF($D115="","",IF($AN115=1,0,IF($AM115=1,Settings!$C$6,Settings!$C$7))*100)</f>
        <v/>
      </c>
      <c r="AF115" s="7" t="n"/>
      <c r="AI115" s="11" t="n"/>
      <c r="AK115">
        <f>IF($D115="","",IF(COUNTIF($D$2:$D115,$D115)=1,1,0))</f>
        <v/>
      </c>
      <c r="AL115">
        <f>IF($AK115=1,SUMPRODUCT(--($AO$2:$AO$1501&lt;$AO115))+1,"")</f>
        <v/>
      </c>
      <c r="AM115">
        <f>IF($D115="","",IF(OR($R115=TRUE(),$R115="TRUE"),1,0))</f>
        <v/>
      </c>
      <c r="AN115">
        <f>IF($D115="","",IF($AA115="Yes",1,0))</f>
        <v/>
      </c>
      <c r="AO115">
        <f>IF($AK115=1,IFERROR(IF(VALUE($D115)&lt;100000000,VALUE($D115),1000000000),IFERROR(IF(VALUE(MID($D115,2,20))&lt;100000000,VALUE(MID($D115,2,20)),1000000000),1000000000))+ROW()/100000,"")</f>
        <v/>
      </c>
    </row>
    <row r="116">
      <c r="F116" s="11" t="n"/>
      <c r="N116" s="7">
        <f>IF($D116="","",M116*V116/100)</f>
        <v/>
      </c>
      <c r="O116" s="7" t="n"/>
      <c r="U116" s="7" t="n"/>
      <c r="V116" s="7" t="n"/>
      <c r="W116" s="7">
        <f>IF($D116="","",V116*AB116/100)</f>
        <v/>
      </c>
      <c r="X116" s="7">
        <f>IF($D116="","",V116-W116)</f>
        <v/>
      </c>
      <c r="Y116" s="7">
        <f>IF($D116="","",X116-N116)</f>
        <v/>
      </c>
      <c r="AB116">
        <f>IF($D116="","",IF($AN116=1,0,IF($AM116=1,Settings!$C$6,Settings!$C$7))*100)</f>
        <v/>
      </c>
      <c r="AF116" s="7" t="n"/>
      <c r="AI116" s="11" t="n"/>
      <c r="AK116">
        <f>IF($D116="","",IF(COUNTIF($D$2:$D116,$D116)=1,1,0))</f>
        <v/>
      </c>
      <c r="AL116">
        <f>IF($AK116=1,SUMPRODUCT(--($AO$2:$AO$1501&lt;$AO116))+1,"")</f>
        <v/>
      </c>
      <c r="AM116">
        <f>IF($D116="","",IF(OR($R116=TRUE(),$R116="TRUE"),1,0))</f>
        <v/>
      </c>
      <c r="AN116">
        <f>IF($D116="","",IF($AA116="Yes",1,0))</f>
        <v/>
      </c>
      <c r="AO116">
        <f>IF($AK116=1,IFERROR(IF(VALUE($D116)&lt;100000000,VALUE($D116),1000000000),IFERROR(IF(VALUE(MID($D116,2,20))&lt;100000000,VALUE(MID($D116,2,20)),1000000000),1000000000))+ROW()/100000,"")</f>
        <v/>
      </c>
    </row>
    <row r="117">
      <c r="F117" s="11" t="n"/>
      <c r="N117" s="7">
        <f>IF($D117="","",M117*V117/100)</f>
        <v/>
      </c>
      <c r="O117" s="7" t="n"/>
      <c r="U117" s="7" t="n"/>
      <c r="V117" s="7" t="n"/>
      <c r="W117" s="7">
        <f>IF($D117="","",V117*AB117/100)</f>
        <v/>
      </c>
      <c r="X117" s="7">
        <f>IF($D117="","",V117-W117)</f>
        <v/>
      </c>
      <c r="Y117" s="7">
        <f>IF($D117="","",X117-N117)</f>
        <v/>
      </c>
      <c r="AB117">
        <f>IF($D117="","",IF($AN117=1,0,IF($AM117=1,Settings!$C$6,Settings!$C$7))*100)</f>
        <v/>
      </c>
      <c r="AF117" s="7" t="n"/>
      <c r="AI117" s="11" t="n"/>
      <c r="AK117">
        <f>IF($D117="","",IF(COUNTIF($D$2:$D117,$D117)=1,1,0))</f>
        <v/>
      </c>
      <c r="AL117">
        <f>IF($AK117=1,SUMPRODUCT(--($AO$2:$AO$1501&lt;$AO117))+1,"")</f>
        <v/>
      </c>
      <c r="AM117">
        <f>IF($D117="","",IF(OR($R117=TRUE(),$R117="TRUE"),1,0))</f>
        <v/>
      </c>
      <c r="AN117">
        <f>IF($D117="","",IF($AA117="Yes",1,0))</f>
        <v/>
      </c>
      <c r="AO117">
        <f>IF($AK117=1,IFERROR(IF(VALUE($D117)&lt;100000000,VALUE($D117),1000000000),IFERROR(IF(VALUE(MID($D117,2,20))&lt;100000000,VALUE(MID($D117,2,20)),1000000000),1000000000))+ROW()/100000,"")</f>
        <v/>
      </c>
    </row>
    <row r="118">
      <c r="F118" s="11" t="n"/>
      <c r="N118" s="7">
        <f>IF($D118="","",M118*V118/100)</f>
        <v/>
      </c>
      <c r="O118" s="7" t="n"/>
      <c r="U118" s="7" t="n"/>
      <c r="V118" s="7" t="n"/>
      <c r="W118" s="7">
        <f>IF($D118="","",V118*AB118/100)</f>
        <v/>
      </c>
      <c r="X118" s="7">
        <f>IF($D118="","",V118-W118)</f>
        <v/>
      </c>
      <c r="Y118" s="7">
        <f>IF($D118="","",X118-N118)</f>
        <v/>
      </c>
      <c r="AB118">
        <f>IF($D118="","",IF($AN118=1,0,IF($AM118=1,Settings!$C$6,Settings!$C$7))*100)</f>
        <v/>
      </c>
      <c r="AF118" s="7" t="n"/>
      <c r="AI118" s="11" t="n"/>
      <c r="AK118">
        <f>IF($D118="","",IF(COUNTIF($D$2:$D118,$D118)=1,1,0))</f>
        <v/>
      </c>
      <c r="AL118">
        <f>IF($AK118=1,SUMPRODUCT(--($AO$2:$AO$1501&lt;$AO118))+1,"")</f>
        <v/>
      </c>
      <c r="AM118">
        <f>IF($D118="","",IF(OR($R118=TRUE(),$R118="TRUE"),1,0))</f>
        <v/>
      </c>
      <c r="AN118">
        <f>IF($D118="","",IF($AA118="Yes",1,0))</f>
        <v/>
      </c>
      <c r="AO118">
        <f>IF($AK118=1,IFERROR(IF(VALUE($D118)&lt;100000000,VALUE($D118),1000000000),IFERROR(IF(VALUE(MID($D118,2,20))&lt;100000000,VALUE(MID($D118,2,20)),1000000000),1000000000))+ROW()/100000,"")</f>
        <v/>
      </c>
    </row>
    <row r="119">
      <c r="F119" s="11" t="n"/>
      <c r="N119" s="7">
        <f>IF($D119="","",M119*V119/100)</f>
        <v/>
      </c>
      <c r="O119" s="7" t="n"/>
      <c r="U119" s="7" t="n"/>
      <c r="V119" s="7" t="n"/>
      <c r="W119" s="7">
        <f>IF($D119="","",V119*AB119/100)</f>
        <v/>
      </c>
      <c r="X119" s="7">
        <f>IF($D119="","",V119-W119)</f>
        <v/>
      </c>
      <c r="Y119" s="7">
        <f>IF($D119="","",X119-N119)</f>
        <v/>
      </c>
      <c r="AB119">
        <f>IF($D119="","",IF($AN119=1,0,IF($AM119=1,Settings!$C$6,Settings!$C$7))*100)</f>
        <v/>
      </c>
      <c r="AF119" s="7" t="n"/>
      <c r="AI119" s="11" t="n"/>
      <c r="AK119">
        <f>IF($D119="","",IF(COUNTIF($D$2:$D119,$D119)=1,1,0))</f>
        <v/>
      </c>
      <c r="AL119">
        <f>IF($AK119=1,SUMPRODUCT(--($AO$2:$AO$1501&lt;$AO119))+1,"")</f>
        <v/>
      </c>
      <c r="AM119">
        <f>IF($D119="","",IF(OR($R119=TRUE(),$R119="TRUE"),1,0))</f>
        <v/>
      </c>
      <c r="AN119">
        <f>IF($D119="","",IF($AA119="Yes",1,0))</f>
        <v/>
      </c>
      <c r="AO119">
        <f>IF($AK119=1,IFERROR(IF(VALUE($D119)&lt;100000000,VALUE($D119),1000000000),IFERROR(IF(VALUE(MID($D119,2,20))&lt;100000000,VALUE(MID($D119,2,20)),1000000000),1000000000))+ROW()/100000,"")</f>
        <v/>
      </c>
    </row>
    <row r="120">
      <c r="F120" s="11" t="n"/>
      <c r="N120" s="7">
        <f>IF($D120="","",M120*V120/100)</f>
        <v/>
      </c>
      <c r="O120" s="7" t="n"/>
      <c r="U120" s="7" t="n"/>
      <c r="V120" s="7" t="n"/>
      <c r="W120" s="7">
        <f>IF($D120="","",V120*AB120/100)</f>
        <v/>
      </c>
      <c r="X120" s="7">
        <f>IF($D120="","",V120-W120)</f>
        <v/>
      </c>
      <c r="Y120" s="7">
        <f>IF($D120="","",X120-N120)</f>
        <v/>
      </c>
      <c r="AB120">
        <f>IF($D120="","",IF($AN120=1,0,IF($AM120=1,Settings!$C$6,Settings!$C$7))*100)</f>
        <v/>
      </c>
      <c r="AF120" s="7" t="n"/>
      <c r="AI120" s="11" t="n"/>
      <c r="AK120">
        <f>IF($D120="","",IF(COUNTIF($D$2:$D120,$D120)=1,1,0))</f>
        <v/>
      </c>
      <c r="AL120">
        <f>IF($AK120=1,SUMPRODUCT(--($AO$2:$AO$1501&lt;$AO120))+1,"")</f>
        <v/>
      </c>
      <c r="AM120">
        <f>IF($D120="","",IF(OR($R120=TRUE(),$R120="TRUE"),1,0))</f>
        <v/>
      </c>
      <c r="AN120">
        <f>IF($D120="","",IF($AA120="Yes",1,0))</f>
        <v/>
      </c>
      <c r="AO120">
        <f>IF($AK120=1,IFERROR(IF(VALUE($D120)&lt;100000000,VALUE($D120),1000000000),IFERROR(IF(VALUE(MID($D120,2,20))&lt;100000000,VALUE(MID($D120,2,20)),1000000000),1000000000))+ROW()/100000,"")</f>
        <v/>
      </c>
    </row>
    <row r="121">
      <c r="F121" s="11" t="n"/>
      <c r="N121" s="7">
        <f>IF($D121="","",M121*V121/100)</f>
        <v/>
      </c>
      <c r="O121" s="7" t="n"/>
      <c r="U121" s="7" t="n"/>
      <c r="V121" s="7" t="n"/>
      <c r="W121" s="7">
        <f>IF($D121="","",V121*AB121/100)</f>
        <v/>
      </c>
      <c r="X121" s="7">
        <f>IF($D121="","",V121-W121)</f>
        <v/>
      </c>
      <c r="Y121" s="7">
        <f>IF($D121="","",X121-N121)</f>
        <v/>
      </c>
      <c r="AB121">
        <f>IF($D121="","",IF($AN121=1,0,IF($AM121=1,Settings!$C$6,Settings!$C$7))*100)</f>
        <v/>
      </c>
      <c r="AF121" s="7" t="n"/>
      <c r="AI121" s="11" t="n"/>
      <c r="AK121">
        <f>IF($D121="","",IF(COUNTIF($D$2:$D121,$D121)=1,1,0))</f>
        <v/>
      </c>
      <c r="AL121">
        <f>IF($AK121=1,SUMPRODUCT(--($AO$2:$AO$1501&lt;$AO121))+1,"")</f>
        <v/>
      </c>
      <c r="AM121">
        <f>IF($D121="","",IF(OR($R121=TRUE(),$R121="TRUE"),1,0))</f>
        <v/>
      </c>
      <c r="AN121">
        <f>IF($D121="","",IF($AA121="Yes",1,0))</f>
        <v/>
      </c>
      <c r="AO121">
        <f>IF($AK121=1,IFERROR(IF(VALUE($D121)&lt;100000000,VALUE($D121),1000000000),IFERROR(IF(VALUE(MID($D121,2,20))&lt;100000000,VALUE(MID($D121,2,20)),1000000000),1000000000))+ROW()/100000,"")</f>
        <v/>
      </c>
    </row>
    <row r="122">
      <c r="F122" s="11" t="n"/>
      <c r="N122" s="7">
        <f>IF($D122="","",M122*V122/100)</f>
        <v/>
      </c>
      <c r="O122" s="7" t="n"/>
      <c r="U122" s="7" t="n"/>
      <c r="V122" s="7" t="n"/>
      <c r="W122" s="7">
        <f>IF($D122="","",V122*AB122/100)</f>
        <v/>
      </c>
      <c r="X122" s="7">
        <f>IF($D122="","",V122-W122)</f>
        <v/>
      </c>
      <c r="Y122" s="7">
        <f>IF($D122="","",X122-N122)</f>
        <v/>
      </c>
      <c r="AB122">
        <f>IF($D122="","",IF($AN122=1,0,IF($AM122=1,Settings!$C$6,Settings!$C$7))*100)</f>
        <v/>
      </c>
      <c r="AF122" s="7" t="n"/>
      <c r="AI122" s="11" t="n"/>
      <c r="AK122">
        <f>IF($D122="","",IF(COUNTIF($D$2:$D122,$D122)=1,1,0))</f>
        <v/>
      </c>
      <c r="AL122">
        <f>IF($AK122=1,SUMPRODUCT(--($AO$2:$AO$1501&lt;$AO122))+1,"")</f>
        <v/>
      </c>
      <c r="AM122">
        <f>IF($D122="","",IF(OR($R122=TRUE(),$R122="TRUE"),1,0))</f>
        <v/>
      </c>
      <c r="AN122">
        <f>IF($D122="","",IF($AA122="Yes",1,0))</f>
        <v/>
      </c>
      <c r="AO122">
        <f>IF($AK122=1,IFERROR(IF(VALUE($D122)&lt;100000000,VALUE($D122),1000000000),IFERROR(IF(VALUE(MID($D122,2,20))&lt;100000000,VALUE(MID($D122,2,20)),1000000000),1000000000))+ROW()/100000,"")</f>
        <v/>
      </c>
    </row>
    <row r="123">
      <c r="F123" s="11" t="n"/>
      <c r="N123" s="7">
        <f>IF($D123="","",M123*V123/100)</f>
        <v/>
      </c>
      <c r="O123" s="7" t="n"/>
      <c r="U123" s="7" t="n"/>
      <c r="V123" s="7" t="n"/>
      <c r="W123" s="7">
        <f>IF($D123="","",V123*AB123/100)</f>
        <v/>
      </c>
      <c r="X123" s="7">
        <f>IF($D123="","",V123-W123)</f>
        <v/>
      </c>
      <c r="Y123" s="7">
        <f>IF($D123="","",X123-N123)</f>
        <v/>
      </c>
      <c r="AB123">
        <f>IF($D123="","",IF($AN123=1,0,IF($AM123=1,Settings!$C$6,Settings!$C$7))*100)</f>
        <v/>
      </c>
      <c r="AF123" s="7" t="n"/>
      <c r="AI123" s="11" t="n"/>
      <c r="AK123">
        <f>IF($D123="","",IF(COUNTIF($D$2:$D123,$D123)=1,1,0))</f>
        <v/>
      </c>
      <c r="AL123">
        <f>IF($AK123=1,SUMPRODUCT(--($AO$2:$AO$1501&lt;$AO123))+1,"")</f>
        <v/>
      </c>
      <c r="AM123">
        <f>IF($D123="","",IF(OR($R123=TRUE(),$R123="TRUE"),1,0))</f>
        <v/>
      </c>
      <c r="AN123">
        <f>IF($D123="","",IF($AA123="Yes",1,0))</f>
        <v/>
      </c>
      <c r="AO123">
        <f>IF($AK123=1,IFERROR(IF(VALUE($D123)&lt;100000000,VALUE($D123),1000000000),IFERROR(IF(VALUE(MID($D123,2,20))&lt;100000000,VALUE(MID($D123,2,20)),1000000000),1000000000))+ROW()/100000,"")</f>
        <v/>
      </c>
    </row>
    <row r="124">
      <c r="F124" s="11" t="n"/>
      <c r="N124" s="7">
        <f>IF($D124="","",M124*V124/100)</f>
        <v/>
      </c>
      <c r="O124" s="7" t="n"/>
      <c r="U124" s="7" t="n"/>
      <c r="V124" s="7" t="n"/>
      <c r="W124" s="7">
        <f>IF($D124="","",V124*AB124/100)</f>
        <v/>
      </c>
      <c r="X124" s="7">
        <f>IF($D124="","",V124-W124)</f>
        <v/>
      </c>
      <c r="Y124" s="7">
        <f>IF($D124="","",X124-N124)</f>
        <v/>
      </c>
      <c r="AB124">
        <f>IF($D124="","",IF($AN124=1,0,IF($AM124=1,Settings!$C$6,Settings!$C$7))*100)</f>
        <v/>
      </c>
      <c r="AF124" s="7" t="n"/>
      <c r="AI124" s="11" t="n"/>
      <c r="AK124">
        <f>IF($D124="","",IF(COUNTIF($D$2:$D124,$D124)=1,1,0))</f>
        <v/>
      </c>
      <c r="AL124">
        <f>IF($AK124=1,SUMPRODUCT(--($AO$2:$AO$1501&lt;$AO124))+1,"")</f>
        <v/>
      </c>
      <c r="AM124">
        <f>IF($D124="","",IF(OR($R124=TRUE(),$R124="TRUE"),1,0))</f>
        <v/>
      </c>
      <c r="AN124">
        <f>IF($D124="","",IF($AA124="Yes",1,0))</f>
        <v/>
      </c>
      <c r="AO124">
        <f>IF($AK124=1,IFERROR(IF(VALUE($D124)&lt;100000000,VALUE($D124),1000000000),IFERROR(IF(VALUE(MID($D124,2,20))&lt;100000000,VALUE(MID($D124,2,20)),1000000000),1000000000))+ROW()/100000,"")</f>
        <v/>
      </c>
    </row>
    <row r="125">
      <c r="F125" s="11" t="n"/>
      <c r="N125" s="7">
        <f>IF($D125="","",M125*V125/100)</f>
        <v/>
      </c>
      <c r="O125" s="7" t="n"/>
      <c r="U125" s="7" t="n"/>
      <c r="V125" s="7" t="n"/>
      <c r="W125" s="7">
        <f>IF($D125="","",V125*AB125/100)</f>
        <v/>
      </c>
      <c r="X125" s="7">
        <f>IF($D125="","",V125-W125)</f>
        <v/>
      </c>
      <c r="Y125" s="7">
        <f>IF($D125="","",X125-N125)</f>
        <v/>
      </c>
      <c r="AB125">
        <f>IF($D125="","",IF($AN125=1,0,IF($AM125=1,Settings!$C$6,Settings!$C$7))*100)</f>
        <v/>
      </c>
      <c r="AF125" s="7" t="n"/>
      <c r="AI125" s="11" t="n"/>
      <c r="AK125">
        <f>IF($D125="","",IF(COUNTIF($D$2:$D125,$D125)=1,1,0))</f>
        <v/>
      </c>
      <c r="AL125">
        <f>IF($AK125=1,SUMPRODUCT(--($AO$2:$AO$1501&lt;$AO125))+1,"")</f>
        <v/>
      </c>
      <c r="AM125">
        <f>IF($D125="","",IF(OR($R125=TRUE(),$R125="TRUE"),1,0))</f>
        <v/>
      </c>
      <c r="AN125">
        <f>IF($D125="","",IF($AA125="Yes",1,0))</f>
        <v/>
      </c>
      <c r="AO125">
        <f>IF($AK125=1,IFERROR(IF(VALUE($D125)&lt;100000000,VALUE($D125),1000000000),IFERROR(IF(VALUE(MID($D125,2,20))&lt;100000000,VALUE(MID($D125,2,20)),1000000000),1000000000))+ROW()/100000,"")</f>
        <v/>
      </c>
    </row>
    <row r="126">
      <c r="F126" s="11" t="n"/>
      <c r="N126" s="7">
        <f>IF($D126="","",M126*V126/100)</f>
        <v/>
      </c>
      <c r="O126" s="7" t="n"/>
      <c r="U126" s="7" t="n"/>
      <c r="V126" s="7" t="n"/>
      <c r="W126" s="7">
        <f>IF($D126="","",V126*AB126/100)</f>
        <v/>
      </c>
      <c r="X126" s="7">
        <f>IF($D126="","",V126-W126)</f>
        <v/>
      </c>
      <c r="Y126" s="7">
        <f>IF($D126="","",X126-N126)</f>
        <v/>
      </c>
      <c r="AB126">
        <f>IF($D126="","",IF($AN126=1,0,IF($AM126=1,Settings!$C$6,Settings!$C$7))*100)</f>
        <v/>
      </c>
      <c r="AF126" s="7" t="n"/>
      <c r="AI126" s="11" t="n"/>
      <c r="AK126">
        <f>IF($D126="","",IF(COUNTIF($D$2:$D126,$D126)=1,1,0))</f>
        <v/>
      </c>
      <c r="AL126">
        <f>IF($AK126=1,SUMPRODUCT(--($AO$2:$AO$1501&lt;$AO126))+1,"")</f>
        <v/>
      </c>
      <c r="AM126">
        <f>IF($D126="","",IF(OR($R126=TRUE(),$R126="TRUE"),1,0))</f>
        <v/>
      </c>
      <c r="AN126">
        <f>IF($D126="","",IF($AA126="Yes",1,0))</f>
        <v/>
      </c>
      <c r="AO126">
        <f>IF($AK126=1,IFERROR(IF(VALUE($D126)&lt;100000000,VALUE($D126),1000000000),IFERROR(IF(VALUE(MID($D126,2,20))&lt;100000000,VALUE(MID($D126,2,20)),1000000000),1000000000))+ROW()/100000,"")</f>
        <v/>
      </c>
    </row>
    <row r="127">
      <c r="F127" s="11" t="n"/>
      <c r="N127" s="7">
        <f>IF($D127="","",M127*V127/100)</f>
        <v/>
      </c>
      <c r="O127" s="7" t="n"/>
      <c r="U127" s="7" t="n"/>
      <c r="V127" s="7" t="n"/>
      <c r="W127" s="7">
        <f>IF($D127="","",V127*AB127/100)</f>
        <v/>
      </c>
      <c r="X127" s="7">
        <f>IF($D127="","",V127-W127)</f>
        <v/>
      </c>
      <c r="Y127" s="7">
        <f>IF($D127="","",X127-N127)</f>
        <v/>
      </c>
      <c r="AB127">
        <f>IF($D127="","",IF($AN127=1,0,IF($AM127=1,Settings!$C$6,Settings!$C$7))*100)</f>
        <v/>
      </c>
      <c r="AF127" s="7" t="n"/>
      <c r="AI127" s="11" t="n"/>
      <c r="AK127">
        <f>IF($D127="","",IF(COUNTIF($D$2:$D127,$D127)=1,1,0))</f>
        <v/>
      </c>
      <c r="AL127">
        <f>IF($AK127=1,SUMPRODUCT(--($AO$2:$AO$1501&lt;$AO127))+1,"")</f>
        <v/>
      </c>
      <c r="AM127">
        <f>IF($D127="","",IF(OR($R127=TRUE(),$R127="TRUE"),1,0))</f>
        <v/>
      </c>
      <c r="AN127">
        <f>IF($D127="","",IF($AA127="Yes",1,0))</f>
        <v/>
      </c>
      <c r="AO127">
        <f>IF($AK127=1,IFERROR(IF(VALUE($D127)&lt;100000000,VALUE($D127),1000000000),IFERROR(IF(VALUE(MID($D127,2,20))&lt;100000000,VALUE(MID($D127,2,20)),1000000000),1000000000))+ROW()/100000,"")</f>
        <v/>
      </c>
    </row>
    <row r="128">
      <c r="F128" s="11" t="n"/>
      <c r="N128" s="7">
        <f>IF($D128="","",M128*V128/100)</f>
        <v/>
      </c>
      <c r="O128" s="7" t="n"/>
      <c r="U128" s="7" t="n"/>
      <c r="V128" s="7" t="n"/>
      <c r="W128" s="7">
        <f>IF($D128="","",V128*AB128/100)</f>
        <v/>
      </c>
      <c r="X128" s="7">
        <f>IF($D128="","",V128-W128)</f>
        <v/>
      </c>
      <c r="Y128" s="7">
        <f>IF($D128="","",X128-N128)</f>
        <v/>
      </c>
      <c r="AB128">
        <f>IF($D128="","",IF($AN128=1,0,IF($AM128=1,Settings!$C$6,Settings!$C$7))*100)</f>
        <v/>
      </c>
      <c r="AF128" s="7" t="n"/>
      <c r="AI128" s="11" t="n"/>
      <c r="AK128">
        <f>IF($D128="","",IF(COUNTIF($D$2:$D128,$D128)=1,1,0))</f>
        <v/>
      </c>
      <c r="AL128">
        <f>IF($AK128=1,SUMPRODUCT(--($AO$2:$AO$1501&lt;$AO128))+1,"")</f>
        <v/>
      </c>
      <c r="AM128">
        <f>IF($D128="","",IF(OR($R128=TRUE(),$R128="TRUE"),1,0))</f>
        <v/>
      </c>
      <c r="AN128">
        <f>IF($D128="","",IF($AA128="Yes",1,0))</f>
        <v/>
      </c>
      <c r="AO128">
        <f>IF($AK128=1,IFERROR(IF(VALUE($D128)&lt;100000000,VALUE($D128),1000000000),IFERROR(IF(VALUE(MID($D128,2,20))&lt;100000000,VALUE(MID($D128,2,20)),1000000000),1000000000))+ROW()/100000,"")</f>
        <v/>
      </c>
    </row>
    <row r="129">
      <c r="F129" s="11" t="n"/>
      <c r="N129" s="7">
        <f>IF($D129="","",M129*V129/100)</f>
        <v/>
      </c>
      <c r="O129" s="7" t="n"/>
      <c r="U129" s="7" t="n"/>
      <c r="V129" s="7" t="n"/>
      <c r="W129" s="7">
        <f>IF($D129="","",V129*AB129/100)</f>
        <v/>
      </c>
      <c r="X129" s="7">
        <f>IF($D129="","",V129-W129)</f>
        <v/>
      </c>
      <c r="Y129" s="7">
        <f>IF($D129="","",X129-N129)</f>
        <v/>
      </c>
      <c r="AB129">
        <f>IF($D129="","",IF($AN129=1,0,IF($AM129=1,Settings!$C$6,Settings!$C$7))*100)</f>
        <v/>
      </c>
      <c r="AF129" s="7" t="n"/>
      <c r="AI129" s="11" t="n"/>
      <c r="AK129">
        <f>IF($D129="","",IF(COUNTIF($D$2:$D129,$D129)=1,1,0))</f>
        <v/>
      </c>
      <c r="AL129">
        <f>IF($AK129=1,SUMPRODUCT(--($AO$2:$AO$1501&lt;$AO129))+1,"")</f>
        <v/>
      </c>
      <c r="AM129">
        <f>IF($D129="","",IF(OR($R129=TRUE(),$R129="TRUE"),1,0))</f>
        <v/>
      </c>
      <c r="AN129">
        <f>IF($D129="","",IF($AA129="Yes",1,0))</f>
        <v/>
      </c>
      <c r="AO129">
        <f>IF($AK129=1,IFERROR(IF(VALUE($D129)&lt;100000000,VALUE($D129),1000000000),IFERROR(IF(VALUE(MID($D129,2,20))&lt;100000000,VALUE(MID($D129,2,20)),1000000000),1000000000))+ROW()/100000,"")</f>
        <v/>
      </c>
    </row>
    <row r="130">
      <c r="F130" s="11" t="n"/>
      <c r="N130" s="7">
        <f>IF($D130="","",M130*V130/100)</f>
        <v/>
      </c>
      <c r="O130" s="7" t="n"/>
      <c r="U130" s="7" t="n"/>
      <c r="V130" s="7" t="n"/>
      <c r="W130" s="7">
        <f>IF($D130="","",V130*AB130/100)</f>
        <v/>
      </c>
      <c r="X130" s="7">
        <f>IF($D130="","",V130-W130)</f>
        <v/>
      </c>
      <c r="Y130" s="7">
        <f>IF($D130="","",X130-N130)</f>
        <v/>
      </c>
      <c r="AB130">
        <f>IF($D130="","",IF($AN130=1,0,IF($AM130=1,Settings!$C$6,Settings!$C$7))*100)</f>
        <v/>
      </c>
      <c r="AF130" s="7" t="n"/>
      <c r="AI130" s="11" t="n"/>
      <c r="AK130">
        <f>IF($D130="","",IF(COUNTIF($D$2:$D130,$D130)=1,1,0))</f>
        <v/>
      </c>
      <c r="AL130">
        <f>IF($AK130=1,SUMPRODUCT(--($AO$2:$AO$1501&lt;$AO130))+1,"")</f>
        <v/>
      </c>
      <c r="AM130">
        <f>IF($D130="","",IF(OR($R130=TRUE(),$R130="TRUE"),1,0))</f>
        <v/>
      </c>
      <c r="AN130">
        <f>IF($D130="","",IF($AA130="Yes",1,0))</f>
        <v/>
      </c>
      <c r="AO130">
        <f>IF($AK130=1,IFERROR(IF(VALUE($D130)&lt;100000000,VALUE($D130),1000000000),IFERROR(IF(VALUE(MID($D130,2,20))&lt;100000000,VALUE(MID($D130,2,20)),1000000000),1000000000))+ROW()/100000,"")</f>
        <v/>
      </c>
    </row>
    <row r="131">
      <c r="F131" s="11" t="n"/>
      <c r="N131" s="7">
        <f>IF($D131="","",M131*V131/100)</f>
        <v/>
      </c>
      <c r="O131" s="7" t="n"/>
      <c r="U131" s="7" t="n"/>
      <c r="V131" s="7" t="n"/>
      <c r="W131" s="7">
        <f>IF($D131="","",V131*AB131/100)</f>
        <v/>
      </c>
      <c r="X131" s="7">
        <f>IF($D131="","",V131-W131)</f>
        <v/>
      </c>
      <c r="Y131" s="7">
        <f>IF($D131="","",X131-N131)</f>
        <v/>
      </c>
      <c r="AB131">
        <f>IF($D131="","",IF($AN131=1,0,IF($AM131=1,Settings!$C$6,Settings!$C$7))*100)</f>
        <v/>
      </c>
      <c r="AF131" s="7" t="n"/>
      <c r="AI131" s="11" t="n"/>
      <c r="AK131">
        <f>IF($D131="","",IF(COUNTIF($D$2:$D131,$D131)=1,1,0))</f>
        <v/>
      </c>
      <c r="AL131">
        <f>IF($AK131=1,SUMPRODUCT(--($AO$2:$AO$1501&lt;$AO131))+1,"")</f>
        <v/>
      </c>
      <c r="AM131">
        <f>IF($D131="","",IF(OR($R131=TRUE(),$R131="TRUE"),1,0))</f>
        <v/>
      </c>
      <c r="AN131">
        <f>IF($D131="","",IF($AA131="Yes",1,0))</f>
        <v/>
      </c>
      <c r="AO131">
        <f>IF($AK131=1,IFERROR(IF(VALUE($D131)&lt;100000000,VALUE($D131),1000000000),IFERROR(IF(VALUE(MID($D131,2,20))&lt;100000000,VALUE(MID($D131,2,20)),1000000000),1000000000))+ROW()/100000,"")</f>
        <v/>
      </c>
    </row>
    <row r="132">
      <c r="F132" s="11" t="n"/>
      <c r="N132" s="7">
        <f>IF($D132="","",M132*V132/100)</f>
        <v/>
      </c>
      <c r="O132" s="7" t="n"/>
      <c r="U132" s="7" t="n"/>
      <c r="V132" s="7" t="n"/>
      <c r="W132" s="7">
        <f>IF($D132="","",V132*AB132/100)</f>
        <v/>
      </c>
      <c r="X132" s="7">
        <f>IF($D132="","",V132-W132)</f>
        <v/>
      </c>
      <c r="Y132" s="7">
        <f>IF($D132="","",X132-N132)</f>
        <v/>
      </c>
      <c r="AB132">
        <f>IF($D132="","",IF($AN132=1,0,IF($AM132=1,Settings!$C$6,Settings!$C$7))*100)</f>
        <v/>
      </c>
      <c r="AF132" s="7" t="n"/>
      <c r="AI132" s="11" t="n"/>
      <c r="AK132">
        <f>IF($D132="","",IF(COUNTIF($D$2:$D132,$D132)=1,1,0))</f>
        <v/>
      </c>
      <c r="AL132">
        <f>IF($AK132=1,SUMPRODUCT(--($AO$2:$AO$1501&lt;$AO132))+1,"")</f>
        <v/>
      </c>
      <c r="AM132">
        <f>IF($D132="","",IF(OR($R132=TRUE(),$R132="TRUE"),1,0))</f>
        <v/>
      </c>
      <c r="AN132">
        <f>IF($D132="","",IF($AA132="Yes",1,0))</f>
        <v/>
      </c>
      <c r="AO132">
        <f>IF($AK132=1,IFERROR(IF(VALUE($D132)&lt;100000000,VALUE($D132),1000000000),IFERROR(IF(VALUE(MID($D132,2,20))&lt;100000000,VALUE(MID($D132,2,20)),1000000000),1000000000))+ROW()/100000,"")</f>
        <v/>
      </c>
    </row>
    <row r="133">
      <c r="F133" s="11" t="n"/>
      <c r="N133" s="7">
        <f>IF($D133="","",M133*V133/100)</f>
        <v/>
      </c>
      <c r="O133" s="7" t="n"/>
      <c r="U133" s="7" t="n"/>
      <c r="V133" s="7" t="n"/>
      <c r="W133" s="7">
        <f>IF($D133="","",V133*AB133/100)</f>
        <v/>
      </c>
      <c r="X133" s="7">
        <f>IF($D133="","",V133-W133)</f>
        <v/>
      </c>
      <c r="Y133" s="7">
        <f>IF($D133="","",X133-N133)</f>
        <v/>
      </c>
      <c r="AB133">
        <f>IF($D133="","",IF($AN133=1,0,IF($AM133=1,Settings!$C$6,Settings!$C$7))*100)</f>
        <v/>
      </c>
      <c r="AF133" s="7" t="n"/>
      <c r="AI133" s="11" t="n"/>
      <c r="AK133">
        <f>IF($D133="","",IF(COUNTIF($D$2:$D133,$D133)=1,1,0))</f>
        <v/>
      </c>
      <c r="AL133">
        <f>IF($AK133=1,SUMPRODUCT(--($AO$2:$AO$1501&lt;$AO133))+1,"")</f>
        <v/>
      </c>
      <c r="AM133">
        <f>IF($D133="","",IF(OR($R133=TRUE(),$R133="TRUE"),1,0))</f>
        <v/>
      </c>
      <c r="AN133">
        <f>IF($D133="","",IF($AA133="Yes",1,0))</f>
        <v/>
      </c>
      <c r="AO133">
        <f>IF($AK133=1,IFERROR(IF(VALUE($D133)&lt;100000000,VALUE($D133),1000000000),IFERROR(IF(VALUE(MID($D133,2,20))&lt;100000000,VALUE(MID($D133,2,20)),1000000000),1000000000))+ROW()/100000,"")</f>
        <v/>
      </c>
    </row>
    <row r="134">
      <c r="F134" s="11" t="n"/>
      <c r="N134" s="7">
        <f>IF($D134="","",M134*V134/100)</f>
        <v/>
      </c>
      <c r="O134" s="7" t="n"/>
      <c r="U134" s="7" t="n"/>
      <c r="V134" s="7" t="n"/>
      <c r="W134" s="7">
        <f>IF($D134="","",V134*AB134/100)</f>
        <v/>
      </c>
      <c r="X134" s="7">
        <f>IF($D134="","",V134-W134)</f>
        <v/>
      </c>
      <c r="Y134" s="7">
        <f>IF($D134="","",X134-N134)</f>
        <v/>
      </c>
      <c r="AB134">
        <f>IF($D134="","",IF($AN134=1,0,IF($AM134=1,Settings!$C$6,Settings!$C$7))*100)</f>
        <v/>
      </c>
      <c r="AF134" s="7" t="n"/>
      <c r="AI134" s="11" t="n"/>
      <c r="AK134">
        <f>IF($D134="","",IF(COUNTIF($D$2:$D134,$D134)=1,1,0))</f>
        <v/>
      </c>
      <c r="AL134">
        <f>IF($AK134=1,SUMPRODUCT(--($AO$2:$AO$1501&lt;$AO134))+1,"")</f>
        <v/>
      </c>
      <c r="AM134">
        <f>IF($D134="","",IF(OR($R134=TRUE(),$R134="TRUE"),1,0))</f>
        <v/>
      </c>
      <c r="AN134">
        <f>IF($D134="","",IF($AA134="Yes",1,0))</f>
        <v/>
      </c>
      <c r="AO134">
        <f>IF($AK134=1,IFERROR(IF(VALUE($D134)&lt;100000000,VALUE($D134),1000000000),IFERROR(IF(VALUE(MID($D134,2,20))&lt;100000000,VALUE(MID($D134,2,20)),1000000000),1000000000))+ROW()/100000,"")</f>
        <v/>
      </c>
    </row>
    <row r="135">
      <c r="F135" s="11" t="n"/>
      <c r="N135" s="7">
        <f>IF($D135="","",M135*V135/100)</f>
        <v/>
      </c>
      <c r="O135" s="7" t="n"/>
      <c r="U135" s="7" t="n"/>
      <c r="V135" s="7" t="n"/>
      <c r="W135" s="7">
        <f>IF($D135="","",V135*AB135/100)</f>
        <v/>
      </c>
      <c r="X135" s="7">
        <f>IF($D135="","",V135-W135)</f>
        <v/>
      </c>
      <c r="Y135" s="7">
        <f>IF($D135="","",X135-N135)</f>
        <v/>
      </c>
      <c r="AB135">
        <f>IF($D135="","",IF($AN135=1,0,IF($AM135=1,Settings!$C$6,Settings!$C$7))*100)</f>
        <v/>
      </c>
      <c r="AF135" s="7" t="n"/>
      <c r="AI135" s="11" t="n"/>
      <c r="AK135">
        <f>IF($D135="","",IF(COUNTIF($D$2:$D135,$D135)=1,1,0))</f>
        <v/>
      </c>
      <c r="AL135">
        <f>IF($AK135=1,SUMPRODUCT(--($AO$2:$AO$1501&lt;$AO135))+1,"")</f>
        <v/>
      </c>
      <c r="AM135">
        <f>IF($D135="","",IF(OR($R135=TRUE(),$R135="TRUE"),1,0))</f>
        <v/>
      </c>
      <c r="AN135">
        <f>IF($D135="","",IF($AA135="Yes",1,0))</f>
        <v/>
      </c>
      <c r="AO135">
        <f>IF($AK135=1,IFERROR(IF(VALUE($D135)&lt;100000000,VALUE($D135),1000000000),IFERROR(IF(VALUE(MID($D135,2,20))&lt;100000000,VALUE(MID($D135,2,20)),1000000000),1000000000))+ROW()/100000,"")</f>
        <v/>
      </c>
    </row>
    <row r="136">
      <c r="F136" s="11" t="n"/>
      <c r="N136" s="7">
        <f>IF($D136="","",M136*V136/100)</f>
        <v/>
      </c>
      <c r="O136" s="7" t="n"/>
      <c r="U136" s="7" t="n"/>
      <c r="V136" s="7" t="n"/>
      <c r="W136" s="7">
        <f>IF($D136="","",V136*AB136/100)</f>
        <v/>
      </c>
      <c r="X136" s="7">
        <f>IF($D136="","",V136-W136)</f>
        <v/>
      </c>
      <c r="Y136" s="7">
        <f>IF($D136="","",X136-N136)</f>
        <v/>
      </c>
      <c r="AB136">
        <f>IF($D136="","",IF($AN136=1,0,IF($AM136=1,Settings!$C$6,Settings!$C$7))*100)</f>
        <v/>
      </c>
      <c r="AF136" s="7" t="n"/>
      <c r="AI136" s="11" t="n"/>
      <c r="AK136">
        <f>IF($D136="","",IF(COUNTIF($D$2:$D136,$D136)=1,1,0))</f>
        <v/>
      </c>
      <c r="AL136">
        <f>IF($AK136=1,SUMPRODUCT(--($AO$2:$AO$1501&lt;$AO136))+1,"")</f>
        <v/>
      </c>
      <c r="AM136">
        <f>IF($D136="","",IF(OR($R136=TRUE(),$R136="TRUE"),1,0))</f>
        <v/>
      </c>
      <c r="AN136">
        <f>IF($D136="","",IF($AA136="Yes",1,0))</f>
        <v/>
      </c>
      <c r="AO136">
        <f>IF($AK136=1,IFERROR(IF(VALUE($D136)&lt;100000000,VALUE($D136),1000000000),IFERROR(IF(VALUE(MID($D136,2,20))&lt;100000000,VALUE(MID($D136,2,20)),1000000000),1000000000))+ROW()/100000,"")</f>
        <v/>
      </c>
    </row>
    <row r="137">
      <c r="F137" s="11" t="n"/>
      <c r="N137" s="7">
        <f>IF($D137="","",M137*V137/100)</f>
        <v/>
      </c>
      <c r="O137" s="7" t="n"/>
      <c r="U137" s="7" t="n"/>
      <c r="V137" s="7" t="n"/>
      <c r="W137" s="7">
        <f>IF($D137="","",V137*AB137/100)</f>
        <v/>
      </c>
      <c r="X137" s="7">
        <f>IF($D137="","",V137-W137)</f>
        <v/>
      </c>
      <c r="Y137" s="7">
        <f>IF($D137="","",X137-N137)</f>
        <v/>
      </c>
      <c r="AB137">
        <f>IF($D137="","",IF($AN137=1,0,IF($AM137=1,Settings!$C$6,Settings!$C$7))*100)</f>
        <v/>
      </c>
      <c r="AF137" s="7" t="n"/>
      <c r="AI137" s="11" t="n"/>
      <c r="AK137">
        <f>IF($D137="","",IF(COUNTIF($D$2:$D137,$D137)=1,1,0))</f>
        <v/>
      </c>
      <c r="AL137">
        <f>IF($AK137=1,SUMPRODUCT(--($AO$2:$AO$1501&lt;$AO137))+1,"")</f>
        <v/>
      </c>
      <c r="AM137">
        <f>IF($D137="","",IF(OR($R137=TRUE(),$R137="TRUE"),1,0))</f>
        <v/>
      </c>
      <c r="AN137">
        <f>IF($D137="","",IF($AA137="Yes",1,0))</f>
        <v/>
      </c>
      <c r="AO137">
        <f>IF($AK137=1,IFERROR(IF(VALUE($D137)&lt;100000000,VALUE($D137),1000000000),IFERROR(IF(VALUE(MID($D137,2,20))&lt;100000000,VALUE(MID($D137,2,20)),1000000000),1000000000))+ROW()/100000,"")</f>
        <v/>
      </c>
    </row>
    <row r="138">
      <c r="F138" s="11" t="n"/>
      <c r="N138" s="7">
        <f>IF($D138="","",M138*V138/100)</f>
        <v/>
      </c>
      <c r="O138" s="7" t="n"/>
      <c r="U138" s="7" t="n"/>
      <c r="V138" s="7" t="n"/>
      <c r="W138" s="7">
        <f>IF($D138="","",V138*AB138/100)</f>
        <v/>
      </c>
      <c r="X138" s="7">
        <f>IF($D138="","",V138-W138)</f>
        <v/>
      </c>
      <c r="Y138" s="7">
        <f>IF($D138="","",X138-N138)</f>
        <v/>
      </c>
      <c r="AB138">
        <f>IF($D138="","",IF($AN138=1,0,IF($AM138=1,Settings!$C$6,Settings!$C$7))*100)</f>
        <v/>
      </c>
      <c r="AF138" s="7" t="n"/>
      <c r="AI138" s="11" t="n"/>
      <c r="AK138">
        <f>IF($D138="","",IF(COUNTIF($D$2:$D138,$D138)=1,1,0))</f>
        <v/>
      </c>
      <c r="AL138">
        <f>IF($AK138=1,SUMPRODUCT(--($AO$2:$AO$1501&lt;$AO138))+1,"")</f>
        <v/>
      </c>
      <c r="AM138">
        <f>IF($D138="","",IF(OR($R138=TRUE(),$R138="TRUE"),1,0))</f>
        <v/>
      </c>
      <c r="AN138">
        <f>IF($D138="","",IF($AA138="Yes",1,0))</f>
        <v/>
      </c>
      <c r="AO138">
        <f>IF($AK138=1,IFERROR(IF(VALUE($D138)&lt;100000000,VALUE($D138),1000000000),IFERROR(IF(VALUE(MID($D138,2,20))&lt;100000000,VALUE(MID($D138,2,20)),1000000000),1000000000))+ROW()/100000,"")</f>
        <v/>
      </c>
    </row>
    <row r="139">
      <c r="F139" s="11" t="n"/>
      <c r="N139" s="7">
        <f>IF($D139="","",M139*V139/100)</f>
        <v/>
      </c>
      <c r="O139" s="7" t="n"/>
      <c r="U139" s="7" t="n"/>
      <c r="V139" s="7" t="n"/>
      <c r="W139" s="7">
        <f>IF($D139="","",V139*AB139/100)</f>
        <v/>
      </c>
      <c r="X139" s="7">
        <f>IF($D139="","",V139-W139)</f>
        <v/>
      </c>
      <c r="Y139" s="7">
        <f>IF($D139="","",X139-N139)</f>
        <v/>
      </c>
      <c r="AB139">
        <f>IF($D139="","",IF($AN139=1,0,IF($AM139=1,Settings!$C$6,Settings!$C$7))*100)</f>
        <v/>
      </c>
      <c r="AF139" s="7" t="n"/>
      <c r="AI139" s="11" t="n"/>
      <c r="AK139">
        <f>IF($D139="","",IF(COUNTIF($D$2:$D139,$D139)=1,1,0))</f>
        <v/>
      </c>
      <c r="AL139">
        <f>IF($AK139=1,SUMPRODUCT(--($AO$2:$AO$1501&lt;$AO139))+1,"")</f>
        <v/>
      </c>
      <c r="AM139">
        <f>IF($D139="","",IF(OR($R139=TRUE(),$R139="TRUE"),1,0))</f>
        <v/>
      </c>
      <c r="AN139">
        <f>IF($D139="","",IF($AA139="Yes",1,0))</f>
        <v/>
      </c>
      <c r="AO139">
        <f>IF($AK139=1,IFERROR(IF(VALUE($D139)&lt;100000000,VALUE($D139),1000000000),IFERROR(IF(VALUE(MID($D139,2,20))&lt;100000000,VALUE(MID($D139,2,20)),1000000000),1000000000))+ROW()/100000,"")</f>
        <v/>
      </c>
    </row>
    <row r="140">
      <c r="F140" s="11" t="n"/>
      <c r="N140" s="7">
        <f>IF($D140="","",M140*V140/100)</f>
        <v/>
      </c>
      <c r="O140" s="7" t="n"/>
      <c r="U140" s="7" t="n"/>
      <c r="V140" s="7" t="n"/>
      <c r="W140" s="7">
        <f>IF($D140="","",V140*AB140/100)</f>
        <v/>
      </c>
      <c r="X140" s="7">
        <f>IF($D140="","",V140-W140)</f>
        <v/>
      </c>
      <c r="Y140" s="7">
        <f>IF($D140="","",X140-N140)</f>
        <v/>
      </c>
      <c r="AB140">
        <f>IF($D140="","",IF($AN140=1,0,IF($AM140=1,Settings!$C$6,Settings!$C$7))*100)</f>
        <v/>
      </c>
      <c r="AF140" s="7" t="n"/>
      <c r="AI140" s="11" t="n"/>
      <c r="AK140">
        <f>IF($D140="","",IF(COUNTIF($D$2:$D140,$D140)=1,1,0))</f>
        <v/>
      </c>
      <c r="AL140">
        <f>IF($AK140=1,SUMPRODUCT(--($AO$2:$AO$1501&lt;$AO140))+1,"")</f>
        <v/>
      </c>
      <c r="AM140">
        <f>IF($D140="","",IF(OR($R140=TRUE(),$R140="TRUE"),1,0))</f>
        <v/>
      </c>
      <c r="AN140">
        <f>IF($D140="","",IF($AA140="Yes",1,0))</f>
        <v/>
      </c>
      <c r="AO140">
        <f>IF($AK140=1,IFERROR(IF(VALUE($D140)&lt;100000000,VALUE($D140),1000000000),IFERROR(IF(VALUE(MID($D140,2,20))&lt;100000000,VALUE(MID($D140,2,20)),1000000000),1000000000))+ROW()/100000,"")</f>
        <v/>
      </c>
    </row>
    <row r="141">
      <c r="F141" s="11" t="n"/>
      <c r="N141" s="7">
        <f>IF($D141="","",M141*V141/100)</f>
        <v/>
      </c>
      <c r="O141" s="7" t="n"/>
      <c r="U141" s="7" t="n"/>
      <c r="V141" s="7" t="n"/>
      <c r="W141" s="7">
        <f>IF($D141="","",V141*AB141/100)</f>
        <v/>
      </c>
      <c r="X141" s="7">
        <f>IF($D141="","",V141-W141)</f>
        <v/>
      </c>
      <c r="Y141" s="7">
        <f>IF($D141="","",X141-N141)</f>
        <v/>
      </c>
      <c r="AB141">
        <f>IF($D141="","",IF($AN141=1,0,IF($AM141=1,Settings!$C$6,Settings!$C$7))*100)</f>
        <v/>
      </c>
      <c r="AF141" s="7" t="n"/>
      <c r="AI141" s="11" t="n"/>
      <c r="AK141">
        <f>IF($D141="","",IF(COUNTIF($D$2:$D141,$D141)=1,1,0))</f>
        <v/>
      </c>
      <c r="AL141">
        <f>IF($AK141=1,SUMPRODUCT(--($AO$2:$AO$1501&lt;$AO141))+1,"")</f>
        <v/>
      </c>
      <c r="AM141">
        <f>IF($D141="","",IF(OR($R141=TRUE(),$R141="TRUE"),1,0))</f>
        <v/>
      </c>
      <c r="AN141">
        <f>IF($D141="","",IF($AA141="Yes",1,0))</f>
        <v/>
      </c>
      <c r="AO141">
        <f>IF($AK141=1,IFERROR(IF(VALUE($D141)&lt;100000000,VALUE($D141),1000000000),IFERROR(IF(VALUE(MID($D141,2,20))&lt;100000000,VALUE(MID($D141,2,20)),1000000000),1000000000))+ROW()/100000,"")</f>
        <v/>
      </c>
    </row>
    <row r="142">
      <c r="F142" s="11" t="n"/>
      <c r="N142" s="7">
        <f>IF($D142="","",M142*V142/100)</f>
        <v/>
      </c>
      <c r="O142" s="7" t="n"/>
      <c r="U142" s="7" t="n"/>
      <c r="V142" s="7" t="n"/>
      <c r="W142" s="7">
        <f>IF($D142="","",V142*AB142/100)</f>
        <v/>
      </c>
      <c r="X142" s="7">
        <f>IF($D142="","",V142-W142)</f>
        <v/>
      </c>
      <c r="Y142" s="7">
        <f>IF($D142="","",X142-N142)</f>
        <v/>
      </c>
      <c r="AB142">
        <f>IF($D142="","",IF($AN142=1,0,IF($AM142=1,Settings!$C$6,Settings!$C$7))*100)</f>
        <v/>
      </c>
      <c r="AF142" s="7" t="n"/>
      <c r="AI142" s="11" t="n"/>
      <c r="AK142">
        <f>IF($D142="","",IF(COUNTIF($D$2:$D142,$D142)=1,1,0))</f>
        <v/>
      </c>
      <c r="AL142">
        <f>IF($AK142=1,SUMPRODUCT(--($AO$2:$AO$1501&lt;$AO142))+1,"")</f>
        <v/>
      </c>
      <c r="AM142">
        <f>IF($D142="","",IF(OR($R142=TRUE(),$R142="TRUE"),1,0))</f>
        <v/>
      </c>
      <c r="AN142">
        <f>IF($D142="","",IF($AA142="Yes",1,0))</f>
        <v/>
      </c>
      <c r="AO142">
        <f>IF($AK142=1,IFERROR(IF(VALUE($D142)&lt;100000000,VALUE($D142),1000000000),IFERROR(IF(VALUE(MID($D142,2,20))&lt;100000000,VALUE(MID($D142,2,20)),1000000000),1000000000))+ROW()/100000,"")</f>
        <v/>
      </c>
    </row>
    <row r="143">
      <c r="F143" s="11" t="n"/>
      <c r="N143" s="7">
        <f>IF($D143="","",M143*V143/100)</f>
        <v/>
      </c>
      <c r="O143" s="7" t="n"/>
      <c r="U143" s="7" t="n"/>
      <c r="V143" s="7" t="n"/>
      <c r="W143" s="7">
        <f>IF($D143="","",V143*AB143/100)</f>
        <v/>
      </c>
      <c r="X143" s="7">
        <f>IF($D143="","",V143-W143)</f>
        <v/>
      </c>
      <c r="Y143" s="7">
        <f>IF($D143="","",X143-N143)</f>
        <v/>
      </c>
      <c r="AB143">
        <f>IF($D143="","",IF($AN143=1,0,IF($AM143=1,Settings!$C$6,Settings!$C$7))*100)</f>
        <v/>
      </c>
      <c r="AF143" s="7" t="n"/>
      <c r="AI143" s="11" t="n"/>
      <c r="AK143">
        <f>IF($D143="","",IF(COUNTIF($D$2:$D143,$D143)=1,1,0))</f>
        <v/>
      </c>
      <c r="AL143">
        <f>IF($AK143=1,SUMPRODUCT(--($AO$2:$AO$1501&lt;$AO143))+1,"")</f>
        <v/>
      </c>
      <c r="AM143">
        <f>IF($D143="","",IF(OR($R143=TRUE(),$R143="TRUE"),1,0))</f>
        <v/>
      </c>
      <c r="AN143">
        <f>IF($D143="","",IF($AA143="Yes",1,0))</f>
        <v/>
      </c>
      <c r="AO143">
        <f>IF($AK143=1,IFERROR(IF(VALUE($D143)&lt;100000000,VALUE($D143),1000000000),IFERROR(IF(VALUE(MID($D143,2,20))&lt;100000000,VALUE(MID($D143,2,20)),1000000000),1000000000))+ROW()/100000,"")</f>
        <v/>
      </c>
    </row>
    <row r="144">
      <c r="F144" s="11" t="n"/>
      <c r="N144" s="7">
        <f>IF($D144="","",M144*V144/100)</f>
        <v/>
      </c>
      <c r="O144" s="7" t="n"/>
      <c r="U144" s="7" t="n"/>
      <c r="V144" s="7" t="n"/>
      <c r="W144" s="7">
        <f>IF($D144="","",V144*AB144/100)</f>
        <v/>
      </c>
      <c r="X144" s="7">
        <f>IF($D144="","",V144-W144)</f>
        <v/>
      </c>
      <c r="Y144" s="7">
        <f>IF($D144="","",X144-N144)</f>
        <v/>
      </c>
      <c r="AB144">
        <f>IF($D144="","",IF($AN144=1,0,IF($AM144=1,Settings!$C$6,Settings!$C$7))*100)</f>
        <v/>
      </c>
      <c r="AF144" s="7" t="n"/>
      <c r="AI144" s="11" t="n"/>
      <c r="AK144">
        <f>IF($D144="","",IF(COUNTIF($D$2:$D144,$D144)=1,1,0))</f>
        <v/>
      </c>
      <c r="AL144">
        <f>IF($AK144=1,SUMPRODUCT(--($AO$2:$AO$1501&lt;$AO144))+1,"")</f>
        <v/>
      </c>
      <c r="AM144">
        <f>IF($D144="","",IF(OR($R144=TRUE(),$R144="TRUE"),1,0))</f>
        <v/>
      </c>
      <c r="AN144">
        <f>IF($D144="","",IF($AA144="Yes",1,0))</f>
        <v/>
      </c>
      <c r="AO144">
        <f>IF($AK144=1,IFERROR(IF(VALUE($D144)&lt;100000000,VALUE($D144),1000000000),IFERROR(IF(VALUE(MID($D144,2,20))&lt;100000000,VALUE(MID($D144,2,20)),1000000000),1000000000))+ROW()/100000,"")</f>
        <v/>
      </c>
    </row>
    <row r="145">
      <c r="F145" s="11" t="n"/>
      <c r="N145" s="7">
        <f>IF($D145="","",M145*V145/100)</f>
        <v/>
      </c>
      <c r="O145" s="7" t="n"/>
      <c r="U145" s="7" t="n"/>
      <c r="V145" s="7" t="n"/>
      <c r="W145" s="7">
        <f>IF($D145="","",V145*AB145/100)</f>
        <v/>
      </c>
      <c r="X145" s="7">
        <f>IF($D145="","",V145-W145)</f>
        <v/>
      </c>
      <c r="Y145" s="7">
        <f>IF($D145="","",X145-N145)</f>
        <v/>
      </c>
      <c r="AB145">
        <f>IF($D145="","",IF($AN145=1,0,IF($AM145=1,Settings!$C$6,Settings!$C$7))*100)</f>
        <v/>
      </c>
      <c r="AF145" s="7" t="n"/>
      <c r="AI145" s="11" t="n"/>
      <c r="AK145">
        <f>IF($D145="","",IF(COUNTIF($D$2:$D145,$D145)=1,1,0))</f>
        <v/>
      </c>
      <c r="AL145">
        <f>IF($AK145=1,SUMPRODUCT(--($AO$2:$AO$1501&lt;$AO145))+1,"")</f>
        <v/>
      </c>
      <c r="AM145">
        <f>IF($D145="","",IF(OR($R145=TRUE(),$R145="TRUE"),1,0))</f>
        <v/>
      </c>
      <c r="AN145">
        <f>IF($D145="","",IF($AA145="Yes",1,0))</f>
        <v/>
      </c>
      <c r="AO145">
        <f>IF($AK145=1,IFERROR(IF(VALUE($D145)&lt;100000000,VALUE($D145),1000000000),IFERROR(IF(VALUE(MID($D145,2,20))&lt;100000000,VALUE(MID($D145,2,20)),1000000000),1000000000))+ROW()/100000,"")</f>
        <v/>
      </c>
    </row>
    <row r="146">
      <c r="F146" s="11" t="n"/>
      <c r="N146" s="7">
        <f>IF($D146="","",M146*V146/100)</f>
        <v/>
      </c>
      <c r="O146" s="7" t="n"/>
      <c r="U146" s="7" t="n"/>
      <c r="V146" s="7" t="n"/>
      <c r="W146" s="7">
        <f>IF($D146="","",V146*AB146/100)</f>
        <v/>
      </c>
      <c r="X146" s="7">
        <f>IF($D146="","",V146-W146)</f>
        <v/>
      </c>
      <c r="Y146" s="7">
        <f>IF($D146="","",X146-N146)</f>
        <v/>
      </c>
      <c r="AB146">
        <f>IF($D146="","",IF($AN146=1,0,IF($AM146=1,Settings!$C$6,Settings!$C$7))*100)</f>
        <v/>
      </c>
      <c r="AF146" s="7" t="n"/>
      <c r="AI146" s="11" t="n"/>
      <c r="AK146">
        <f>IF($D146="","",IF(COUNTIF($D$2:$D146,$D146)=1,1,0))</f>
        <v/>
      </c>
      <c r="AL146">
        <f>IF($AK146=1,SUMPRODUCT(--($AO$2:$AO$1501&lt;$AO146))+1,"")</f>
        <v/>
      </c>
      <c r="AM146">
        <f>IF($D146="","",IF(OR($R146=TRUE(),$R146="TRUE"),1,0))</f>
        <v/>
      </c>
      <c r="AN146">
        <f>IF($D146="","",IF($AA146="Yes",1,0))</f>
        <v/>
      </c>
      <c r="AO146">
        <f>IF($AK146=1,IFERROR(IF(VALUE($D146)&lt;100000000,VALUE($D146),1000000000),IFERROR(IF(VALUE(MID($D146,2,20))&lt;100000000,VALUE(MID($D146,2,20)),1000000000),1000000000))+ROW()/100000,"")</f>
        <v/>
      </c>
    </row>
    <row r="147">
      <c r="F147" s="11" t="n"/>
      <c r="N147" s="7">
        <f>IF($D147="","",M147*V147/100)</f>
        <v/>
      </c>
      <c r="O147" s="7" t="n"/>
      <c r="U147" s="7" t="n"/>
      <c r="V147" s="7" t="n"/>
      <c r="W147" s="7">
        <f>IF($D147="","",V147*AB147/100)</f>
        <v/>
      </c>
      <c r="X147" s="7">
        <f>IF($D147="","",V147-W147)</f>
        <v/>
      </c>
      <c r="Y147" s="7">
        <f>IF($D147="","",X147-N147)</f>
        <v/>
      </c>
      <c r="AB147">
        <f>IF($D147="","",IF($AN147=1,0,IF($AM147=1,Settings!$C$6,Settings!$C$7))*100)</f>
        <v/>
      </c>
      <c r="AF147" s="7" t="n"/>
      <c r="AI147" s="11" t="n"/>
      <c r="AK147">
        <f>IF($D147="","",IF(COUNTIF($D$2:$D147,$D147)=1,1,0))</f>
        <v/>
      </c>
      <c r="AL147">
        <f>IF($AK147=1,SUMPRODUCT(--($AO$2:$AO$1501&lt;$AO147))+1,"")</f>
        <v/>
      </c>
      <c r="AM147">
        <f>IF($D147="","",IF(OR($R147=TRUE(),$R147="TRUE"),1,0))</f>
        <v/>
      </c>
      <c r="AN147">
        <f>IF($D147="","",IF($AA147="Yes",1,0))</f>
        <v/>
      </c>
      <c r="AO147">
        <f>IF($AK147=1,IFERROR(IF(VALUE($D147)&lt;100000000,VALUE($D147),1000000000),IFERROR(IF(VALUE(MID($D147,2,20))&lt;100000000,VALUE(MID($D147,2,20)),1000000000),1000000000))+ROW()/100000,"")</f>
        <v/>
      </c>
    </row>
    <row r="148">
      <c r="F148" s="11" t="n"/>
      <c r="N148" s="7">
        <f>IF($D148="","",M148*V148/100)</f>
        <v/>
      </c>
      <c r="O148" s="7" t="n"/>
      <c r="U148" s="7" t="n"/>
      <c r="V148" s="7" t="n"/>
      <c r="W148" s="7">
        <f>IF($D148="","",V148*AB148/100)</f>
        <v/>
      </c>
      <c r="X148" s="7">
        <f>IF($D148="","",V148-W148)</f>
        <v/>
      </c>
      <c r="Y148" s="7">
        <f>IF($D148="","",X148-N148)</f>
        <v/>
      </c>
      <c r="AB148">
        <f>IF($D148="","",IF($AN148=1,0,IF($AM148=1,Settings!$C$6,Settings!$C$7))*100)</f>
        <v/>
      </c>
      <c r="AF148" s="7" t="n"/>
      <c r="AI148" s="11" t="n"/>
      <c r="AK148">
        <f>IF($D148="","",IF(COUNTIF($D$2:$D148,$D148)=1,1,0))</f>
        <v/>
      </c>
      <c r="AL148">
        <f>IF($AK148=1,SUMPRODUCT(--($AO$2:$AO$1501&lt;$AO148))+1,"")</f>
        <v/>
      </c>
      <c r="AM148">
        <f>IF($D148="","",IF(OR($R148=TRUE(),$R148="TRUE"),1,0))</f>
        <v/>
      </c>
      <c r="AN148">
        <f>IF($D148="","",IF($AA148="Yes",1,0))</f>
        <v/>
      </c>
      <c r="AO148">
        <f>IF($AK148=1,IFERROR(IF(VALUE($D148)&lt;100000000,VALUE($D148),1000000000),IFERROR(IF(VALUE(MID($D148,2,20))&lt;100000000,VALUE(MID($D148,2,20)),1000000000),1000000000))+ROW()/100000,"")</f>
        <v/>
      </c>
    </row>
    <row r="149">
      <c r="F149" s="11" t="n"/>
      <c r="N149" s="7">
        <f>IF($D149="","",M149*V149/100)</f>
        <v/>
      </c>
      <c r="O149" s="7" t="n"/>
      <c r="U149" s="7" t="n"/>
      <c r="V149" s="7" t="n"/>
      <c r="W149" s="7">
        <f>IF($D149="","",V149*AB149/100)</f>
        <v/>
      </c>
      <c r="X149" s="7">
        <f>IF($D149="","",V149-W149)</f>
        <v/>
      </c>
      <c r="Y149" s="7">
        <f>IF($D149="","",X149-N149)</f>
        <v/>
      </c>
      <c r="AB149">
        <f>IF($D149="","",IF($AN149=1,0,IF($AM149=1,Settings!$C$6,Settings!$C$7))*100)</f>
        <v/>
      </c>
      <c r="AF149" s="7" t="n"/>
      <c r="AI149" s="11" t="n"/>
      <c r="AK149">
        <f>IF($D149="","",IF(COUNTIF($D$2:$D149,$D149)=1,1,0))</f>
        <v/>
      </c>
      <c r="AL149">
        <f>IF($AK149=1,SUMPRODUCT(--($AO$2:$AO$1501&lt;$AO149))+1,"")</f>
        <v/>
      </c>
      <c r="AM149">
        <f>IF($D149="","",IF(OR($R149=TRUE(),$R149="TRUE"),1,0))</f>
        <v/>
      </c>
      <c r="AN149">
        <f>IF($D149="","",IF($AA149="Yes",1,0))</f>
        <v/>
      </c>
      <c r="AO149">
        <f>IF($AK149=1,IFERROR(IF(VALUE($D149)&lt;100000000,VALUE($D149),1000000000),IFERROR(IF(VALUE(MID($D149,2,20))&lt;100000000,VALUE(MID($D149,2,20)),1000000000),1000000000))+ROW()/100000,"")</f>
        <v/>
      </c>
    </row>
    <row r="150">
      <c r="F150" s="11" t="n"/>
      <c r="N150" s="7">
        <f>IF($D150="","",M150*V150/100)</f>
        <v/>
      </c>
      <c r="O150" s="7" t="n"/>
      <c r="U150" s="7" t="n"/>
      <c r="V150" s="7" t="n"/>
      <c r="W150" s="7">
        <f>IF($D150="","",V150*AB150/100)</f>
        <v/>
      </c>
      <c r="X150" s="7">
        <f>IF($D150="","",V150-W150)</f>
        <v/>
      </c>
      <c r="Y150" s="7">
        <f>IF($D150="","",X150-N150)</f>
        <v/>
      </c>
      <c r="AB150">
        <f>IF($D150="","",IF($AN150=1,0,IF($AM150=1,Settings!$C$6,Settings!$C$7))*100)</f>
        <v/>
      </c>
      <c r="AF150" s="7" t="n"/>
      <c r="AI150" s="11" t="n"/>
      <c r="AK150">
        <f>IF($D150="","",IF(COUNTIF($D$2:$D150,$D150)=1,1,0))</f>
        <v/>
      </c>
      <c r="AL150">
        <f>IF($AK150=1,SUMPRODUCT(--($AO$2:$AO$1501&lt;$AO150))+1,"")</f>
        <v/>
      </c>
      <c r="AM150">
        <f>IF($D150="","",IF(OR($R150=TRUE(),$R150="TRUE"),1,0))</f>
        <v/>
      </c>
      <c r="AN150">
        <f>IF($D150="","",IF($AA150="Yes",1,0))</f>
        <v/>
      </c>
      <c r="AO150">
        <f>IF($AK150=1,IFERROR(IF(VALUE($D150)&lt;100000000,VALUE($D150),1000000000),IFERROR(IF(VALUE(MID($D150,2,20))&lt;100000000,VALUE(MID($D150,2,20)),1000000000),1000000000))+ROW()/100000,"")</f>
        <v/>
      </c>
    </row>
    <row r="151">
      <c r="F151" s="11" t="n"/>
      <c r="N151" s="7">
        <f>IF($D151="","",M151*V151/100)</f>
        <v/>
      </c>
      <c r="O151" s="7" t="n"/>
      <c r="U151" s="7" t="n"/>
      <c r="V151" s="7" t="n"/>
      <c r="W151" s="7">
        <f>IF($D151="","",V151*AB151/100)</f>
        <v/>
      </c>
      <c r="X151" s="7">
        <f>IF($D151="","",V151-W151)</f>
        <v/>
      </c>
      <c r="Y151" s="7">
        <f>IF($D151="","",X151-N151)</f>
        <v/>
      </c>
      <c r="AB151">
        <f>IF($D151="","",IF($AN151=1,0,IF($AM151=1,Settings!$C$6,Settings!$C$7))*100)</f>
        <v/>
      </c>
      <c r="AF151" s="7" t="n"/>
      <c r="AI151" s="11" t="n"/>
      <c r="AK151">
        <f>IF($D151="","",IF(COUNTIF($D$2:$D151,$D151)=1,1,0))</f>
        <v/>
      </c>
      <c r="AL151">
        <f>IF($AK151=1,SUMPRODUCT(--($AO$2:$AO$1501&lt;$AO151))+1,"")</f>
        <v/>
      </c>
      <c r="AM151">
        <f>IF($D151="","",IF(OR($R151=TRUE(),$R151="TRUE"),1,0))</f>
        <v/>
      </c>
      <c r="AN151">
        <f>IF($D151="","",IF($AA151="Yes",1,0))</f>
        <v/>
      </c>
      <c r="AO151">
        <f>IF($AK151=1,IFERROR(IF(VALUE($D151)&lt;100000000,VALUE($D151),1000000000),IFERROR(IF(VALUE(MID($D151,2,20))&lt;100000000,VALUE(MID($D151,2,20)),1000000000),1000000000))+ROW()/100000,"")</f>
        <v/>
      </c>
    </row>
    <row r="152">
      <c r="F152" s="11" t="n"/>
      <c r="N152" s="7">
        <f>IF($D152="","",M152*V152/100)</f>
        <v/>
      </c>
      <c r="O152" s="7" t="n"/>
      <c r="U152" s="7" t="n"/>
      <c r="V152" s="7" t="n"/>
      <c r="W152" s="7">
        <f>IF($D152="","",V152*AB152/100)</f>
        <v/>
      </c>
      <c r="X152" s="7">
        <f>IF($D152="","",V152-W152)</f>
        <v/>
      </c>
      <c r="Y152" s="7">
        <f>IF($D152="","",X152-N152)</f>
        <v/>
      </c>
      <c r="AB152">
        <f>IF($D152="","",IF($AN152=1,0,IF($AM152=1,Settings!$C$6,Settings!$C$7))*100)</f>
        <v/>
      </c>
      <c r="AF152" s="7" t="n"/>
      <c r="AI152" s="11" t="n"/>
      <c r="AK152">
        <f>IF($D152="","",IF(COUNTIF($D$2:$D152,$D152)=1,1,0))</f>
        <v/>
      </c>
      <c r="AL152">
        <f>IF($AK152=1,SUMPRODUCT(--($AO$2:$AO$1501&lt;$AO152))+1,"")</f>
        <v/>
      </c>
      <c r="AM152">
        <f>IF($D152="","",IF(OR($R152=TRUE(),$R152="TRUE"),1,0))</f>
        <v/>
      </c>
      <c r="AN152">
        <f>IF($D152="","",IF($AA152="Yes",1,0))</f>
        <v/>
      </c>
      <c r="AO152">
        <f>IF($AK152=1,IFERROR(IF(VALUE($D152)&lt;100000000,VALUE($D152),1000000000),IFERROR(IF(VALUE(MID($D152,2,20))&lt;100000000,VALUE(MID($D152,2,20)),1000000000),1000000000))+ROW()/100000,"")</f>
        <v/>
      </c>
    </row>
    <row r="153">
      <c r="F153" s="11" t="n"/>
      <c r="N153" s="7">
        <f>IF($D153="","",M153*V153/100)</f>
        <v/>
      </c>
      <c r="O153" s="7" t="n"/>
      <c r="U153" s="7" t="n"/>
      <c r="V153" s="7" t="n"/>
      <c r="W153" s="7">
        <f>IF($D153="","",V153*AB153/100)</f>
        <v/>
      </c>
      <c r="X153" s="7">
        <f>IF($D153="","",V153-W153)</f>
        <v/>
      </c>
      <c r="Y153" s="7">
        <f>IF($D153="","",X153-N153)</f>
        <v/>
      </c>
      <c r="AB153">
        <f>IF($D153="","",IF($AN153=1,0,IF($AM153=1,Settings!$C$6,Settings!$C$7))*100)</f>
        <v/>
      </c>
      <c r="AF153" s="7" t="n"/>
      <c r="AI153" s="11" t="n"/>
      <c r="AK153">
        <f>IF($D153="","",IF(COUNTIF($D$2:$D153,$D153)=1,1,0))</f>
        <v/>
      </c>
      <c r="AL153">
        <f>IF($AK153=1,SUMPRODUCT(--($AO$2:$AO$1501&lt;$AO153))+1,"")</f>
        <v/>
      </c>
      <c r="AM153">
        <f>IF($D153="","",IF(OR($R153=TRUE(),$R153="TRUE"),1,0))</f>
        <v/>
      </c>
      <c r="AN153">
        <f>IF($D153="","",IF($AA153="Yes",1,0))</f>
        <v/>
      </c>
      <c r="AO153">
        <f>IF($AK153=1,IFERROR(IF(VALUE($D153)&lt;100000000,VALUE($D153),1000000000),IFERROR(IF(VALUE(MID($D153,2,20))&lt;100000000,VALUE(MID($D153,2,20)),1000000000),1000000000))+ROW()/100000,"")</f>
        <v/>
      </c>
    </row>
    <row r="154">
      <c r="F154" s="11" t="n"/>
      <c r="N154" s="7">
        <f>IF($D154="","",M154*V154/100)</f>
        <v/>
      </c>
      <c r="O154" s="7" t="n"/>
      <c r="U154" s="7" t="n"/>
      <c r="V154" s="7" t="n"/>
      <c r="W154" s="7">
        <f>IF($D154="","",V154*AB154/100)</f>
        <v/>
      </c>
      <c r="X154" s="7">
        <f>IF($D154="","",V154-W154)</f>
        <v/>
      </c>
      <c r="Y154" s="7">
        <f>IF($D154="","",X154-N154)</f>
        <v/>
      </c>
      <c r="AB154">
        <f>IF($D154="","",IF($AN154=1,0,IF($AM154=1,Settings!$C$6,Settings!$C$7))*100)</f>
        <v/>
      </c>
      <c r="AF154" s="7" t="n"/>
      <c r="AI154" s="11" t="n"/>
      <c r="AK154">
        <f>IF($D154="","",IF(COUNTIF($D$2:$D154,$D154)=1,1,0))</f>
        <v/>
      </c>
      <c r="AL154">
        <f>IF($AK154=1,SUMPRODUCT(--($AO$2:$AO$1501&lt;$AO154))+1,"")</f>
        <v/>
      </c>
      <c r="AM154">
        <f>IF($D154="","",IF(OR($R154=TRUE(),$R154="TRUE"),1,0))</f>
        <v/>
      </c>
      <c r="AN154">
        <f>IF($D154="","",IF($AA154="Yes",1,0))</f>
        <v/>
      </c>
      <c r="AO154">
        <f>IF($AK154=1,IFERROR(IF(VALUE($D154)&lt;100000000,VALUE($D154),1000000000),IFERROR(IF(VALUE(MID($D154,2,20))&lt;100000000,VALUE(MID($D154,2,20)),1000000000),1000000000))+ROW()/100000,"")</f>
        <v/>
      </c>
    </row>
    <row r="155">
      <c r="F155" s="11" t="n"/>
      <c r="N155" s="7">
        <f>IF($D155="","",M155*V155/100)</f>
        <v/>
      </c>
      <c r="O155" s="7" t="n"/>
      <c r="U155" s="7" t="n"/>
      <c r="V155" s="7" t="n"/>
      <c r="W155" s="7">
        <f>IF($D155="","",V155*AB155/100)</f>
        <v/>
      </c>
      <c r="X155" s="7">
        <f>IF($D155="","",V155-W155)</f>
        <v/>
      </c>
      <c r="Y155" s="7">
        <f>IF($D155="","",X155-N155)</f>
        <v/>
      </c>
      <c r="AB155">
        <f>IF($D155="","",IF($AN155=1,0,IF($AM155=1,Settings!$C$6,Settings!$C$7))*100)</f>
        <v/>
      </c>
      <c r="AF155" s="7" t="n"/>
      <c r="AI155" s="11" t="n"/>
      <c r="AK155">
        <f>IF($D155="","",IF(COUNTIF($D$2:$D155,$D155)=1,1,0))</f>
        <v/>
      </c>
      <c r="AL155">
        <f>IF($AK155=1,SUMPRODUCT(--($AO$2:$AO$1501&lt;$AO155))+1,"")</f>
        <v/>
      </c>
      <c r="AM155">
        <f>IF($D155="","",IF(OR($R155=TRUE(),$R155="TRUE"),1,0))</f>
        <v/>
      </c>
      <c r="AN155">
        <f>IF($D155="","",IF($AA155="Yes",1,0))</f>
        <v/>
      </c>
      <c r="AO155">
        <f>IF($AK155=1,IFERROR(IF(VALUE($D155)&lt;100000000,VALUE($D155),1000000000),IFERROR(IF(VALUE(MID($D155,2,20))&lt;100000000,VALUE(MID($D155,2,20)),1000000000),1000000000))+ROW()/100000,"")</f>
        <v/>
      </c>
    </row>
    <row r="156">
      <c r="F156" s="11" t="n"/>
      <c r="N156" s="7">
        <f>IF($D156="","",M156*V156/100)</f>
        <v/>
      </c>
      <c r="O156" s="7" t="n"/>
      <c r="U156" s="7" t="n"/>
      <c r="V156" s="7" t="n"/>
      <c r="W156" s="7">
        <f>IF($D156="","",V156*AB156/100)</f>
        <v/>
      </c>
      <c r="X156" s="7">
        <f>IF($D156="","",V156-W156)</f>
        <v/>
      </c>
      <c r="Y156" s="7">
        <f>IF($D156="","",X156-N156)</f>
        <v/>
      </c>
      <c r="AB156">
        <f>IF($D156="","",IF($AN156=1,0,IF($AM156=1,Settings!$C$6,Settings!$C$7))*100)</f>
        <v/>
      </c>
      <c r="AF156" s="7" t="n"/>
      <c r="AI156" s="11" t="n"/>
      <c r="AK156">
        <f>IF($D156="","",IF(COUNTIF($D$2:$D156,$D156)=1,1,0))</f>
        <v/>
      </c>
      <c r="AL156">
        <f>IF($AK156=1,SUMPRODUCT(--($AO$2:$AO$1501&lt;$AO156))+1,"")</f>
        <v/>
      </c>
      <c r="AM156">
        <f>IF($D156="","",IF(OR($R156=TRUE(),$R156="TRUE"),1,0))</f>
        <v/>
      </c>
      <c r="AN156">
        <f>IF($D156="","",IF($AA156="Yes",1,0))</f>
        <v/>
      </c>
      <c r="AO156">
        <f>IF($AK156=1,IFERROR(IF(VALUE($D156)&lt;100000000,VALUE($D156),1000000000),IFERROR(IF(VALUE(MID($D156,2,20))&lt;100000000,VALUE(MID($D156,2,20)),1000000000),1000000000))+ROW()/100000,"")</f>
        <v/>
      </c>
    </row>
    <row r="157">
      <c r="F157" s="11" t="n"/>
      <c r="N157" s="7">
        <f>IF($D157="","",M157*V157/100)</f>
        <v/>
      </c>
      <c r="O157" s="7" t="n"/>
      <c r="U157" s="7" t="n"/>
      <c r="V157" s="7" t="n"/>
      <c r="W157" s="7">
        <f>IF($D157="","",V157*AB157/100)</f>
        <v/>
      </c>
      <c r="X157" s="7">
        <f>IF($D157="","",V157-W157)</f>
        <v/>
      </c>
      <c r="Y157" s="7">
        <f>IF($D157="","",X157-N157)</f>
        <v/>
      </c>
      <c r="AB157">
        <f>IF($D157="","",IF($AN157=1,0,IF($AM157=1,Settings!$C$6,Settings!$C$7))*100)</f>
        <v/>
      </c>
      <c r="AF157" s="7" t="n"/>
      <c r="AI157" s="11" t="n"/>
      <c r="AK157">
        <f>IF($D157="","",IF(COUNTIF($D$2:$D157,$D157)=1,1,0))</f>
        <v/>
      </c>
      <c r="AL157">
        <f>IF($AK157=1,SUMPRODUCT(--($AO$2:$AO$1501&lt;$AO157))+1,"")</f>
        <v/>
      </c>
      <c r="AM157">
        <f>IF($D157="","",IF(OR($R157=TRUE(),$R157="TRUE"),1,0))</f>
        <v/>
      </c>
      <c r="AN157">
        <f>IF($D157="","",IF($AA157="Yes",1,0))</f>
        <v/>
      </c>
      <c r="AO157">
        <f>IF($AK157=1,IFERROR(IF(VALUE($D157)&lt;100000000,VALUE($D157),1000000000),IFERROR(IF(VALUE(MID($D157,2,20))&lt;100000000,VALUE(MID($D157,2,20)),1000000000),1000000000))+ROW()/100000,"")</f>
        <v/>
      </c>
    </row>
    <row r="158">
      <c r="F158" s="11" t="n"/>
      <c r="N158" s="7">
        <f>IF($D158="","",M158*V158/100)</f>
        <v/>
      </c>
      <c r="O158" s="7" t="n"/>
      <c r="U158" s="7" t="n"/>
      <c r="V158" s="7" t="n"/>
      <c r="W158" s="7">
        <f>IF($D158="","",V158*AB158/100)</f>
        <v/>
      </c>
      <c r="X158" s="7">
        <f>IF($D158="","",V158-W158)</f>
        <v/>
      </c>
      <c r="Y158" s="7">
        <f>IF($D158="","",X158-N158)</f>
        <v/>
      </c>
      <c r="AB158">
        <f>IF($D158="","",IF($AN158=1,0,IF($AM158=1,Settings!$C$6,Settings!$C$7))*100)</f>
        <v/>
      </c>
      <c r="AF158" s="7" t="n"/>
      <c r="AI158" s="11" t="n"/>
      <c r="AK158">
        <f>IF($D158="","",IF(COUNTIF($D$2:$D158,$D158)=1,1,0))</f>
        <v/>
      </c>
      <c r="AL158">
        <f>IF($AK158=1,SUMPRODUCT(--($AO$2:$AO$1501&lt;$AO158))+1,"")</f>
        <v/>
      </c>
      <c r="AM158">
        <f>IF($D158="","",IF(OR($R158=TRUE(),$R158="TRUE"),1,0))</f>
        <v/>
      </c>
      <c r="AN158">
        <f>IF($D158="","",IF($AA158="Yes",1,0))</f>
        <v/>
      </c>
      <c r="AO158">
        <f>IF($AK158=1,IFERROR(IF(VALUE($D158)&lt;100000000,VALUE($D158),1000000000),IFERROR(IF(VALUE(MID($D158,2,20))&lt;100000000,VALUE(MID($D158,2,20)),1000000000),1000000000))+ROW()/100000,"")</f>
        <v/>
      </c>
    </row>
    <row r="159">
      <c r="F159" s="11" t="n"/>
      <c r="N159" s="7">
        <f>IF($D159="","",M159*V159/100)</f>
        <v/>
      </c>
      <c r="O159" s="7" t="n"/>
      <c r="U159" s="7" t="n"/>
      <c r="V159" s="7" t="n"/>
      <c r="W159" s="7">
        <f>IF($D159="","",V159*AB159/100)</f>
        <v/>
      </c>
      <c r="X159" s="7">
        <f>IF($D159="","",V159-W159)</f>
        <v/>
      </c>
      <c r="Y159" s="7">
        <f>IF($D159="","",X159-N159)</f>
        <v/>
      </c>
      <c r="AB159">
        <f>IF($D159="","",IF($AN159=1,0,IF($AM159=1,Settings!$C$6,Settings!$C$7))*100)</f>
        <v/>
      </c>
      <c r="AF159" s="7" t="n"/>
      <c r="AI159" s="11" t="n"/>
      <c r="AK159">
        <f>IF($D159="","",IF(COUNTIF($D$2:$D159,$D159)=1,1,0))</f>
        <v/>
      </c>
      <c r="AL159">
        <f>IF($AK159=1,SUMPRODUCT(--($AO$2:$AO$1501&lt;$AO159))+1,"")</f>
        <v/>
      </c>
      <c r="AM159">
        <f>IF($D159="","",IF(OR($R159=TRUE(),$R159="TRUE"),1,0))</f>
        <v/>
      </c>
      <c r="AN159">
        <f>IF($D159="","",IF($AA159="Yes",1,0))</f>
        <v/>
      </c>
      <c r="AO159">
        <f>IF($AK159=1,IFERROR(IF(VALUE($D159)&lt;100000000,VALUE($D159),1000000000),IFERROR(IF(VALUE(MID($D159,2,20))&lt;100000000,VALUE(MID($D159,2,20)),1000000000),1000000000))+ROW()/100000,"")</f>
        <v/>
      </c>
    </row>
    <row r="160">
      <c r="F160" s="11" t="n"/>
      <c r="N160" s="7">
        <f>IF($D160="","",M160*V160/100)</f>
        <v/>
      </c>
      <c r="O160" s="7" t="n"/>
      <c r="U160" s="7" t="n"/>
      <c r="V160" s="7" t="n"/>
      <c r="W160" s="7">
        <f>IF($D160="","",V160*AB160/100)</f>
        <v/>
      </c>
      <c r="X160" s="7">
        <f>IF($D160="","",V160-W160)</f>
        <v/>
      </c>
      <c r="Y160" s="7">
        <f>IF($D160="","",X160-N160)</f>
        <v/>
      </c>
      <c r="AB160">
        <f>IF($D160="","",IF($AN160=1,0,IF($AM160=1,Settings!$C$6,Settings!$C$7))*100)</f>
        <v/>
      </c>
      <c r="AF160" s="7" t="n"/>
      <c r="AI160" s="11" t="n"/>
      <c r="AK160">
        <f>IF($D160="","",IF(COUNTIF($D$2:$D160,$D160)=1,1,0))</f>
        <v/>
      </c>
      <c r="AL160">
        <f>IF($AK160=1,SUMPRODUCT(--($AO$2:$AO$1501&lt;$AO160))+1,"")</f>
        <v/>
      </c>
      <c r="AM160">
        <f>IF($D160="","",IF(OR($R160=TRUE(),$R160="TRUE"),1,0))</f>
        <v/>
      </c>
      <c r="AN160">
        <f>IF($D160="","",IF($AA160="Yes",1,0))</f>
        <v/>
      </c>
      <c r="AO160">
        <f>IF($AK160=1,IFERROR(IF(VALUE($D160)&lt;100000000,VALUE($D160),1000000000),IFERROR(IF(VALUE(MID($D160,2,20))&lt;100000000,VALUE(MID($D160,2,20)),1000000000),1000000000))+ROW()/100000,"")</f>
        <v/>
      </c>
    </row>
    <row r="161">
      <c r="F161" s="11" t="n"/>
      <c r="N161" s="7">
        <f>IF($D161="","",M161*V161/100)</f>
        <v/>
      </c>
      <c r="O161" s="7" t="n"/>
      <c r="U161" s="7" t="n"/>
      <c r="V161" s="7" t="n"/>
      <c r="W161" s="7">
        <f>IF($D161="","",V161*AB161/100)</f>
        <v/>
      </c>
      <c r="X161" s="7">
        <f>IF($D161="","",V161-W161)</f>
        <v/>
      </c>
      <c r="Y161" s="7">
        <f>IF($D161="","",X161-N161)</f>
        <v/>
      </c>
      <c r="AB161">
        <f>IF($D161="","",IF($AN161=1,0,IF($AM161=1,Settings!$C$6,Settings!$C$7))*100)</f>
        <v/>
      </c>
      <c r="AF161" s="7" t="n"/>
      <c r="AI161" s="11" t="n"/>
      <c r="AK161">
        <f>IF($D161="","",IF(COUNTIF($D$2:$D161,$D161)=1,1,0))</f>
        <v/>
      </c>
      <c r="AL161">
        <f>IF($AK161=1,SUMPRODUCT(--($AO$2:$AO$1501&lt;$AO161))+1,"")</f>
        <v/>
      </c>
      <c r="AM161">
        <f>IF($D161="","",IF(OR($R161=TRUE(),$R161="TRUE"),1,0))</f>
        <v/>
      </c>
      <c r="AN161">
        <f>IF($D161="","",IF($AA161="Yes",1,0))</f>
        <v/>
      </c>
      <c r="AO161">
        <f>IF($AK161=1,IFERROR(IF(VALUE($D161)&lt;100000000,VALUE($D161),1000000000),IFERROR(IF(VALUE(MID($D161,2,20))&lt;100000000,VALUE(MID($D161,2,20)),1000000000),1000000000))+ROW()/100000,"")</f>
        <v/>
      </c>
    </row>
    <row r="162">
      <c r="F162" s="11" t="n"/>
      <c r="N162" s="7">
        <f>IF($D162="","",M162*V162/100)</f>
        <v/>
      </c>
      <c r="O162" s="7" t="n"/>
      <c r="U162" s="7" t="n"/>
      <c r="V162" s="7" t="n"/>
      <c r="W162" s="7">
        <f>IF($D162="","",V162*AB162/100)</f>
        <v/>
      </c>
      <c r="X162" s="7">
        <f>IF($D162="","",V162-W162)</f>
        <v/>
      </c>
      <c r="Y162" s="7">
        <f>IF($D162="","",X162-N162)</f>
        <v/>
      </c>
      <c r="AB162">
        <f>IF($D162="","",IF($AN162=1,0,IF($AM162=1,Settings!$C$6,Settings!$C$7))*100)</f>
        <v/>
      </c>
      <c r="AF162" s="7" t="n"/>
      <c r="AI162" s="11" t="n"/>
      <c r="AK162">
        <f>IF($D162="","",IF(COUNTIF($D$2:$D162,$D162)=1,1,0))</f>
        <v/>
      </c>
      <c r="AL162">
        <f>IF($AK162=1,SUMPRODUCT(--($AO$2:$AO$1501&lt;$AO162))+1,"")</f>
        <v/>
      </c>
      <c r="AM162">
        <f>IF($D162="","",IF(OR($R162=TRUE(),$R162="TRUE"),1,0))</f>
        <v/>
      </c>
      <c r="AN162">
        <f>IF($D162="","",IF($AA162="Yes",1,0))</f>
        <v/>
      </c>
      <c r="AO162">
        <f>IF($AK162=1,IFERROR(IF(VALUE($D162)&lt;100000000,VALUE($D162),1000000000),IFERROR(IF(VALUE(MID($D162,2,20))&lt;100000000,VALUE(MID($D162,2,20)),1000000000),1000000000))+ROW()/100000,"")</f>
        <v/>
      </c>
    </row>
    <row r="163">
      <c r="F163" s="11" t="n"/>
      <c r="N163" s="7">
        <f>IF($D163="","",M163*V163/100)</f>
        <v/>
      </c>
      <c r="O163" s="7" t="n"/>
      <c r="U163" s="7" t="n"/>
      <c r="V163" s="7" t="n"/>
      <c r="W163" s="7">
        <f>IF($D163="","",V163*AB163/100)</f>
        <v/>
      </c>
      <c r="X163" s="7">
        <f>IF($D163="","",V163-W163)</f>
        <v/>
      </c>
      <c r="Y163" s="7">
        <f>IF($D163="","",X163-N163)</f>
        <v/>
      </c>
      <c r="AB163">
        <f>IF($D163="","",IF($AN163=1,0,IF($AM163=1,Settings!$C$6,Settings!$C$7))*100)</f>
        <v/>
      </c>
      <c r="AF163" s="7" t="n"/>
      <c r="AI163" s="11" t="n"/>
      <c r="AK163">
        <f>IF($D163="","",IF(COUNTIF($D$2:$D163,$D163)=1,1,0))</f>
        <v/>
      </c>
      <c r="AL163">
        <f>IF($AK163=1,SUMPRODUCT(--($AO$2:$AO$1501&lt;$AO163))+1,"")</f>
        <v/>
      </c>
      <c r="AM163">
        <f>IF($D163="","",IF(OR($R163=TRUE(),$R163="TRUE"),1,0))</f>
        <v/>
      </c>
      <c r="AN163">
        <f>IF($D163="","",IF($AA163="Yes",1,0))</f>
        <v/>
      </c>
      <c r="AO163">
        <f>IF($AK163=1,IFERROR(IF(VALUE($D163)&lt;100000000,VALUE($D163),1000000000),IFERROR(IF(VALUE(MID($D163,2,20))&lt;100000000,VALUE(MID($D163,2,20)),1000000000),1000000000))+ROW()/100000,"")</f>
        <v/>
      </c>
    </row>
    <row r="164">
      <c r="F164" s="11" t="n"/>
      <c r="N164" s="7">
        <f>IF($D164="","",M164*V164/100)</f>
        <v/>
      </c>
      <c r="O164" s="7" t="n"/>
      <c r="U164" s="7" t="n"/>
      <c r="V164" s="7" t="n"/>
      <c r="W164" s="7">
        <f>IF($D164="","",V164*AB164/100)</f>
        <v/>
      </c>
      <c r="X164" s="7">
        <f>IF($D164="","",V164-W164)</f>
        <v/>
      </c>
      <c r="Y164" s="7">
        <f>IF($D164="","",X164-N164)</f>
        <v/>
      </c>
      <c r="AB164">
        <f>IF($D164="","",IF($AN164=1,0,IF($AM164=1,Settings!$C$6,Settings!$C$7))*100)</f>
        <v/>
      </c>
      <c r="AF164" s="7" t="n"/>
      <c r="AI164" s="11" t="n"/>
      <c r="AK164">
        <f>IF($D164="","",IF(COUNTIF($D$2:$D164,$D164)=1,1,0))</f>
        <v/>
      </c>
      <c r="AL164">
        <f>IF($AK164=1,SUMPRODUCT(--($AO$2:$AO$1501&lt;$AO164))+1,"")</f>
        <v/>
      </c>
      <c r="AM164">
        <f>IF($D164="","",IF(OR($R164=TRUE(),$R164="TRUE"),1,0))</f>
        <v/>
      </c>
      <c r="AN164">
        <f>IF($D164="","",IF($AA164="Yes",1,0))</f>
        <v/>
      </c>
      <c r="AO164">
        <f>IF($AK164=1,IFERROR(IF(VALUE($D164)&lt;100000000,VALUE($D164),1000000000),IFERROR(IF(VALUE(MID($D164,2,20))&lt;100000000,VALUE(MID($D164,2,20)),1000000000),1000000000))+ROW()/100000,"")</f>
        <v/>
      </c>
    </row>
    <row r="165">
      <c r="F165" s="11" t="n"/>
      <c r="N165" s="7">
        <f>IF($D165="","",M165*V165/100)</f>
        <v/>
      </c>
      <c r="O165" s="7" t="n"/>
      <c r="U165" s="7" t="n"/>
      <c r="V165" s="7" t="n"/>
      <c r="W165" s="7">
        <f>IF($D165="","",V165*AB165/100)</f>
        <v/>
      </c>
      <c r="X165" s="7">
        <f>IF($D165="","",V165-W165)</f>
        <v/>
      </c>
      <c r="Y165" s="7">
        <f>IF($D165="","",X165-N165)</f>
        <v/>
      </c>
      <c r="AB165">
        <f>IF($D165="","",IF($AN165=1,0,IF($AM165=1,Settings!$C$6,Settings!$C$7))*100)</f>
        <v/>
      </c>
      <c r="AF165" s="7" t="n"/>
      <c r="AI165" s="11" t="n"/>
      <c r="AK165">
        <f>IF($D165="","",IF(COUNTIF($D$2:$D165,$D165)=1,1,0))</f>
        <v/>
      </c>
      <c r="AL165">
        <f>IF($AK165=1,SUMPRODUCT(--($AO$2:$AO$1501&lt;$AO165))+1,"")</f>
        <v/>
      </c>
      <c r="AM165">
        <f>IF($D165="","",IF(OR($R165=TRUE(),$R165="TRUE"),1,0))</f>
        <v/>
      </c>
      <c r="AN165">
        <f>IF($D165="","",IF($AA165="Yes",1,0))</f>
        <v/>
      </c>
      <c r="AO165">
        <f>IF($AK165=1,IFERROR(IF(VALUE($D165)&lt;100000000,VALUE($D165),1000000000),IFERROR(IF(VALUE(MID($D165,2,20))&lt;100000000,VALUE(MID($D165,2,20)),1000000000),1000000000))+ROW()/100000,"")</f>
        <v/>
      </c>
    </row>
    <row r="166">
      <c r="F166" s="11" t="n"/>
      <c r="N166" s="7">
        <f>IF($D166="","",M166*V166/100)</f>
        <v/>
      </c>
      <c r="O166" s="7" t="n"/>
      <c r="U166" s="7" t="n"/>
      <c r="V166" s="7" t="n"/>
      <c r="W166" s="7">
        <f>IF($D166="","",V166*AB166/100)</f>
        <v/>
      </c>
      <c r="X166" s="7">
        <f>IF($D166="","",V166-W166)</f>
        <v/>
      </c>
      <c r="Y166" s="7">
        <f>IF($D166="","",X166-N166)</f>
        <v/>
      </c>
      <c r="AB166">
        <f>IF($D166="","",IF($AN166=1,0,IF($AM166=1,Settings!$C$6,Settings!$C$7))*100)</f>
        <v/>
      </c>
      <c r="AF166" s="7" t="n"/>
      <c r="AI166" s="11" t="n"/>
      <c r="AK166">
        <f>IF($D166="","",IF(COUNTIF($D$2:$D166,$D166)=1,1,0))</f>
        <v/>
      </c>
      <c r="AL166">
        <f>IF($AK166=1,SUMPRODUCT(--($AO$2:$AO$1501&lt;$AO166))+1,"")</f>
        <v/>
      </c>
      <c r="AM166">
        <f>IF($D166="","",IF(OR($R166=TRUE(),$R166="TRUE"),1,0))</f>
        <v/>
      </c>
      <c r="AN166">
        <f>IF($D166="","",IF($AA166="Yes",1,0))</f>
        <v/>
      </c>
      <c r="AO166">
        <f>IF($AK166=1,IFERROR(IF(VALUE($D166)&lt;100000000,VALUE($D166),1000000000),IFERROR(IF(VALUE(MID($D166,2,20))&lt;100000000,VALUE(MID($D166,2,20)),1000000000),1000000000))+ROW()/100000,"")</f>
        <v/>
      </c>
    </row>
    <row r="167">
      <c r="F167" s="11" t="n"/>
      <c r="N167" s="7">
        <f>IF($D167="","",M167*V167/100)</f>
        <v/>
      </c>
      <c r="O167" s="7" t="n"/>
      <c r="U167" s="7" t="n"/>
      <c r="V167" s="7" t="n"/>
      <c r="W167" s="7">
        <f>IF($D167="","",V167*AB167/100)</f>
        <v/>
      </c>
      <c r="X167" s="7">
        <f>IF($D167="","",V167-W167)</f>
        <v/>
      </c>
      <c r="Y167" s="7">
        <f>IF($D167="","",X167-N167)</f>
        <v/>
      </c>
      <c r="AB167">
        <f>IF($D167="","",IF($AN167=1,0,IF($AM167=1,Settings!$C$6,Settings!$C$7))*100)</f>
        <v/>
      </c>
      <c r="AF167" s="7" t="n"/>
      <c r="AI167" s="11" t="n"/>
      <c r="AK167">
        <f>IF($D167="","",IF(COUNTIF($D$2:$D167,$D167)=1,1,0))</f>
        <v/>
      </c>
      <c r="AL167">
        <f>IF($AK167=1,SUMPRODUCT(--($AO$2:$AO$1501&lt;$AO167))+1,"")</f>
        <v/>
      </c>
      <c r="AM167">
        <f>IF($D167="","",IF(OR($R167=TRUE(),$R167="TRUE"),1,0))</f>
        <v/>
      </c>
      <c r="AN167">
        <f>IF($D167="","",IF($AA167="Yes",1,0))</f>
        <v/>
      </c>
      <c r="AO167">
        <f>IF($AK167=1,IFERROR(IF(VALUE($D167)&lt;100000000,VALUE($D167),1000000000),IFERROR(IF(VALUE(MID($D167,2,20))&lt;100000000,VALUE(MID($D167,2,20)),1000000000),1000000000))+ROW()/100000,"")</f>
        <v/>
      </c>
    </row>
    <row r="168">
      <c r="F168" s="11" t="n"/>
      <c r="N168" s="7">
        <f>IF($D168="","",M168*V168/100)</f>
        <v/>
      </c>
      <c r="O168" s="7" t="n"/>
      <c r="U168" s="7" t="n"/>
      <c r="V168" s="7" t="n"/>
      <c r="W168" s="7">
        <f>IF($D168="","",V168*AB168/100)</f>
        <v/>
      </c>
      <c r="X168" s="7">
        <f>IF($D168="","",V168-W168)</f>
        <v/>
      </c>
      <c r="Y168" s="7">
        <f>IF($D168="","",X168-N168)</f>
        <v/>
      </c>
      <c r="AB168">
        <f>IF($D168="","",IF($AN168=1,0,IF($AM168=1,Settings!$C$6,Settings!$C$7))*100)</f>
        <v/>
      </c>
      <c r="AF168" s="7" t="n"/>
      <c r="AI168" s="11" t="n"/>
      <c r="AK168">
        <f>IF($D168="","",IF(COUNTIF($D$2:$D168,$D168)=1,1,0))</f>
        <v/>
      </c>
      <c r="AL168">
        <f>IF($AK168=1,SUMPRODUCT(--($AO$2:$AO$1501&lt;$AO168))+1,"")</f>
        <v/>
      </c>
      <c r="AM168">
        <f>IF($D168="","",IF(OR($R168=TRUE(),$R168="TRUE"),1,0))</f>
        <v/>
      </c>
      <c r="AN168">
        <f>IF($D168="","",IF($AA168="Yes",1,0))</f>
        <v/>
      </c>
      <c r="AO168">
        <f>IF($AK168=1,IFERROR(IF(VALUE($D168)&lt;100000000,VALUE($D168),1000000000),IFERROR(IF(VALUE(MID($D168,2,20))&lt;100000000,VALUE(MID($D168,2,20)),1000000000),1000000000))+ROW()/100000,"")</f>
        <v/>
      </c>
    </row>
    <row r="169">
      <c r="F169" s="11" t="n"/>
      <c r="N169" s="7">
        <f>IF($D169="","",M169*V169/100)</f>
        <v/>
      </c>
      <c r="O169" s="7" t="n"/>
      <c r="U169" s="7" t="n"/>
      <c r="V169" s="7" t="n"/>
      <c r="W169" s="7">
        <f>IF($D169="","",V169*AB169/100)</f>
        <v/>
      </c>
      <c r="X169" s="7">
        <f>IF($D169="","",V169-W169)</f>
        <v/>
      </c>
      <c r="Y169" s="7">
        <f>IF($D169="","",X169-N169)</f>
        <v/>
      </c>
      <c r="AB169">
        <f>IF($D169="","",IF($AN169=1,0,IF($AM169=1,Settings!$C$6,Settings!$C$7))*100)</f>
        <v/>
      </c>
      <c r="AF169" s="7" t="n"/>
      <c r="AI169" s="11" t="n"/>
      <c r="AK169">
        <f>IF($D169="","",IF(COUNTIF($D$2:$D169,$D169)=1,1,0))</f>
        <v/>
      </c>
      <c r="AL169">
        <f>IF($AK169=1,SUMPRODUCT(--($AO$2:$AO$1501&lt;$AO169))+1,"")</f>
        <v/>
      </c>
      <c r="AM169">
        <f>IF($D169="","",IF(OR($R169=TRUE(),$R169="TRUE"),1,0))</f>
        <v/>
      </c>
      <c r="AN169">
        <f>IF($D169="","",IF($AA169="Yes",1,0))</f>
        <v/>
      </c>
      <c r="AO169">
        <f>IF($AK169=1,IFERROR(IF(VALUE($D169)&lt;100000000,VALUE($D169),1000000000),IFERROR(IF(VALUE(MID($D169,2,20))&lt;100000000,VALUE(MID($D169,2,20)),1000000000),1000000000))+ROW()/100000,"")</f>
        <v/>
      </c>
    </row>
    <row r="170">
      <c r="F170" s="11" t="n"/>
      <c r="N170" s="7">
        <f>IF($D170="","",M170*V170/100)</f>
        <v/>
      </c>
      <c r="O170" s="7" t="n"/>
      <c r="U170" s="7" t="n"/>
      <c r="V170" s="7" t="n"/>
      <c r="W170" s="7">
        <f>IF($D170="","",V170*AB170/100)</f>
        <v/>
      </c>
      <c r="X170" s="7">
        <f>IF($D170="","",V170-W170)</f>
        <v/>
      </c>
      <c r="Y170" s="7">
        <f>IF($D170="","",X170-N170)</f>
        <v/>
      </c>
      <c r="AB170">
        <f>IF($D170="","",IF($AN170=1,0,IF($AM170=1,Settings!$C$6,Settings!$C$7))*100)</f>
        <v/>
      </c>
      <c r="AF170" s="7" t="n"/>
      <c r="AI170" s="11" t="n"/>
      <c r="AK170">
        <f>IF($D170="","",IF(COUNTIF($D$2:$D170,$D170)=1,1,0))</f>
        <v/>
      </c>
      <c r="AL170">
        <f>IF($AK170=1,SUMPRODUCT(--($AO$2:$AO$1501&lt;$AO170))+1,"")</f>
        <v/>
      </c>
      <c r="AM170">
        <f>IF($D170="","",IF(OR($R170=TRUE(),$R170="TRUE"),1,0))</f>
        <v/>
      </c>
      <c r="AN170">
        <f>IF($D170="","",IF($AA170="Yes",1,0))</f>
        <v/>
      </c>
      <c r="AO170">
        <f>IF($AK170=1,IFERROR(IF(VALUE($D170)&lt;100000000,VALUE($D170),1000000000),IFERROR(IF(VALUE(MID($D170,2,20))&lt;100000000,VALUE(MID($D170,2,20)),1000000000),1000000000))+ROW()/100000,"")</f>
        <v/>
      </c>
    </row>
    <row r="171">
      <c r="F171" s="11" t="n"/>
      <c r="N171" s="7">
        <f>IF($D171="","",M171*V171/100)</f>
        <v/>
      </c>
      <c r="O171" s="7" t="n"/>
      <c r="U171" s="7" t="n"/>
      <c r="V171" s="7" t="n"/>
      <c r="W171" s="7">
        <f>IF($D171="","",V171*AB171/100)</f>
        <v/>
      </c>
      <c r="X171" s="7">
        <f>IF($D171="","",V171-W171)</f>
        <v/>
      </c>
      <c r="Y171" s="7">
        <f>IF($D171="","",X171-N171)</f>
        <v/>
      </c>
      <c r="AB171">
        <f>IF($D171="","",IF($AN171=1,0,IF($AM171=1,Settings!$C$6,Settings!$C$7))*100)</f>
        <v/>
      </c>
      <c r="AF171" s="7" t="n"/>
      <c r="AI171" s="11" t="n"/>
      <c r="AK171">
        <f>IF($D171="","",IF(COUNTIF($D$2:$D171,$D171)=1,1,0))</f>
        <v/>
      </c>
      <c r="AL171">
        <f>IF($AK171=1,SUMPRODUCT(--($AO$2:$AO$1501&lt;$AO171))+1,"")</f>
        <v/>
      </c>
      <c r="AM171">
        <f>IF($D171="","",IF(OR($R171=TRUE(),$R171="TRUE"),1,0))</f>
        <v/>
      </c>
      <c r="AN171">
        <f>IF($D171="","",IF($AA171="Yes",1,0))</f>
        <v/>
      </c>
      <c r="AO171">
        <f>IF($AK171=1,IFERROR(IF(VALUE($D171)&lt;100000000,VALUE($D171),1000000000),IFERROR(IF(VALUE(MID($D171,2,20))&lt;100000000,VALUE(MID($D171,2,20)),1000000000),1000000000))+ROW()/100000,"")</f>
        <v/>
      </c>
    </row>
    <row r="172">
      <c r="F172" s="11" t="n"/>
      <c r="N172" s="7">
        <f>IF($D172="","",M172*V172/100)</f>
        <v/>
      </c>
      <c r="O172" s="7" t="n"/>
      <c r="U172" s="7" t="n"/>
      <c r="V172" s="7" t="n"/>
      <c r="W172" s="7">
        <f>IF($D172="","",V172*AB172/100)</f>
        <v/>
      </c>
      <c r="X172" s="7">
        <f>IF($D172="","",V172-W172)</f>
        <v/>
      </c>
      <c r="Y172" s="7">
        <f>IF($D172="","",X172-N172)</f>
        <v/>
      </c>
      <c r="AB172">
        <f>IF($D172="","",IF($AN172=1,0,IF($AM172=1,Settings!$C$6,Settings!$C$7))*100)</f>
        <v/>
      </c>
      <c r="AF172" s="7" t="n"/>
      <c r="AI172" s="11" t="n"/>
      <c r="AK172">
        <f>IF($D172="","",IF(COUNTIF($D$2:$D172,$D172)=1,1,0))</f>
        <v/>
      </c>
      <c r="AL172">
        <f>IF($AK172=1,SUMPRODUCT(--($AO$2:$AO$1501&lt;$AO172))+1,"")</f>
        <v/>
      </c>
      <c r="AM172">
        <f>IF($D172="","",IF(OR($R172=TRUE(),$R172="TRUE"),1,0))</f>
        <v/>
      </c>
      <c r="AN172">
        <f>IF($D172="","",IF($AA172="Yes",1,0))</f>
        <v/>
      </c>
      <c r="AO172">
        <f>IF($AK172=1,IFERROR(IF(VALUE($D172)&lt;100000000,VALUE($D172),1000000000),IFERROR(IF(VALUE(MID($D172,2,20))&lt;100000000,VALUE(MID($D172,2,20)),1000000000),1000000000))+ROW()/100000,"")</f>
        <v/>
      </c>
    </row>
    <row r="173">
      <c r="F173" s="11" t="n"/>
      <c r="N173" s="7">
        <f>IF($D173="","",M173*V173/100)</f>
        <v/>
      </c>
      <c r="O173" s="7" t="n"/>
      <c r="U173" s="7" t="n"/>
      <c r="V173" s="7" t="n"/>
      <c r="W173" s="7">
        <f>IF($D173="","",V173*AB173/100)</f>
        <v/>
      </c>
      <c r="X173" s="7">
        <f>IF($D173="","",V173-W173)</f>
        <v/>
      </c>
      <c r="Y173" s="7">
        <f>IF($D173="","",X173-N173)</f>
        <v/>
      </c>
      <c r="AB173">
        <f>IF($D173="","",IF($AN173=1,0,IF($AM173=1,Settings!$C$6,Settings!$C$7))*100)</f>
        <v/>
      </c>
      <c r="AF173" s="7" t="n"/>
      <c r="AI173" s="11" t="n"/>
      <c r="AK173">
        <f>IF($D173="","",IF(COUNTIF($D$2:$D173,$D173)=1,1,0))</f>
        <v/>
      </c>
      <c r="AL173">
        <f>IF($AK173=1,SUMPRODUCT(--($AO$2:$AO$1501&lt;$AO173))+1,"")</f>
        <v/>
      </c>
      <c r="AM173">
        <f>IF($D173="","",IF(OR($R173=TRUE(),$R173="TRUE"),1,0))</f>
        <v/>
      </c>
      <c r="AN173">
        <f>IF($D173="","",IF($AA173="Yes",1,0))</f>
        <v/>
      </c>
      <c r="AO173">
        <f>IF($AK173=1,IFERROR(IF(VALUE($D173)&lt;100000000,VALUE($D173),1000000000),IFERROR(IF(VALUE(MID($D173,2,20))&lt;100000000,VALUE(MID($D173,2,20)),1000000000),1000000000))+ROW()/100000,"")</f>
        <v/>
      </c>
    </row>
    <row r="174">
      <c r="F174" s="11" t="n"/>
      <c r="N174" s="7">
        <f>IF($D174="","",M174*V174/100)</f>
        <v/>
      </c>
      <c r="O174" s="7" t="n"/>
      <c r="U174" s="7" t="n"/>
      <c r="V174" s="7" t="n"/>
      <c r="W174" s="7">
        <f>IF($D174="","",V174*AB174/100)</f>
        <v/>
      </c>
      <c r="X174" s="7">
        <f>IF($D174="","",V174-W174)</f>
        <v/>
      </c>
      <c r="Y174" s="7">
        <f>IF($D174="","",X174-N174)</f>
        <v/>
      </c>
      <c r="AB174">
        <f>IF($D174="","",IF($AN174=1,0,IF($AM174=1,Settings!$C$6,Settings!$C$7))*100)</f>
        <v/>
      </c>
      <c r="AF174" s="7" t="n"/>
      <c r="AI174" s="11" t="n"/>
      <c r="AK174">
        <f>IF($D174="","",IF(COUNTIF($D$2:$D174,$D174)=1,1,0))</f>
        <v/>
      </c>
      <c r="AL174">
        <f>IF($AK174=1,SUMPRODUCT(--($AO$2:$AO$1501&lt;$AO174))+1,"")</f>
        <v/>
      </c>
      <c r="AM174">
        <f>IF($D174="","",IF(OR($R174=TRUE(),$R174="TRUE"),1,0))</f>
        <v/>
      </c>
      <c r="AN174">
        <f>IF($D174="","",IF($AA174="Yes",1,0))</f>
        <v/>
      </c>
      <c r="AO174">
        <f>IF($AK174=1,IFERROR(IF(VALUE($D174)&lt;100000000,VALUE($D174),1000000000),IFERROR(IF(VALUE(MID($D174,2,20))&lt;100000000,VALUE(MID($D174,2,20)),1000000000),1000000000))+ROW()/100000,"")</f>
        <v/>
      </c>
    </row>
    <row r="175">
      <c r="F175" s="11" t="n"/>
      <c r="N175" s="7">
        <f>IF($D175="","",M175*V175/100)</f>
        <v/>
      </c>
      <c r="O175" s="7" t="n"/>
      <c r="U175" s="7" t="n"/>
      <c r="V175" s="7" t="n"/>
      <c r="W175" s="7">
        <f>IF($D175="","",V175*AB175/100)</f>
        <v/>
      </c>
      <c r="X175" s="7">
        <f>IF($D175="","",V175-W175)</f>
        <v/>
      </c>
      <c r="Y175" s="7">
        <f>IF($D175="","",X175-N175)</f>
        <v/>
      </c>
      <c r="AB175">
        <f>IF($D175="","",IF($AN175=1,0,IF($AM175=1,Settings!$C$6,Settings!$C$7))*100)</f>
        <v/>
      </c>
      <c r="AF175" s="7" t="n"/>
      <c r="AI175" s="11" t="n"/>
      <c r="AK175">
        <f>IF($D175="","",IF(COUNTIF($D$2:$D175,$D175)=1,1,0))</f>
        <v/>
      </c>
      <c r="AL175">
        <f>IF($AK175=1,SUMPRODUCT(--($AO$2:$AO$1501&lt;$AO175))+1,"")</f>
        <v/>
      </c>
      <c r="AM175">
        <f>IF($D175="","",IF(OR($R175=TRUE(),$R175="TRUE"),1,0))</f>
        <v/>
      </c>
      <c r="AN175">
        <f>IF($D175="","",IF($AA175="Yes",1,0))</f>
        <v/>
      </c>
      <c r="AO175">
        <f>IF($AK175=1,IFERROR(IF(VALUE($D175)&lt;100000000,VALUE($D175),1000000000),IFERROR(IF(VALUE(MID($D175,2,20))&lt;100000000,VALUE(MID($D175,2,20)),1000000000),1000000000))+ROW()/100000,"")</f>
        <v/>
      </c>
    </row>
    <row r="176">
      <c r="F176" s="11" t="n"/>
      <c r="N176" s="7">
        <f>IF($D176="","",M176*V176/100)</f>
        <v/>
      </c>
      <c r="O176" s="7" t="n"/>
      <c r="U176" s="7" t="n"/>
      <c r="V176" s="7" t="n"/>
      <c r="W176" s="7">
        <f>IF($D176="","",V176*AB176/100)</f>
        <v/>
      </c>
      <c r="X176" s="7">
        <f>IF($D176="","",V176-W176)</f>
        <v/>
      </c>
      <c r="Y176" s="7">
        <f>IF($D176="","",X176-N176)</f>
        <v/>
      </c>
      <c r="AB176">
        <f>IF($D176="","",IF($AN176=1,0,IF($AM176=1,Settings!$C$6,Settings!$C$7))*100)</f>
        <v/>
      </c>
      <c r="AF176" s="7" t="n"/>
      <c r="AI176" s="11" t="n"/>
      <c r="AK176">
        <f>IF($D176="","",IF(COUNTIF($D$2:$D176,$D176)=1,1,0))</f>
        <v/>
      </c>
      <c r="AL176">
        <f>IF($AK176=1,SUMPRODUCT(--($AO$2:$AO$1501&lt;$AO176))+1,"")</f>
        <v/>
      </c>
      <c r="AM176">
        <f>IF($D176="","",IF(OR($R176=TRUE(),$R176="TRUE"),1,0))</f>
        <v/>
      </c>
      <c r="AN176">
        <f>IF($D176="","",IF($AA176="Yes",1,0))</f>
        <v/>
      </c>
      <c r="AO176">
        <f>IF($AK176=1,IFERROR(IF(VALUE($D176)&lt;100000000,VALUE($D176),1000000000),IFERROR(IF(VALUE(MID($D176,2,20))&lt;100000000,VALUE(MID($D176,2,20)),1000000000),1000000000))+ROW()/100000,"")</f>
        <v/>
      </c>
    </row>
    <row r="177">
      <c r="F177" s="11" t="n"/>
      <c r="N177" s="7">
        <f>IF($D177="","",M177*V177/100)</f>
        <v/>
      </c>
      <c r="O177" s="7" t="n"/>
      <c r="U177" s="7" t="n"/>
      <c r="V177" s="7" t="n"/>
      <c r="W177" s="7">
        <f>IF($D177="","",V177*AB177/100)</f>
        <v/>
      </c>
      <c r="X177" s="7">
        <f>IF($D177="","",V177-W177)</f>
        <v/>
      </c>
      <c r="Y177" s="7">
        <f>IF($D177="","",X177-N177)</f>
        <v/>
      </c>
      <c r="AB177">
        <f>IF($D177="","",IF($AN177=1,0,IF($AM177=1,Settings!$C$6,Settings!$C$7))*100)</f>
        <v/>
      </c>
      <c r="AF177" s="7" t="n"/>
      <c r="AI177" s="11" t="n"/>
      <c r="AK177">
        <f>IF($D177="","",IF(COUNTIF($D$2:$D177,$D177)=1,1,0))</f>
        <v/>
      </c>
      <c r="AL177">
        <f>IF($AK177=1,SUMPRODUCT(--($AO$2:$AO$1501&lt;$AO177))+1,"")</f>
        <v/>
      </c>
      <c r="AM177">
        <f>IF($D177="","",IF(OR($R177=TRUE(),$R177="TRUE"),1,0))</f>
        <v/>
      </c>
      <c r="AN177">
        <f>IF($D177="","",IF($AA177="Yes",1,0))</f>
        <v/>
      </c>
      <c r="AO177">
        <f>IF($AK177=1,IFERROR(IF(VALUE($D177)&lt;100000000,VALUE($D177),1000000000),IFERROR(IF(VALUE(MID($D177,2,20))&lt;100000000,VALUE(MID($D177,2,20)),1000000000),1000000000))+ROW()/100000,"")</f>
        <v/>
      </c>
    </row>
    <row r="178">
      <c r="F178" s="11" t="n"/>
      <c r="N178" s="7">
        <f>IF($D178="","",M178*V178/100)</f>
        <v/>
      </c>
      <c r="O178" s="7" t="n"/>
      <c r="U178" s="7" t="n"/>
      <c r="V178" s="7" t="n"/>
      <c r="W178" s="7">
        <f>IF($D178="","",V178*AB178/100)</f>
        <v/>
      </c>
      <c r="X178" s="7">
        <f>IF($D178="","",V178-W178)</f>
        <v/>
      </c>
      <c r="Y178" s="7">
        <f>IF($D178="","",X178-N178)</f>
        <v/>
      </c>
      <c r="AB178">
        <f>IF($D178="","",IF($AN178=1,0,IF($AM178=1,Settings!$C$6,Settings!$C$7))*100)</f>
        <v/>
      </c>
      <c r="AF178" s="7" t="n"/>
      <c r="AI178" s="11" t="n"/>
      <c r="AK178">
        <f>IF($D178="","",IF(COUNTIF($D$2:$D178,$D178)=1,1,0))</f>
        <v/>
      </c>
      <c r="AL178">
        <f>IF($AK178=1,SUMPRODUCT(--($AO$2:$AO$1501&lt;$AO178))+1,"")</f>
        <v/>
      </c>
      <c r="AM178">
        <f>IF($D178="","",IF(OR($R178=TRUE(),$R178="TRUE"),1,0))</f>
        <v/>
      </c>
      <c r="AN178">
        <f>IF($D178="","",IF($AA178="Yes",1,0))</f>
        <v/>
      </c>
      <c r="AO178">
        <f>IF($AK178=1,IFERROR(IF(VALUE($D178)&lt;100000000,VALUE($D178),1000000000),IFERROR(IF(VALUE(MID($D178,2,20))&lt;100000000,VALUE(MID($D178,2,20)),1000000000),1000000000))+ROW()/100000,"")</f>
        <v/>
      </c>
    </row>
    <row r="179">
      <c r="F179" s="11" t="n"/>
      <c r="N179" s="7">
        <f>IF($D179="","",M179*V179/100)</f>
        <v/>
      </c>
      <c r="O179" s="7" t="n"/>
      <c r="U179" s="7" t="n"/>
      <c r="V179" s="7" t="n"/>
      <c r="W179" s="7">
        <f>IF($D179="","",V179*AB179/100)</f>
        <v/>
      </c>
      <c r="X179" s="7">
        <f>IF($D179="","",V179-W179)</f>
        <v/>
      </c>
      <c r="Y179" s="7">
        <f>IF($D179="","",X179-N179)</f>
        <v/>
      </c>
      <c r="AB179">
        <f>IF($D179="","",IF($AN179=1,0,IF($AM179=1,Settings!$C$6,Settings!$C$7))*100)</f>
        <v/>
      </c>
      <c r="AF179" s="7" t="n"/>
      <c r="AI179" s="11" t="n"/>
      <c r="AK179">
        <f>IF($D179="","",IF(COUNTIF($D$2:$D179,$D179)=1,1,0))</f>
        <v/>
      </c>
      <c r="AL179">
        <f>IF($AK179=1,SUMPRODUCT(--($AO$2:$AO$1501&lt;$AO179))+1,"")</f>
        <v/>
      </c>
      <c r="AM179">
        <f>IF($D179="","",IF(OR($R179=TRUE(),$R179="TRUE"),1,0))</f>
        <v/>
      </c>
      <c r="AN179">
        <f>IF($D179="","",IF($AA179="Yes",1,0))</f>
        <v/>
      </c>
      <c r="AO179">
        <f>IF($AK179=1,IFERROR(IF(VALUE($D179)&lt;100000000,VALUE($D179),1000000000),IFERROR(IF(VALUE(MID($D179,2,20))&lt;100000000,VALUE(MID($D179,2,20)),1000000000),1000000000))+ROW()/100000,"")</f>
        <v/>
      </c>
    </row>
    <row r="180">
      <c r="F180" s="11" t="n"/>
      <c r="N180" s="7">
        <f>IF($D180="","",M180*V180/100)</f>
        <v/>
      </c>
      <c r="O180" s="7" t="n"/>
      <c r="U180" s="7" t="n"/>
      <c r="V180" s="7" t="n"/>
      <c r="W180" s="7">
        <f>IF($D180="","",V180*AB180/100)</f>
        <v/>
      </c>
      <c r="X180" s="7">
        <f>IF($D180="","",V180-W180)</f>
        <v/>
      </c>
      <c r="Y180" s="7">
        <f>IF($D180="","",X180-N180)</f>
        <v/>
      </c>
      <c r="AB180">
        <f>IF($D180="","",IF($AN180=1,0,IF($AM180=1,Settings!$C$6,Settings!$C$7))*100)</f>
        <v/>
      </c>
      <c r="AF180" s="7" t="n"/>
      <c r="AI180" s="11" t="n"/>
      <c r="AK180">
        <f>IF($D180="","",IF(COUNTIF($D$2:$D180,$D180)=1,1,0))</f>
        <v/>
      </c>
      <c r="AL180">
        <f>IF($AK180=1,SUMPRODUCT(--($AO$2:$AO$1501&lt;$AO180))+1,"")</f>
        <v/>
      </c>
      <c r="AM180">
        <f>IF($D180="","",IF(OR($R180=TRUE(),$R180="TRUE"),1,0))</f>
        <v/>
      </c>
      <c r="AN180">
        <f>IF($D180="","",IF($AA180="Yes",1,0))</f>
        <v/>
      </c>
      <c r="AO180">
        <f>IF($AK180=1,IFERROR(IF(VALUE($D180)&lt;100000000,VALUE($D180),1000000000),IFERROR(IF(VALUE(MID($D180,2,20))&lt;100000000,VALUE(MID($D180,2,20)),1000000000),1000000000))+ROW()/100000,"")</f>
        <v/>
      </c>
    </row>
    <row r="181">
      <c r="F181" s="11" t="n"/>
      <c r="N181" s="7">
        <f>IF($D181="","",M181*V181/100)</f>
        <v/>
      </c>
      <c r="O181" s="7" t="n"/>
      <c r="U181" s="7" t="n"/>
      <c r="V181" s="7" t="n"/>
      <c r="W181" s="7">
        <f>IF($D181="","",V181*AB181/100)</f>
        <v/>
      </c>
      <c r="X181" s="7">
        <f>IF($D181="","",V181-W181)</f>
        <v/>
      </c>
      <c r="Y181" s="7">
        <f>IF($D181="","",X181-N181)</f>
        <v/>
      </c>
      <c r="AB181">
        <f>IF($D181="","",IF($AN181=1,0,IF($AM181=1,Settings!$C$6,Settings!$C$7))*100)</f>
        <v/>
      </c>
      <c r="AF181" s="7" t="n"/>
      <c r="AI181" s="11" t="n"/>
      <c r="AK181">
        <f>IF($D181="","",IF(COUNTIF($D$2:$D181,$D181)=1,1,0))</f>
        <v/>
      </c>
      <c r="AL181">
        <f>IF($AK181=1,SUMPRODUCT(--($AO$2:$AO$1501&lt;$AO181))+1,"")</f>
        <v/>
      </c>
      <c r="AM181">
        <f>IF($D181="","",IF(OR($R181=TRUE(),$R181="TRUE"),1,0))</f>
        <v/>
      </c>
      <c r="AN181">
        <f>IF($D181="","",IF($AA181="Yes",1,0))</f>
        <v/>
      </c>
      <c r="AO181">
        <f>IF($AK181=1,IFERROR(IF(VALUE($D181)&lt;100000000,VALUE($D181),1000000000),IFERROR(IF(VALUE(MID($D181,2,20))&lt;100000000,VALUE(MID($D181,2,20)),1000000000),1000000000))+ROW()/100000,"")</f>
        <v/>
      </c>
    </row>
    <row r="182">
      <c r="F182" s="11" t="n"/>
      <c r="N182" s="7">
        <f>IF($D182="","",M182*V182/100)</f>
        <v/>
      </c>
      <c r="O182" s="7" t="n"/>
      <c r="U182" s="7" t="n"/>
      <c r="V182" s="7" t="n"/>
      <c r="W182" s="7">
        <f>IF($D182="","",V182*AB182/100)</f>
        <v/>
      </c>
      <c r="X182" s="7">
        <f>IF($D182="","",V182-W182)</f>
        <v/>
      </c>
      <c r="Y182" s="7">
        <f>IF($D182="","",X182-N182)</f>
        <v/>
      </c>
      <c r="AB182">
        <f>IF($D182="","",IF($AN182=1,0,IF($AM182=1,Settings!$C$6,Settings!$C$7))*100)</f>
        <v/>
      </c>
      <c r="AF182" s="7" t="n"/>
      <c r="AI182" s="11" t="n"/>
      <c r="AK182">
        <f>IF($D182="","",IF(COUNTIF($D$2:$D182,$D182)=1,1,0))</f>
        <v/>
      </c>
      <c r="AL182">
        <f>IF($AK182=1,SUMPRODUCT(--($AO$2:$AO$1501&lt;$AO182))+1,"")</f>
        <v/>
      </c>
      <c r="AM182">
        <f>IF($D182="","",IF(OR($R182=TRUE(),$R182="TRUE"),1,0))</f>
        <v/>
      </c>
      <c r="AN182">
        <f>IF($D182="","",IF($AA182="Yes",1,0))</f>
        <v/>
      </c>
      <c r="AO182">
        <f>IF($AK182=1,IFERROR(IF(VALUE($D182)&lt;100000000,VALUE($D182),1000000000),IFERROR(IF(VALUE(MID($D182,2,20))&lt;100000000,VALUE(MID($D182,2,20)),1000000000),1000000000))+ROW()/100000,"")</f>
        <v/>
      </c>
    </row>
    <row r="183">
      <c r="F183" s="11" t="n"/>
      <c r="N183" s="7">
        <f>IF($D183="","",M183*V183/100)</f>
        <v/>
      </c>
      <c r="O183" s="7" t="n"/>
      <c r="U183" s="7" t="n"/>
      <c r="V183" s="7" t="n"/>
      <c r="W183" s="7">
        <f>IF($D183="","",V183*AB183/100)</f>
        <v/>
      </c>
      <c r="X183" s="7">
        <f>IF($D183="","",V183-W183)</f>
        <v/>
      </c>
      <c r="Y183" s="7">
        <f>IF($D183="","",X183-N183)</f>
        <v/>
      </c>
      <c r="AB183">
        <f>IF($D183="","",IF($AN183=1,0,IF($AM183=1,Settings!$C$6,Settings!$C$7))*100)</f>
        <v/>
      </c>
      <c r="AF183" s="7" t="n"/>
      <c r="AI183" s="11" t="n"/>
      <c r="AK183">
        <f>IF($D183="","",IF(COUNTIF($D$2:$D183,$D183)=1,1,0))</f>
        <v/>
      </c>
      <c r="AL183">
        <f>IF($AK183=1,SUMPRODUCT(--($AO$2:$AO$1501&lt;$AO183))+1,"")</f>
        <v/>
      </c>
      <c r="AM183">
        <f>IF($D183="","",IF(OR($R183=TRUE(),$R183="TRUE"),1,0))</f>
        <v/>
      </c>
      <c r="AN183">
        <f>IF($D183="","",IF($AA183="Yes",1,0))</f>
        <v/>
      </c>
      <c r="AO183">
        <f>IF($AK183=1,IFERROR(IF(VALUE($D183)&lt;100000000,VALUE($D183),1000000000),IFERROR(IF(VALUE(MID($D183,2,20))&lt;100000000,VALUE(MID($D183,2,20)),1000000000),1000000000))+ROW()/100000,"")</f>
        <v/>
      </c>
    </row>
    <row r="184">
      <c r="F184" s="11" t="n"/>
      <c r="N184" s="7">
        <f>IF($D184="","",M184*V184/100)</f>
        <v/>
      </c>
      <c r="O184" s="7" t="n"/>
      <c r="U184" s="7" t="n"/>
      <c r="V184" s="7" t="n"/>
      <c r="W184" s="7">
        <f>IF($D184="","",V184*AB184/100)</f>
        <v/>
      </c>
      <c r="X184" s="7">
        <f>IF($D184="","",V184-W184)</f>
        <v/>
      </c>
      <c r="Y184" s="7">
        <f>IF($D184="","",X184-N184)</f>
        <v/>
      </c>
      <c r="AB184">
        <f>IF($D184="","",IF($AN184=1,0,IF($AM184=1,Settings!$C$6,Settings!$C$7))*100)</f>
        <v/>
      </c>
      <c r="AF184" s="7" t="n"/>
      <c r="AI184" s="11" t="n"/>
      <c r="AK184">
        <f>IF($D184="","",IF(COUNTIF($D$2:$D184,$D184)=1,1,0))</f>
        <v/>
      </c>
      <c r="AL184">
        <f>IF($AK184=1,SUMPRODUCT(--($AO$2:$AO$1501&lt;$AO184))+1,"")</f>
        <v/>
      </c>
      <c r="AM184">
        <f>IF($D184="","",IF(OR($R184=TRUE(),$R184="TRUE"),1,0))</f>
        <v/>
      </c>
      <c r="AN184">
        <f>IF($D184="","",IF($AA184="Yes",1,0))</f>
        <v/>
      </c>
      <c r="AO184">
        <f>IF($AK184=1,IFERROR(IF(VALUE($D184)&lt;100000000,VALUE($D184),1000000000),IFERROR(IF(VALUE(MID($D184,2,20))&lt;100000000,VALUE(MID($D184,2,20)),1000000000),1000000000))+ROW()/100000,"")</f>
        <v/>
      </c>
    </row>
    <row r="185">
      <c r="F185" s="11" t="n"/>
      <c r="N185" s="7">
        <f>IF($D185="","",M185*V185/100)</f>
        <v/>
      </c>
      <c r="O185" s="7" t="n"/>
      <c r="U185" s="7" t="n"/>
      <c r="V185" s="7" t="n"/>
      <c r="W185" s="7">
        <f>IF($D185="","",V185*AB185/100)</f>
        <v/>
      </c>
      <c r="X185" s="7">
        <f>IF($D185="","",V185-W185)</f>
        <v/>
      </c>
      <c r="Y185" s="7">
        <f>IF($D185="","",X185-N185)</f>
        <v/>
      </c>
      <c r="AB185">
        <f>IF($D185="","",IF($AN185=1,0,IF($AM185=1,Settings!$C$6,Settings!$C$7))*100)</f>
        <v/>
      </c>
      <c r="AF185" s="7" t="n"/>
      <c r="AI185" s="11" t="n"/>
      <c r="AK185">
        <f>IF($D185="","",IF(COUNTIF($D$2:$D185,$D185)=1,1,0))</f>
        <v/>
      </c>
      <c r="AL185">
        <f>IF($AK185=1,SUMPRODUCT(--($AO$2:$AO$1501&lt;$AO185))+1,"")</f>
        <v/>
      </c>
      <c r="AM185">
        <f>IF($D185="","",IF(OR($R185=TRUE(),$R185="TRUE"),1,0))</f>
        <v/>
      </c>
      <c r="AN185">
        <f>IF($D185="","",IF($AA185="Yes",1,0))</f>
        <v/>
      </c>
      <c r="AO185">
        <f>IF($AK185=1,IFERROR(IF(VALUE($D185)&lt;100000000,VALUE($D185),1000000000),IFERROR(IF(VALUE(MID($D185,2,20))&lt;100000000,VALUE(MID($D185,2,20)),1000000000),1000000000))+ROW()/100000,"")</f>
        <v/>
      </c>
    </row>
    <row r="186">
      <c r="F186" s="11" t="n"/>
      <c r="N186" s="7">
        <f>IF($D186="","",M186*V186/100)</f>
        <v/>
      </c>
      <c r="O186" s="7" t="n"/>
      <c r="U186" s="7" t="n"/>
      <c r="V186" s="7" t="n"/>
      <c r="W186" s="7">
        <f>IF($D186="","",V186*AB186/100)</f>
        <v/>
      </c>
      <c r="X186" s="7">
        <f>IF($D186="","",V186-W186)</f>
        <v/>
      </c>
      <c r="Y186" s="7">
        <f>IF($D186="","",X186-N186)</f>
        <v/>
      </c>
      <c r="AB186">
        <f>IF($D186="","",IF($AN186=1,0,IF($AM186=1,Settings!$C$6,Settings!$C$7))*100)</f>
        <v/>
      </c>
      <c r="AF186" s="7" t="n"/>
      <c r="AI186" s="11" t="n"/>
      <c r="AK186">
        <f>IF($D186="","",IF(COUNTIF($D$2:$D186,$D186)=1,1,0))</f>
        <v/>
      </c>
      <c r="AL186">
        <f>IF($AK186=1,SUMPRODUCT(--($AO$2:$AO$1501&lt;$AO186))+1,"")</f>
        <v/>
      </c>
      <c r="AM186">
        <f>IF($D186="","",IF(OR($R186=TRUE(),$R186="TRUE"),1,0))</f>
        <v/>
      </c>
      <c r="AN186">
        <f>IF($D186="","",IF($AA186="Yes",1,0))</f>
        <v/>
      </c>
      <c r="AO186">
        <f>IF($AK186=1,IFERROR(IF(VALUE($D186)&lt;100000000,VALUE($D186),1000000000),IFERROR(IF(VALUE(MID($D186,2,20))&lt;100000000,VALUE(MID($D186,2,20)),1000000000),1000000000))+ROW()/100000,"")</f>
        <v/>
      </c>
    </row>
    <row r="187">
      <c r="F187" s="11" t="n"/>
      <c r="N187" s="7">
        <f>IF($D187="","",M187*V187/100)</f>
        <v/>
      </c>
      <c r="O187" s="7" t="n"/>
      <c r="U187" s="7" t="n"/>
      <c r="V187" s="7" t="n"/>
      <c r="W187" s="7">
        <f>IF($D187="","",V187*AB187/100)</f>
        <v/>
      </c>
      <c r="X187" s="7">
        <f>IF($D187="","",V187-W187)</f>
        <v/>
      </c>
      <c r="Y187" s="7">
        <f>IF($D187="","",X187-N187)</f>
        <v/>
      </c>
      <c r="AB187">
        <f>IF($D187="","",IF($AN187=1,0,IF($AM187=1,Settings!$C$6,Settings!$C$7))*100)</f>
        <v/>
      </c>
      <c r="AF187" s="7" t="n"/>
      <c r="AI187" s="11" t="n"/>
      <c r="AK187">
        <f>IF($D187="","",IF(COUNTIF($D$2:$D187,$D187)=1,1,0))</f>
        <v/>
      </c>
      <c r="AL187">
        <f>IF($AK187=1,SUMPRODUCT(--($AO$2:$AO$1501&lt;$AO187))+1,"")</f>
        <v/>
      </c>
      <c r="AM187">
        <f>IF($D187="","",IF(OR($R187=TRUE(),$R187="TRUE"),1,0))</f>
        <v/>
      </c>
      <c r="AN187">
        <f>IF($D187="","",IF($AA187="Yes",1,0))</f>
        <v/>
      </c>
      <c r="AO187">
        <f>IF($AK187=1,IFERROR(IF(VALUE($D187)&lt;100000000,VALUE($D187),1000000000),IFERROR(IF(VALUE(MID($D187,2,20))&lt;100000000,VALUE(MID($D187,2,20)),1000000000),1000000000))+ROW()/100000,"")</f>
        <v/>
      </c>
    </row>
    <row r="188">
      <c r="F188" s="11" t="n"/>
      <c r="N188" s="7">
        <f>IF($D188="","",M188*V188/100)</f>
        <v/>
      </c>
      <c r="O188" s="7" t="n"/>
      <c r="U188" s="7" t="n"/>
      <c r="V188" s="7" t="n"/>
      <c r="W188" s="7">
        <f>IF($D188="","",V188*AB188/100)</f>
        <v/>
      </c>
      <c r="X188" s="7">
        <f>IF($D188="","",V188-W188)</f>
        <v/>
      </c>
      <c r="Y188" s="7">
        <f>IF($D188="","",X188-N188)</f>
        <v/>
      </c>
      <c r="AB188">
        <f>IF($D188="","",IF($AN188=1,0,IF($AM188=1,Settings!$C$6,Settings!$C$7))*100)</f>
        <v/>
      </c>
      <c r="AF188" s="7" t="n"/>
      <c r="AI188" s="11" t="n"/>
      <c r="AK188">
        <f>IF($D188="","",IF(COUNTIF($D$2:$D188,$D188)=1,1,0))</f>
        <v/>
      </c>
      <c r="AL188">
        <f>IF($AK188=1,SUMPRODUCT(--($AO$2:$AO$1501&lt;$AO188))+1,"")</f>
        <v/>
      </c>
      <c r="AM188">
        <f>IF($D188="","",IF(OR($R188=TRUE(),$R188="TRUE"),1,0))</f>
        <v/>
      </c>
      <c r="AN188">
        <f>IF($D188="","",IF($AA188="Yes",1,0))</f>
        <v/>
      </c>
      <c r="AO188">
        <f>IF($AK188=1,IFERROR(IF(VALUE($D188)&lt;100000000,VALUE($D188),1000000000),IFERROR(IF(VALUE(MID($D188,2,20))&lt;100000000,VALUE(MID($D188,2,20)),1000000000),1000000000))+ROW()/100000,"")</f>
        <v/>
      </c>
    </row>
    <row r="189">
      <c r="F189" s="11" t="n"/>
      <c r="N189" s="7">
        <f>IF($D189="","",M189*V189/100)</f>
        <v/>
      </c>
      <c r="O189" s="7" t="n"/>
      <c r="U189" s="7" t="n"/>
      <c r="V189" s="7" t="n"/>
      <c r="W189" s="7">
        <f>IF($D189="","",V189*AB189/100)</f>
        <v/>
      </c>
      <c r="X189" s="7">
        <f>IF($D189="","",V189-W189)</f>
        <v/>
      </c>
      <c r="Y189" s="7">
        <f>IF($D189="","",X189-N189)</f>
        <v/>
      </c>
      <c r="AB189">
        <f>IF($D189="","",IF($AN189=1,0,IF($AM189=1,Settings!$C$6,Settings!$C$7))*100)</f>
        <v/>
      </c>
      <c r="AF189" s="7" t="n"/>
      <c r="AI189" s="11" t="n"/>
      <c r="AK189">
        <f>IF($D189="","",IF(COUNTIF($D$2:$D189,$D189)=1,1,0))</f>
        <v/>
      </c>
      <c r="AL189">
        <f>IF($AK189=1,SUMPRODUCT(--($AO$2:$AO$1501&lt;$AO189))+1,"")</f>
        <v/>
      </c>
      <c r="AM189">
        <f>IF($D189="","",IF(OR($R189=TRUE(),$R189="TRUE"),1,0))</f>
        <v/>
      </c>
      <c r="AN189">
        <f>IF($D189="","",IF($AA189="Yes",1,0))</f>
        <v/>
      </c>
      <c r="AO189">
        <f>IF($AK189=1,IFERROR(IF(VALUE($D189)&lt;100000000,VALUE($D189),1000000000),IFERROR(IF(VALUE(MID($D189,2,20))&lt;100000000,VALUE(MID($D189,2,20)),1000000000),1000000000))+ROW()/100000,"")</f>
        <v/>
      </c>
    </row>
    <row r="190">
      <c r="F190" s="11" t="n"/>
      <c r="N190" s="7">
        <f>IF($D190="","",M190*V190/100)</f>
        <v/>
      </c>
      <c r="O190" s="7" t="n"/>
      <c r="U190" s="7" t="n"/>
      <c r="V190" s="7" t="n"/>
      <c r="W190" s="7">
        <f>IF($D190="","",V190*AB190/100)</f>
        <v/>
      </c>
      <c r="X190" s="7">
        <f>IF($D190="","",V190-W190)</f>
        <v/>
      </c>
      <c r="Y190" s="7">
        <f>IF($D190="","",X190-N190)</f>
        <v/>
      </c>
      <c r="AB190">
        <f>IF($D190="","",IF($AN190=1,0,IF($AM190=1,Settings!$C$6,Settings!$C$7))*100)</f>
        <v/>
      </c>
      <c r="AF190" s="7" t="n"/>
      <c r="AI190" s="11" t="n"/>
      <c r="AK190">
        <f>IF($D190="","",IF(COUNTIF($D$2:$D190,$D190)=1,1,0))</f>
        <v/>
      </c>
      <c r="AL190">
        <f>IF($AK190=1,SUMPRODUCT(--($AO$2:$AO$1501&lt;$AO190))+1,"")</f>
        <v/>
      </c>
      <c r="AM190">
        <f>IF($D190="","",IF(OR($R190=TRUE(),$R190="TRUE"),1,0))</f>
        <v/>
      </c>
      <c r="AN190">
        <f>IF($D190="","",IF($AA190="Yes",1,0))</f>
        <v/>
      </c>
      <c r="AO190">
        <f>IF($AK190=1,IFERROR(IF(VALUE($D190)&lt;100000000,VALUE($D190),1000000000),IFERROR(IF(VALUE(MID($D190,2,20))&lt;100000000,VALUE(MID($D190,2,20)),1000000000),1000000000))+ROW()/100000,"")</f>
        <v/>
      </c>
    </row>
    <row r="191">
      <c r="F191" s="11" t="n"/>
      <c r="N191" s="7">
        <f>IF($D191="","",M191*V191/100)</f>
        <v/>
      </c>
      <c r="O191" s="7" t="n"/>
      <c r="U191" s="7" t="n"/>
      <c r="V191" s="7" t="n"/>
      <c r="W191" s="7">
        <f>IF($D191="","",V191*AB191/100)</f>
        <v/>
      </c>
      <c r="X191" s="7">
        <f>IF($D191="","",V191-W191)</f>
        <v/>
      </c>
      <c r="Y191" s="7">
        <f>IF($D191="","",X191-N191)</f>
        <v/>
      </c>
      <c r="AB191">
        <f>IF($D191="","",IF($AN191=1,0,IF($AM191=1,Settings!$C$6,Settings!$C$7))*100)</f>
        <v/>
      </c>
      <c r="AF191" s="7" t="n"/>
      <c r="AI191" s="11" t="n"/>
      <c r="AK191">
        <f>IF($D191="","",IF(COUNTIF($D$2:$D191,$D191)=1,1,0))</f>
        <v/>
      </c>
      <c r="AL191">
        <f>IF($AK191=1,SUMPRODUCT(--($AO$2:$AO$1501&lt;$AO191))+1,"")</f>
        <v/>
      </c>
      <c r="AM191">
        <f>IF($D191="","",IF(OR($R191=TRUE(),$R191="TRUE"),1,0))</f>
        <v/>
      </c>
      <c r="AN191">
        <f>IF($D191="","",IF($AA191="Yes",1,0))</f>
        <v/>
      </c>
      <c r="AO191">
        <f>IF($AK191=1,IFERROR(IF(VALUE($D191)&lt;100000000,VALUE($D191),1000000000),IFERROR(IF(VALUE(MID($D191,2,20))&lt;100000000,VALUE(MID($D191,2,20)),1000000000),1000000000))+ROW()/100000,"")</f>
        <v/>
      </c>
    </row>
    <row r="192">
      <c r="F192" s="11" t="n"/>
      <c r="N192" s="7">
        <f>IF($D192="","",M192*V192/100)</f>
        <v/>
      </c>
      <c r="O192" s="7" t="n"/>
      <c r="U192" s="7" t="n"/>
      <c r="V192" s="7" t="n"/>
      <c r="W192" s="7">
        <f>IF($D192="","",V192*AB192/100)</f>
        <v/>
      </c>
      <c r="X192" s="7">
        <f>IF($D192="","",V192-W192)</f>
        <v/>
      </c>
      <c r="Y192" s="7">
        <f>IF($D192="","",X192-N192)</f>
        <v/>
      </c>
      <c r="AB192">
        <f>IF($D192="","",IF($AN192=1,0,IF($AM192=1,Settings!$C$6,Settings!$C$7))*100)</f>
        <v/>
      </c>
      <c r="AF192" s="7" t="n"/>
      <c r="AI192" s="11" t="n"/>
      <c r="AK192">
        <f>IF($D192="","",IF(COUNTIF($D$2:$D192,$D192)=1,1,0))</f>
        <v/>
      </c>
      <c r="AL192">
        <f>IF($AK192=1,SUMPRODUCT(--($AO$2:$AO$1501&lt;$AO192))+1,"")</f>
        <v/>
      </c>
      <c r="AM192">
        <f>IF($D192="","",IF(OR($R192=TRUE(),$R192="TRUE"),1,0))</f>
        <v/>
      </c>
      <c r="AN192">
        <f>IF($D192="","",IF($AA192="Yes",1,0))</f>
        <v/>
      </c>
      <c r="AO192">
        <f>IF($AK192=1,IFERROR(IF(VALUE($D192)&lt;100000000,VALUE($D192),1000000000),IFERROR(IF(VALUE(MID($D192,2,20))&lt;100000000,VALUE(MID($D192,2,20)),1000000000),1000000000))+ROW()/100000,"")</f>
        <v/>
      </c>
    </row>
    <row r="193">
      <c r="F193" s="11" t="n"/>
      <c r="N193" s="7">
        <f>IF($D193="","",M193*V193/100)</f>
        <v/>
      </c>
      <c r="O193" s="7" t="n"/>
      <c r="U193" s="7" t="n"/>
      <c r="V193" s="7" t="n"/>
      <c r="W193" s="7">
        <f>IF($D193="","",V193*AB193/100)</f>
        <v/>
      </c>
      <c r="X193" s="7">
        <f>IF($D193="","",V193-W193)</f>
        <v/>
      </c>
      <c r="Y193" s="7">
        <f>IF($D193="","",X193-N193)</f>
        <v/>
      </c>
      <c r="AB193">
        <f>IF($D193="","",IF($AN193=1,0,IF($AM193=1,Settings!$C$6,Settings!$C$7))*100)</f>
        <v/>
      </c>
      <c r="AF193" s="7" t="n"/>
      <c r="AI193" s="11" t="n"/>
      <c r="AK193">
        <f>IF($D193="","",IF(COUNTIF($D$2:$D193,$D193)=1,1,0))</f>
        <v/>
      </c>
      <c r="AL193">
        <f>IF($AK193=1,SUMPRODUCT(--($AO$2:$AO$1501&lt;$AO193))+1,"")</f>
        <v/>
      </c>
      <c r="AM193">
        <f>IF($D193="","",IF(OR($R193=TRUE(),$R193="TRUE"),1,0))</f>
        <v/>
      </c>
      <c r="AN193">
        <f>IF($D193="","",IF($AA193="Yes",1,0))</f>
        <v/>
      </c>
      <c r="AO193">
        <f>IF($AK193=1,IFERROR(IF(VALUE($D193)&lt;100000000,VALUE($D193),1000000000),IFERROR(IF(VALUE(MID($D193,2,20))&lt;100000000,VALUE(MID($D193,2,20)),1000000000),1000000000))+ROW()/100000,"")</f>
        <v/>
      </c>
    </row>
    <row r="194">
      <c r="F194" s="11" t="n"/>
      <c r="N194" s="7">
        <f>IF($D194="","",M194*V194/100)</f>
        <v/>
      </c>
      <c r="O194" s="7" t="n"/>
      <c r="U194" s="7" t="n"/>
      <c r="V194" s="7" t="n"/>
      <c r="W194" s="7">
        <f>IF($D194="","",V194*AB194/100)</f>
        <v/>
      </c>
      <c r="X194" s="7">
        <f>IF($D194="","",V194-W194)</f>
        <v/>
      </c>
      <c r="Y194" s="7">
        <f>IF($D194="","",X194-N194)</f>
        <v/>
      </c>
      <c r="AB194">
        <f>IF($D194="","",IF($AN194=1,0,IF($AM194=1,Settings!$C$6,Settings!$C$7))*100)</f>
        <v/>
      </c>
      <c r="AF194" s="7" t="n"/>
      <c r="AI194" s="11" t="n"/>
      <c r="AK194">
        <f>IF($D194="","",IF(COUNTIF($D$2:$D194,$D194)=1,1,0))</f>
        <v/>
      </c>
      <c r="AL194">
        <f>IF($AK194=1,SUMPRODUCT(--($AO$2:$AO$1501&lt;$AO194))+1,"")</f>
        <v/>
      </c>
      <c r="AM194">
        <f>IF($D194="","",IF(OR($R194=TRUE(),$R194="TRUE"),1,0))</f>
        <v/>
      </c>
      <c r="AN194">
        <f>IF($D194="","",IF($AA194="Yes",1,0))</f>
        <v/>
      </c>
      <c r="AO194">
        <f>IF($AK194=1,IFERROR(IF(VALUE($D194)&lt;100000000,VALUE($D194),1000000000),IFERROR(IF(VALUE(MID($D194,2,20))&lt;100000000,VALUE(MID($D194,2,20)),1000000000),1000000000))+ROW()/100000,"")</f>
        <v/>
      </c>
    </row>
    <row r="195">
      <c r="F195" s="11" t="n"/>
      <c r="N195" s="7">
        <f>IF($D195="","",M195*V195/100)</f>
        <v/>
      </c>
      <c r="O195" s="7" t="n"/>
      <c r="U195" s="7" t="n"/>
      <c r="V195" s="7" t="n"/>
      <c r="W195" s="7">
        <f>IF($D195="","",V195*AB195/100)</f>
        <v/>
      </c>
      <c r="X195" s="7">
        <f>IF($D195="","",V195-W195)</f>
        <v/>
      </c>
      <c r="Y195" s="7">
        <f>IF($D195="","",X195-N195)</f>
        <v/>
      </c>
      <c r="AB195">
        <f>IF($D195="","",IF($AN195=1,0,IF($AM195=1,Settings!$C$6,Settings!$C$7))*100)</f>
        <v/>
      </c>
      <c r="AF195" s="7" t="n"/>
      <c r="AI195" s="11" t="n"/>
      <c r="AK195">
        <f>IF($D195="","",IF(COUNTIF($D$2:$D195,$D195)=1,1,0))</f>
        <v/>
      </c>
      <c r="AL195">
        <f>IF($AK195=1,SUMPRODUCT(--($AO$2:$AO$1501&lt;$AO195))+1,"")</f>
        <v/>
      </c>
      <c r="AM195">
        <f>IF($D195="","",IF(OR($R195=TRUE(),$R195="TRUE"),1,0))</f>
        <v/>
      </c>
      <c r="AN195">
        <f>IF($D195="","",IF($AA195="Yes",1,0))</f>
        <v/>
      </c>
      <c r="AO195">
        <f>IF($AK195=1,IFERROR(IF(VALUE($D195)&lt;100000000,VALUE($D195),1000000000),IFERROR(IF(VALUE(MID($D195,2,20))&lt;100000000,VALUE(MID($D195,2,20)),1000000000),1000000000))+ROW()/100000,"")</f>
        <v/>
      </c>
    </row>
    <row r="196">
      <c r="F196" s="11" t="n"/>
      <c r="N196" s="7">
        <f>IF($D196="","",M196*V196/100)</f>
        <v/>
      </c>
      <c r="O196" s="7" t="n"/>
      <c r="U196" s="7" t="n"/>
      <c r="V196" s="7" t="n"/>
      <c r="W196" s="7">
        <f>IF($D196="","",V196*AB196/100)</f>
        <v/>
      </c>
      <c r="X196" s="7">
        <f>IF($D196="","",V196-W196)</f>
        <v/>
      </c>
      <c r="Y196" s="7">
        <f>IF($D196="","",X196-N196)</f>
        <v/>
      </c>
      <c r="AB196">
        <f>IF($D196="","",IF($AN196=1,0,IF($AM196=1,Settings!$C$6,Settings!$C$7))*100)</f>
        <v/>
      </c>
      <c r="AF196" s="7" t="n"/>
      <c r="AI196" s="11" t="n"/>
      <c r="AK196">
        <f>IF($D196="","",IF(COUNTIF($D$2:$D196,$D196)=1,1,0))</f>
        <v/>
      </c>
      <c r="AL196">
        <f>IF($AK196=1,SUMPRODUCT(--($AO$2:$AO$1501&lt;$AO196))+1,"")</f>
        <v/>
      </c>
      <c r="AM196">
        <f>IF($D196="","",IF(OR($R196=TRUE(),$R196="TRUE"),1,0))</f>
        <v/>
      </c>
      <c r="AN196">
        <f>IF($D196="","",IF($AA196="Yes",1,0))</f>
        <v/>
      </c>
      <c r="AO196">
        <f>IF($AK196=1,IFERROR(IF(VALUE($D196)&lt;100000000,VALUE($D196),1000000000),IFERROR(IF(VALUE(MID($D196,2,20))&lt;100000000,VALUE(MID($D196,2,20)),1000000000),1000000000))+ROW()/100000,"")</f>
        <v/>
      </c>
    </row>
    <row r="197">
      <c r="F197" s="11" t="n"/>
      <c r="N197" s="7">
        <f>IF($D197="","",M197*V197/100)</f>
        <v/>
      </c>
      <c r="O197" s="7" t="n"/>
      <c r="U197" s="7" t="n"/>
      <c r="V197" s="7" t="n"/>
      <c r="W197" s="7">
        <f>IF($D197="","",V197*AB197/100)</f>
        <v/>
      </c>
      <c r="X197" s="7">
        <f>IF($D197="","",V197-W197)</f>
        <v/>
      </c>
      <c r="Y197" s="7">
        <f>IF($D197="","",X197-N197)</f>
        <v/>
      </c>
      <c r="AB197">
        <f>IF($D197="","",IF($AN197=1,0,IF($AM197=1,Settings!$C$6,Settings!$C$7))*100)</f>
        <v/>
      </c>
      <c r="AF197" s="7" t="n"/>
      <c r="AI197" s="11" t="n"/>
      <c r="AK197">
        <f>IF($D197="","",IF(COUNTIF($D$2:$D197,$D197)=1,1,0))</f>
        <v/>
      </c>
      <c r="AL197">
        <f>IF($AK197=1,SUMPRODUCT(--($AO$2:$AO$1501&lt;$AO197))+1,"")</f>
        <v/>
      </c>
      <c r="AM197">
        <f>IF($D197="","",IF(OR($R197=TRUE(),$R197="TRUE"),1,0))</f>
        <v/>
      </c>
      <c r="AN197">
        <f>IF($D197="","",IF($AA197="Yes",1,0))</f>
        <v/>
      </c>
      <c r="AO197">
        <f>IF($AK197=1,IFERROR(IF(VALUE($D197)&lt;100000000,VALUE($D197),1000000000),IFERROR(IF(VALUE(MID($D197,2,20))&lt;100000000,VALUE(MID($D197,2,20)),1000000000),1000000000))+ROW()/100000,"")</f>
        <v/>
      </c>
    </row>
    <row r="198">
      <c r="F198" s="11" t="n"/>
      <c r="N198" s="7">
        <f>IF($D198="","",M198*V198/100)</f>
        <v/>
      </c>
      <c r="O198" s="7" t="n"/>
      <c r="U198" s="7" t="n"/>
      <c r="V198" s="7" t="n"/>
      <c r="W198" s="7">
        <f>IF($D198="","",V198*AB198/100)</f>
        <v/>
      </c>
      <c r="X198" s="7">
        <f>IF($D198="","",V198-W198)</f>
        <v/>
      </c>
      <c r="Y198" s="7">
        <f>IF($D198="","",X198-N198)</f>
        <v/>
      </c>
      <c r="AB198">
        <f>IF($D198="","",IF($AN198=1,0,IF($AM198=1,Settings!$C$6,Settings!$C$7))*100)</f>
        <v/>
      </c>
      <c r="AF198" s="7" t="n"/>
      <c r="AI198" s="11" t="n"/>
      <c r="AK198">
        <f>IF($D198="","",IF(COUNTIF($D$2:$D198,$D198)=1,1,0))</f>
        <v/>
      </c>
      <c r="AL198">
        <f>IF($AK198=1,SUMPRODUCT(--($AO$2:$AO$1501&lt;$AO198))+1,"")</f>
        <v/>
      </c>
      <c r="AM198">
        <f>IF($D198="","",IF(OR($R198=TRUE(),$R198="TRUE"),1,0))</f>
        <v/>
      </c>
      <c r="AN198">
        <f>IF($D198="","",IF($AA198="Yes",1,0))</f>
        <v/>
      </c>
      <c r="AO198">
        <f>IF($AK198=1,IFERROR(IF(VALUE($D198)&lt;100000000,VALUE($D198),1000000000),IFERROR(IF(VALUE(MID($D198,2,20))&lt;100000000,VALUE(MID($D198,2,20)),1000000000),1000000000))+ROW()/100000,"")</f>
        <v/>
      </c>
    </row>
    <row r="199">
      <c r="F199" s="11" t="n"/>
      <c r="N199" s="7">
        <f>IF($D199="","",M199*V199/100)</f>
        <v/>
      </c>
      <c r="O199" s="7" t="n"/>
      <c r="U199" s="7" t="n"/>
      <c r="V199" s="7" t="n"/>
      <c r="W199" s="7">
        <f>IF($D199="","",V199*AB199/100)</f>
        <v/>
      </c>
      <c r="X199" s="7">
        <f>IF($D199="","",V199-W199)</f>
        <v/>
      </c>
      <c r="Y199" s="7">
        <f>IF($D199="","",X199-N199)</f>
        <v/>
      </c>
      <c r="AB199">
        <f>IF($D199="","",IF($AN199=1,0,IF($AM199=1,Settings!$C$6,Settings!$C$7))*100)</f>
        <v/>
      </c>
      <c r="AF199" s="7" t="n"/>
      <c r="AI199" s="11" t="n"/>
      <c r="AK199">
        <f>IF($D199="","",IF(COUNTIF($D$2:$D199,$D199)=1,1,0))</f>
        <v/>
      </c>
      <c r="AL199">
        <f>IF($AK199=1,SUMPRODUCT(--($AO$2:$AO$1501&lt;$AO199))+1,"")</f>
        <v/>
      </c>
      <c r="AM199">
        <f>IF($D199="","",IF(OR($R199=TRUE(),$R199="TRUE"),1,0))</f>
        <v/>
      </c>
      <c r="AN199">
        <f>IF($D199="","",IF($AA199="Yes",1,0))</f>
        <v/>
      </c>
      <c r="AO199">
        <f>IF($AK199=1,IFERROR(IF(VALUE($D199)&lt;100000000,VALUE($D199),1000000000),IFERROR(IF(VALUE(MID($D199,2,20))&lt;100000000,VALUE(MID($D199,2,20)),1000000000),1000000000))+ROW()/100000,"")</f>
        <v/>
      </c>
    </row>
    <row r="200">
      <c r="F200" s="11" t="n"/>
      <c r="N200" s="7">
        <f>IF($D200="","",M200*V200/100)</f>
        <v/>
      </c>
      <c r="O200" s="7" t="n"/>
      <c r="U200" s="7" t="n"/>
      <c r="V200" s="7" t="n"/>
      <c r="W200" s="7">
        <f>IF($D200="","",V200*AB200/100)</f>
        <v/>
      </c>
      <c r="X200" s="7">
        <f>IF($D200="","",V200-W200)</f>
        <v/>
      </c>
      <c r="Y200" s="7">
        <f>IF($D200="","",X200-N200)</f>
        <v/>
      </c>
      <c r="AB200">
        <f>IF($D200="","",IF($AN200=1,0,IF($AM200=1,Settings!$C$6,Settings!$C$7))*100)</f>
        <v/>
      </c>
      <c r="AF200" s="7" t="n"/>
      <c r="AI200" s="11" t="n"/>
      <c r="AK200">
        <f>IF($D200="","",IF(COUNTIF($D$2:$D200,$D200)=1,1,0))</f>
        <v/>
      </c>
      <c r="AL200">
        <f>IF($AK200=1,SUMPRODUCT(--($AO$2:$AO$1501&lt;$AO200))+1,"")</f>
        <v/>
      </c>
      <c r="AM200">
        <f>IF($D200="","",IF(OR($R200=TRUE(),$R200="TRUE"),1,0))</f>
        <v/>
      </c>
      <c r="AN200">
        <f>IF($D200="","",IF($AA200="Yes",1,0))</f>
        <v/>
      </c>
      <c r="AO200">
        <f>IF($AK200=1,IFERROR(IF(VALUE($D200)&lt;100000000,VALUE($D200),1000000000),IFERROR(IF(VALUE(MID($D200,2,20))&lt;100000000,VALUE(MID($D200,2,20)),1000000000),1000000000))+ROW()/100000,"")</f>
        <v/>
      </c>
    </row>
    <row r="201">
      <c r="F201" s="11" t="n"/>
      <c r="N201" s="7">
        <f>IF($D201="","",M201*V201/100)</f>
        <v/>
      </c>
      <c r="O201" s="7" t="n"/>
      <c r="U201" s="7" t="n"/>
      <c r="V201" s="7" t="n"/>
      <c r="W201" s="7">
        <f>IF($D201="","",V201*AB201/100)</f>
        <v/>
      </c>
      <c r="X201" s="7">
        <f>IF($D201="","",V201-W201)</f>
        <v/>
      </c>
      <c r="Y201" s="7">
        <f>IF($D201="","",X201-N201)</f>
        <v/>
      </c>
      <c r="AB201">
        <f>IF($D201="","",IF($AN201=1,0,IF($AM201=1,Settings!$C$6,Settings!$C$7))*100)</f>
        <v/>
      </c>
      <c r="AF201" s="7" t="n"/>
      <c r="AI201" s="11" t="n"/>
      <c r="AK201">
        <f>IF($D201="","",IF(COUNTIF($D$2:$D201,$D201)=1,1,0))</f>
        <v/>
      </c>
      <c r="AL201">
        <f>IF($AK201=1,SUMPRODUCT(--($AO$2:$AO$1501&lt;$AO201))+1,"")</f>
        <v/>
      </c>
      <c r="AM201">
        <f>IF($D201="","",IF(OR($R201=TRUE(),$R201="TRUE"),1,0))</f>
        <v/>
      </c>
      <c r="AN201">
        <f>IF($D201="","",IF($AA201="Yes",1,0))</f>
        <v/>
      </c>
      <c r="AO201">
        <f>IF($AK201=1,IFERROR(IF(VALUE($D201)&lt;100000000,VALUE($D201),1000000000),IFERROR(IF(VALUE(MID($D201,2,20))&lt;100000000,VALUE(MID($D201,2,20)),1000000000),1000000000))+ROW()/100000,"")</f>
        <v/>
      </c>
    </row>
    <row r="202">
      <c r="F202" s="11" t="n"/>
      <c r="N202" s="7">
        <f>IF($D202="","",M202*V202/100)</f>
        <v/>
      </c>
      <c r="O202" s="7" t="n"/>
      <c r="U202" s="7" t="n"/>
      <c r="V202" s="7" t="n"/>
      <c r="W202" s="7">
        <f>IF($D202="","",V202*AB202/100)</f>
        <v/>
      </c>
      <c r="X202" s="7">
        <f>IF($D202="","",V202-W202)</f>
        <v/>
      </c>
      <c r="Y202" s="7">
        <f>IF($D202="","",X202-N202)</f>
        <v/>
      </c>
      <c r="AB202">
        <f>IF($D202="","",IF($AN202=1,0,IF($AM202=1,Settings!$C$6,Settings!$C$7))*100)</f>
        <v/>
      </c>
      <c r="AF202" s="7" t="n"/>
      <c r="AI202" s="11" t="n"/>
      <c r="AK202">
        <f>IF($D202="","",IF(COUNTIF($D$2:$D202,$D202)=1,1,0))</f>
        <v/>
      </c>
      <c r="AL202">
        <f>IF($AK202=1,SUMPRODUCT(--($AO$2:$AO$1501&lt;$AO202))+1,"")</f>
        <v/>
      </c>
      <c r="AM202">
        <f>IF($D202="","",IF(OR($R202=TRUE(),$R202="TRUE"),1,0))</f>
        <v/>
      </c>
      <c r="AN202">
        <f>IF($D202="","",IF($AA202="Yes",1,0))</f>
        <v/>
      </c>
      <c r="AO202">
        <f>IF($AK202=1,IFERROR(IF(VALUE($D202)&lt;100000000,VALUE($D202),1000000000),IFERROR(IF(VALUE(MID($D202,2,20))&lt;100000000,VALUE(MID($D202,2,20)),1000000000),1000000000))+ROW()/100000,"")</f>
        <v/>
      </c>
    </row>
    <row r="203">
      <c r="F203" s="11" t="n"/>
      <c r="N203" s="7">
        <f>IF($D203="","",M203*V203/100)</f>
        <v/>
      </c>
      <c r="O203" s="7" t="n"/>
      <c r="U203" s="7" t="n"/>
      <c r="V203" s="7" t="n"/>
      <c r="W203" s="7">
        <f>IF($D203="","",V203*AB203/100)</f>
        <v/>
      </c>
      <c r="X203" s="7">
        <f>IF($D203="","",V203-W203)</f>
        <v/>
      </c>
      <c r="Y203" s="7">
        <f>IF($D203="","",X203-N203)</f>
        <v/>
      </c>
      <c r="AB203">
        <f>IF($D203="","",IF($AN203=1,0,IF($AM203=1,Settings!$C$6,Settings!$C$7))*100)</f>
        <v/>
      </c>
      <c r="AF203" s="7" t="n"/>
      <c r="AI203" s="11" t="n"/>
      <c r="AK203">
        <f>IF($D203="","",IF(COUNTIF($D$2:$D203,$D203)=1,1,0))</f>
        <v/>
      </c>
      <c r="AL203">
        <f>IF($AK203=1,SUMPRODUCT(--($AO$2:$AO$1501&lt;$AO203))+1,"")</f>
        <v/>
      </c>
      <c r="AM203">
        <f>IF($D203="","",IF(OR($R203=TRUE(),$R203="TRUE"),1,0))</f>
        <v/>
      </c>
      <c r="AN203">
        <f>IF($D203="","",IF($AA203="Yes",1,0))</f>
        <v/>
      </c>
      <c r="AO203">
        <f>IF($AK203=1,IFERROR(IF(VALUE($D203)&lt;100000000,VALUE($D203),1000000000),IFERROR(IF(VALUE(MID($D203,2,20))&lt;100000000,VALUE(MID($D203,2,20)),1000000000),1000000000))+ROW()/100000,"")</f>
        <v/>
      </c>
    </row>
    <row r="204">
      <c r="F204" s="11" t="n"/>
      <c r="N204" s="7">
        <f>IF($D204="","",M204*V204/100)</f>
        <v/>
      </c>
      <c r="O204" s="7" t="n"/>
      <c r="U204" s="7" t="n"/>
      <c r="V204" s="7" t="n"/>
      <c r="W204" s="7">
        <f>IF($D204="","",V204*AB204/100)</f>
        <v/>
      </c>
      <c r="X204" s="7">
        <f>IF($D204="","",V204-W204)</f>
        <v/>
      </c>
      <c r="Y204" s="7">
        <f>IF($D204="","",X204-N204)</f>
        <v/>
      </c>
      <c r="AB204">
        <f>IF($D204="","",IF($AN204=1,0,IF($AM204=1,Settings!$C$6,Settings!$C$7))*100)</f>
        <v/>
      </c>
      <c r="AF204" s="7" t="n"/>
      <c r="AI204" s="11" t="n"/>
      <c r="AK204">
        <f>IF($D204="","",IF(COUNTIF($D$2:$D204,$D204)=1,1,0))</f>
        <v/>
      </c>
      <c r="AL204">
        <f>IF($AK204=1,SUMPRODUCT(--($AO$2:$AO$1501&lt;$AO204))+1,"")</f>
        <v/>
      </c>
      <c r="AM204">
        <f>IF($D204="","",IF(OR($R204=TRUE(),$R204="TRUE"),1,0))</f>
        <v/>
      </c>
      <c r="AN204">
        <f>IF($D204="","",IF($AA204="Yes",1,0))</f>
        <v/>
      </c>
      <c r="AO204">
        <f>IF($AK204=1,IFERROR(IF(VALUE($D204)&lt;100000000,VALUE($D204),1000000000),IFERROR(IF(VALUE(MID($D204,2,20))&lt;100000000,VALUE(MID($D204,2,20)),1000000000),1000000000))+ROW()/100000,"")</f>
        <v/>
      </c>
    </row>
    <row r="205">
      <c r="F205" s="11" t="n"/>
      <c r="N205" s="7">
        <f>IF($D205="","",M205*V205/100)</f>
        <v/>
      </c>
      <c r="O205" s="7" t="n"/>
      <c r="U205" s="7" t="n"/>
      <c r="V205" s="7" t="n"/>
      <c r="W205" s="7">
        <f>IF($D205="","",V205*AB205/100)</f>
        <v/>
      </c>
      <c r="X205" s="7">
        <f>IF($D205="","",V205-W205)</f>
        <v/>
      </c>
      <c r="Y205" s="7">
        <f>IF($D205="","",X205-N205)</f>
        <v/>
      </c>
      <c r="AB205">
        <f>IF($D205="","",IF($AN205=1,0,IF($AM205=1,Settings!$C$6,Settings!$C$7))*100)</f>
        <v/>
      </c>
      <c r="AF205" s="7" t="n"/>
      <c r="AI205" s="11" t="n"/>
      <c r="AK205">
        <f>IF($D205="","",IF(COUNTIF($D$2:$D205,$D205)=1,1,0))</f>
        <v/>
      </c>
      <c r="AL205">
        <f>IF($AK205=1,SUMPRODUCT(--($AO$2:$AO$1501&lt;$AO205))+1,"")</f>
        <v/>
      </c>
      <c r="AM205">
        <f>IF($D205="","",IF(OR($R205=TRUE(),$R205="TRUE"),1,0))</f>
        <v/>
      </c>
      <c r="AN205">
        <f>IF($D205="","",IF($AA205="Yes",1,0))</f>
        <v/>
      </c>
      <c r="AO205">
        <f>IF($AK205=1,IFERROR(IF(VALUE($D205)&lt;100000000,VALUE($D205),1000000000),IFERROR(IF(VALUE(MID($D205,2,20))&lt;100000000,VALUE(MID($D205,2,20)),1000000000),1000000000))+ROW()/100000,"")</f>
        <v/>
      </c>
    </row>
    <row r="206">
      <c r="F206" s="11" t="n"/>
      <c r="N206" s="7">
        <f>IF($D206="","",M206*V206/100)</f>
        <v/>
      </c>
      <c r="O206" s="7" t="n"/>
      <c r="U206" s="7" t="n"/>
      <c r="V206" s="7" t="n"/>
      <c r="W206" s="7">
        <f>IF($D206="","",V206*AB206/100)</f>
        <v/>
      </c>
      <c r="X206" s="7">
        <f>IF($D206="","",V206-W206)</f>
        <v/>
      </c>
      <c r="Y206" s="7">
        <f>IF($D206="","",X206-N206)</f>
        <v/>
      </c>
      <c r="AB206">
        <f>IF($D206="","",IF($AN206=1,0,IF($AM206=1,Settings!$C$6,Settings!$C$7))*100)</f>
        <v/>
      </c>
      <c r="AF206" s="7" t="n"/>
      <c r="AI206" s="11" t="n"/>
      <c r="AK206">
        <f>IF($D206="","",IF(COUNTIF($D$2:$D206,$D206)=1,1,0))</f>
        <v/>
      </c>
      <c r="AL206">
        <f>IF($AK206=1,SUMPRODUCT(--($AO$2:$AO$1501&lt;$AO206))+1,"")</f>
        <v/>
      </c>
      <c r="AM206">
        <f>IF($D206="","",IF(OR($R206=TRUE(),$R206="TRUE"),1,0))</f>
        <v/>
      </c>
      <c r="AN206">
        <f>IF($D206="","",IF($AA206="Yes",1,0))</f>
        <v/>
      </c>
      <c r="AO206">
        <f>IF($AK206=1,IFERROR(IF(VALUE($D206)&lt;100000000,VALUE($D206),1000000000),IFERROR(IF(VALUE(MID($D206,2,20))&lt;100000000,VALUE(MID($D206,2,20)),1000000000),1000000000))+ROW()/100000,"")</f>
        <v/>
      </c>
    </row>
    <row r="207">
      <c r="F207" s="11" t="n"/>
      <c r="N207" s="7">
        <f>IF($D207="","",M207*V207/100)</f>
        <v/>
      </c>
      <c r="O207" s="7" t="n"/>
      <c r="U207" s="7" t="n"/>
      <c r="V207" s="7" t="n"/>
      <c r="W207" s="7">
        <f>IF($D207="","",V207*AB207/100)</f>
        <v/>
      </c>
      <c r="X207" s="7">
        <f>IF($D207="","",V207-W207)</f>
        <v/>
      </c>
      <c r="Y207" s="7">
        <f>IF($D207="","",X207-N207)</f>
        <v/>
      </c>
      <c r="AB207">
        <f>IF($D207="","",IF($AN207=1,0,IF($AM207=1,Settings!$C$6,Settings!$C$7))*100)</f>
        <v/>
      </c>
      <c r="AF207" s="7" t="n"/>
      <c r="AI207" s="11" t="n"/>
      <c r="AK207">
        <f>IF($D207="","",IF(COUNTIF($D$2:$D207,$D207)=1,1,0))</f>
        <v/>
      </c>
      <c r="AL207">
        <f>IF($AK207=1,SUMPRODUCT(--($AO$2:$AO$1501&lt;$AO207))+1,"")</f>
        <v/>
      </c>
      <c r="AM207">
        <f>IF($D207="","",IF(OR($R207=TRUE(),$R207="TRUE"),1,0))</f>
        <v/>
      </c>
      <c r="AN207">
        <f>IF($D207="","",IF($AA207="Yes",1,0))</f>
        <v/>
      </c>
      <c r="AO207">
        <f>IF($AK207=1,IFERROR(IF(VALUE($D207)&lt;100000000,VALUE($D207),1000000000),IFERROR(IF(VALUE(MID($D207,2,20))&lt;100000000,VALUE(MID($D207,2,20)),1000000000),1000000000))+ROW()/100000,"")</f>
        <v/>
      </c>
    </row>
    <row r="208">
      <c r="F208" s="11" t="n"/>
      <c r="N208" s="7">
        <f>IF($D208="","",M208*V208/100)</f>
        <v/>
      </c>
      <c r="O208" s="7" t="n"/>
      <c r="U208" s="7" t="n"/>
      <c r="V208" s="7" t="n"/>
      <c r="W208" s="7">
        <f>IF($D208="","",V208*AB208/100)</f>
        <v/>
      </c>
      <c r="X208" s="7">
        <f>IF($D208="","",V208-W208)</f>
        <v/>
      </c>
      <c r="Y208" s="7">
        <f>IF($D208="","",X208-N208)</f>
        <v/>
      </c>
      <c r="AB208">
        <f>IF($D208="","",IF($AN208=1,0,IF($AM208=1,Settings!$C$6,Settings!$C$7))*100)</f>
        <v/>
      </c>
      <c r="AF208" s="7" t="n"/>
      <c r="AI208" s="11" t="n"/>
      <c r="AK208">
        <f>IF($D208="","",IF(COUNTIF($D$2:$D208,$D208)=1,1,0))</f>
        <v/>
      </c>
      <c r="AL208">
        <f>IF($AK208=1,SUMPRODUCT(--($AO$2:$AO$1501&lt;$AO208))+1,"")</f>
        <v/>
      </c>
      <c r="AM208">
        <f>IF($D208="","",IF(OR($R208=TRUE(),$R208="TRUE"),1,0))</f>
        <v/>
      </c>
      <c r="AN208">
        <f>IF($D208="","",IF($AA208="Yes",1,0))</f>
        <v/>
      </c>
      <c r="AO208">
        <f>IF($AK208=1,IFERROR(IF(VALUE($D208)&lt;100000000,VALUE($D208),1000000000),IFERROR(IF(VALUE(MID($D208,2,20))&lt;100000000,VALUE(MID($D208,2,20)),1000000000),1000000000))+ROW()/100000,"")</f>
        <v/>
      </c>
    </row>
    <row r="209">
      <c r="F209" s="11" t="n"/>
      <c r="N209" s="7">
        <f>IF($D209="","",M209*V209/100)</f>
        <v/>
      </c>
      <c r="O209" s="7" t="n"/>
      <c r="U209" s="7" t="n"/>
      <c r="V209" s="7" t="n"/>
      <c r="W209" s="7">
        <f>IF($D209="","",V209*AB209/100)</f>
        <v/>
      </c>
      <c r="X209" s="7">
        <f>IF($D209="","",V209-W209)</f>
        <v/>
      </c>
      <c r="Y209" s="7">
        <f>IF($D209="","",X209-N209)</f>
        <v/>
      </c>
      <c r="AB209">
        <f>IF($D209="","",IF($AN209=1,0,IF($AM209=1,Settings!$C$6,Settings!$C$7))*100)</f>
        <v/>
      </c>
      <c r="AF209" s="7" t="n"/>
      <c r="AI209" s="11" t="n"/>
      <c r="AK209">
        <f>IF($D209="","",IF(COUNTIF($D$2:$D209,$D209)=1,1,0))</f>
        <v/>
      </c>
      <c r="AL209">
        <f>IF($AK209=1,SUMPRODUCT(--($AO$2:$AO$1501&lt;$AO209))+1,"")</f>
        <v/>
      </c>
      <c r="AM209">
        <f>IF($D209="","",IF(OR($R209=TRUE(),$R209="TRUE"),1,0))</f>
        <v/>
      </c>
      <c r="AN209">
        <f>IF($D209="","",IF($AA209="Yes",1,0))</f>
        <v/>
      </c>
      <c r="AO209">
        <f>IF($AK209=1,IFERROR(IF(VALUE($D209)&lt;100000000,VALUE($D209),1000000000),IFERROR(IF(VALUE(MID($D209,2,20))&lt;100000000,VALUE(MID($D209,2,20)),1000000000),1000000000))+ROW()/100000,"")</f>
        <v/>
      </c>
    </row>
    <row r="210">
      <c r="F210" s="11" t="n"/>
      <c r="N210" s="7">
        <f>IF($D210="","",M210*V210/100)</f>
        <v/>
      </c>
      <c r="O210" s="7" t="n"/>
      <c r="U210" s="7" t="n"/>
      <c r="V210" s="7" t="n"/>
      <c r="W210" s="7">
        <f>IF($D210="","",V210*AB210/100)</f>
        <v/>
      </c>
      <c r="X210" s="7">
        <f>IF($D210="","",V210-W210)</f>
        <v/>
      </c>
      <c r="Y210" s="7">
        <f>IF($D210="","",X210-N210)</f>
        <v/>
      </c>
      <c r="AB210">
        <f>IF($D210="","",IF($AN210=1,0,IF($AM210=1,Settings!$C$6,Settings!$C$7))*100)</f>
        <v/>
      </c>
      <c r="AF210" s="7" t="n"/>
      <c r="AI210" s="11" t="n"/>
      <c r="AK210">
        <f>IF($D210="","",IF(COUNTIF($D$2:$D210,$D210)=1,1,0))</f>
        <v/>
      </c>
      <c r="AL210">
        <f>IF($AK210=1,SUMPRODUCT(--($AO$2:$AO$1501&lt;$AO210))+1,"")</f>
        <v/>
      </c>
      <c r="AM210">
        <f>IF($D210="","",IF(OR($R210=TRUE(),$R210="TRUE"),1,0))</f>
        <v/>
      </c>
      <c r="AN210">
        <f>IF($D210="","",IF($AA210="Yes",1,0))</f>
        <v/>
      </c>
      <c r="AO210">
        <f>IF($AK210=1,IFERROR(IF(VALUE($D210)&lt;100000000,VALUE($D210),1000000000),IFERROR(IF(VALUE(MID($D210,2,20))&lt;100000000,VALUE(MID($D210,2,20)),1000000000),1000000000))+ROW()/100000,"")</f>
        <v/>
      </c>
    </row>
    <row r="211">
      <c r="F211" s="11" t="n"/>
      <c r="N211" s="7">
        <f>IF($D211="","",M211*V211/100)</f>
        <v/>
      </c>
      <c r="O211" s="7" t="n"/>
      <c r="U211" s="7" t="n"/>
      <c r="V211" s="7" t="n"/>
      <c r="W211" s="7">
        <f>IF($D211="","",V211*AB211/100)</f>
        <v/>
      </c>
      <c r="X211" s="7">
        <f>IF($D211="","",V211-W211)</f>
        <v/>
      </c>
      <c r="Y211" s="7">
        <f>IF($D211="","",X211-N211)</f>
        <v/>
      </c>
      <c r="AB211">
        <f>IF($D211="","",IF($AN211=1,0,IF($AM211=1,Settings!$C$6,Settings!$C$7))*100)</f>
        <v/>
      </c>
      <c r="AF211" s="7" t="n"/>
      <c r="AI211" s="11" t="n"/>
      <c r="AK211">
        <f>IF($D211="","",IF(COUNTIF($D$2:$D211,$D211)=1,1,0))</f>
        <v/>
      </c>
      <c r="AL211">
        <f>IF($AK211=1,SUMPRODUCT(--($AO$2:$AO$1501&lt;$AO211))+1,"")</f>
        <v/>
      </c>
      <c r="AM211">
        <f>IF($D211="","",IF(OR($R211=TRUE(),$R211="TRUE"),1,0))</f>
        <v/>
      </c>
      <c r="AN211">
        <f>IF($D211="","",IF($AA211="Yes",1,0))</f>
        <v/>
      </c>
      <c r="AO211">
        <f>IF($AK211=1,IFERROR(IF(VALUE($D211)&lt;100000000,VALUE($D211),1000000000),IFERROR(IF(VALUE(MID($D211,2,20))&lt;100000000,VALUE(MID($D211,2,20)),1000000000),1000000000))+ROW()/100000,"")</f>
        <v/>
      </c>
    </row>
    <row r="212">
      <c r="F212" s="11" t="n"/>
      <c r="N212" s="7">
        <f>IF($D212="","",M212*V212/100)</f>
        <v/>
      </c>
      <c r="O212" s="7" t="n"/>
      <c r="U212" s="7" t="n"/>
      <c r="V212" s="7" t="n"/>
      <c r="W212" s="7">
        <f>IF($D212="","",V212*AB212/100)</f>
        <v/>
      </c>
      <c r="X212" s="7">
        <f>IF($D212="","",V212-W212)</f>
        <v/>
      </c>
      <c r="Y212" s="7">
        <f>IF($D212="","",X212-N212)</f>
        <v/>
      </c>
      <c r="AB212">
        <f>IF($D212="","",IF($AN212=1,0,IF($AM212=1,Settings!$C$6,Settings!$C$7))*100)</f>
        <v/>
      </c>
      <c r="AF212" s="7" t="n"/>
      <c r="AI212" s="11" t="n"/>
      <c r="AK212">
        <f>IF($D212="","",IF(COUNTIF($D$2:$D212,$D212)=1,1,0))</f>
        <v/>
      </c>
      <c r="AL212">
        <f>IF($AK212=1,SUMPRODUCT(--($AO$2:$AO$1501&lt;$AO212))+1,"")</f>
        <v/>
      </c>
      <c r="AM212">
        <f>IF($D212="","",IF(OR($R212=TRUE(),$R212="TRUE"),1,0))</f>
        <v/>
      </c>
      <c r="AN212">
        <f>IF($D212="","",IF($AA212="Yes",1,0))</f>
        <v/>
      </c>
      <c r="AO212">
        <f>IF($AK212=1,IFERROR(IF(VALUE($D212)&lt;100000000,VALUE($D212),1000000000),IFERROR(IF(VALUE(MID($D212,2,20))&lt;100000000,VALUE(MID($D212,2,20)),1000000000),1000000000))+ROW()/100000,"")</f>
        <v/>
      </c>
    </row>
    <row r="213">
      <c r="F213" s="11" t="n"/>
      <c r="N213" s="7">
        <f>IF($D213="","",M213*V213/100)</f>
        <v/>
      </c>
      <c r="O213" s="7" t="n"/>
      <c r="U213" s="7" t="n"/>
      <c r="V213" s="7" t="n"/>
      <c r="W213" s="7">
        <f>IF($D213="","",V213*AB213/100)</f>
        <v/>
      </c>
      <c r="X213" s="7">
        <f>IF($D213="","",V213-W213)</f>
        <v/>
      </c>
      <c r="Y213" s="7">
        <f>IF($D213="","",X213-N213)</f>
        <v/>
      </c>
      <c r="AB213">
        <f>IF($D213="","",IF($AN213=1,0,IF($AM213=1,Settings!$C$6,Settings!$C$7))*100)</f>
        <v/>
      </c>
      <c r="AF213" s="7" t="n"/>
      <c r="AI213" s="11" t="n"/>
      <c r="AK213">
        <f>IF($D213="","",IF(COUNTIF($D$2:$D213,$D213)=1,1,0))</f>
        <v/>
      </c>
      <c r="AL213">
        <f>IF($AK213=1,SUMPRODUCT(--($AO$2:$AO$1501&lt;$AO213))+1,"")</f>
        <v/>
      </c>
      <c r="AM213">
        <f>IF($D213="","",IF(OR($R213=TRUE(),$R213="TRUE"),1,0))</f>
        <v/>
      </c>
      <c r="AN213">
        <f>IF($D213="","",IF($AA213="Yes",1,0))</f>
        <v/>
      </c>
      <c r="AO213">
        <f>IF($AK213=1,IFERROR(IF(VALUE($D213)&lt;100000000,VALUE($D213),1000000000),IFERROR(IF(VALUE(MID($D213,2,20))&lt;100000000,VALUE(MID($D213,2,20)),1000000000),1000000000))+ROW()/100000,"")</f>
        <v/>
      </c>
    </row>
    <row r="214">
      <c r="F214" s="11" t="n"/>
      <c r="N214" s="7">
        <f>IF($D214="","",M214*V214/100)</f>
        <v/>
      </c>
      <c r="O214" s="7" t="n"/>
      <c r="U214" s="7" t="n"/>
      <c r="V214" s="7" t="n"/>
      <c r="W214" s="7">
        <f>IF($D214="","",V214*AB214/100)</f>
        <v/>
      </c>
      <c r="X214" s="7">
        <f>IF($D214="","",V214-W214)</f>
        <v/>
      </c>
      <c r="Y214" s="7">
        <f>IF($D214="","",X214-N214)</f>
        <v/>
      </c>
      <c r="AB214">
        <f>IF($D214="","",IF($AN214=1,0,IF($AM214=1,Settings!$C$6,Settings!$C$7))*100)</f>
        <v/>
      </c>
      <c r="AF214" s="7" t="n"/>
      <c r="AI214" s="11" t="n"/>
      <c r="AK214">
        <f>IF($D214="","",IF(COUNTIF($D$2:$D214,$D214)=1,1,0))</f>
        <v/>
      </c>
      <c r="AL214">
        <f>IF($AK214=1,SUMPRODUCT(--($AO$2:$AO$1501&lt;$AO214))+1,"")</f>
        <v/>
      </c>
      <c r="AM214">
        <f>IF($D214="","",IF(OR($R214=TRUE(),$R214="TRUE"),1,0))</f>
        <v/>
      </c>
      <c r="AN214">
        <f>IF($D214="","",IF($AA214="Yes",1,0))</f>
        <v/>
      </c>
      <c r="AO214">
        <f>IF($AK214=1,IFERROR(IF(VALUE($D214)&lt;100000000,VALUE($D214),1000000000),IFERROR(IF(VALUE(MID($D214,2,20))&lt;100000000,VALUE(MID($D214,2,20)),1000000000),1000000000))+ROW()/100000,"")</f>
        <v/>
      </c>
    </row>
    <row r="215">
      <c r="F215" s="11" t="n"/>
      <c r="N215" s="7">
        <f>IF($D215="","",M215*V215/100)</f>
        <v/>
      </c>
      <c r="O215" s="7" t="n"/>
      <c r="U215" s="7" t="n"/>
      <c r="V215" s="7" t="n"/>
      <c r="W215" s="7">
        <f>IF($D215="","",V215*AB215/100)</f>
        <v/>
      </c>
      <c r="X215" s="7">
        <f>IF($D215="","",V215-W215)</f>
        <v/>
      </c>
      <c r="Y215" s="7">
        <f>IF($D215="","",X215-N215)</f>
        <v/>
      </c>
      <c r="AB215">
        <f>IF($D215="","",IF($AN215=1,0,IF($AM215=1,Settings!$C$6,Settings!$C$7))*100)</f>
        <v/>
      </c>
      <c r="AF215" s="7" t="n"/>
      <c r="AI215" s="11" t="n"/>
      <c r="AK215">
        <f>IF($D215="","",IF(COUNTIF($D$2:$D215,$D215)=1,1,0))</f>
        <v/>
      </c>
      <c r="AL215">
        <f>IF($AK215=1,SUMPRODUCT(--($AO$2:$AO$1501&lt;$AO215))+1,"")</f>
        <v/>
      </c>
      <c r="AM215">
        <f>IF($D215="","",IF(OR($R215=TRUE(),$R215="TRUE"),1,0))</f>
        <v/>
      </c>
      <c r="AN215">
        <f>IF($D215="","",IF($AA215="Yes",1,0))</f>
        <v/>
      </c>
      <c r="AO215">
        <f>IF($AK215=1,IFERROR(IF(VALUE($D215)&lt;100000000,VALUE($D215),1000000000),IFERROR(IF(VALUE(MID($D215,2,20))&lt;100000000,VALUE(MID($D215,2,20)),1000000000),1000000000))+ROW()/100000,"")</f>
        <v/>
      </c>
    </row>
    <row r="216">
      <c r="F216" s="11" t="n"/>
      <c r="N216" s="7">
        <f>IF($D216="","",M216*V216/100)</f>
        <v/>
      </c>
      <c r="O216" s="7" t="n"/>
      <c r="U216" s="7" t="n"/>
      <c r="V216" s="7" t="n"/>
      <c r="W216" s="7">
        <f>IF($D216="","",V216*AB216/100)</f>
        <v/>
      </c>
      <c r="X216" s="7">
        <f>IF($D216="","",V216-W216)</f>
        <v/>
      </c>
      <c r="Y216" s="7">
        <f>IF($D216="","",X216-N216)</f>
        <v/>
      </c>
      <c r="AB216">
        <f>IF($D216="","",IF($AN216=1,0,IF($AM216=1,Settings!$C$6,Settings!$C$7))*100)</f>
        <v/>
      </c>
      <c r="AF216" s="7" t="n"/>
      <c r="AI216" s="11" t="n"/>
      <c r="AK216">
        <f>IF($D216="","",IF(COUNTIF($D$2:$D216,$D216)=1,1,0))</f>
        <v/>
      </c>
      <c r="AL216">
        <f>IF($AK216=1,SUMPRODUCT(--($AO$2:$AO$1501&lt;$AO216))+1,"")</f>
        <v/>
      </c>
      <c r="AM216">
        <f>IF($D216="","",IF(OR($R216=TRUE(),$R216="TRUE"),1,0))</f>
        <v/>
      </c>
      <c r="AN216">
        <f>IF($D216="","",IF($AA216="Yes",1,0))</f>
        <v/>
      </c>
      <c r="AO216">
        <f>IF($AK216=1,IFERROR(IF(VALUE($D216)&lt;100000000,VALUE($D216),1000000000),IFERROR(IF(VALUE(MID($D216,2,20))&lt;100000000,VALUE(MID($D216,2,20)),1000000000),1000000000))+ROW()/100000,"")</f>
        <v/>
      </c>
    </row>
    <row r="217">
      <c r="F217" s="11" t="n"/>
      <c r="N217" s="7">
        <f>IF($D217="","",M217*V217/100)</f>
        <v/>
      </c>
      <c r="O217" s="7" t="n"/>
      <c r="U217" s="7" t="n"/>
      <c r="V217" s="7" t="n"/>
      <c r="W217" s="7">
        <f>IF($D217="","",V217*AB217/100)</f>
        <v/>
      </c>
      <c r="X217" s="7">
        <f>IF($D217="","",V217-W217)</f>
        <v/>
      </c>
      <c r="Y217" s="7">
        <f>IF($D217="","",X217-N217)</f>
        <v/>
      </c>
      <c r="AB217">
        <f>IF($D217="","",IF($AN217=1,0,IF($AM217=1,Settings!$C$6,Settings!$C$7))*100)</f>
        <v/>
      </c>
      <c r="AF217" s="7" t="n"/>
      <c r="AI217" s="11" t="n"/>
      <c r="AK217">
        <f>IF($D217="","",IF(COUNTIF($D$2:$D217,$D217)=1,1,0))</f>
        <v/>
      </c>
      <c r="AL217">
        <f>IF($AK217=1,SUMPRODUCT(--($AO$2:$AO$1501&lt;$AO217))+1,"")</f>
        <v/>
      </c>
      <c r="AM217">
        <f>IF($D217="","",IF(OR($R217=TRUE(),$R217="TRUE"),1,0))</f>
        <v/>
      </c>
      <c r="AN217">
        <f>IF($D217="","",IF($AA217="Yes",1,0))</f>
        <v/>
      </c>
      <c r="AO217">
        <f>IF($AK217=1,IFERROR(IF(VALUE($D217)&lt;100000000,VALUE($D217),1000000000),IFERROR(IF(VALUE(MID($D217,2,20))&lt;100000000,VALUE(MID($D217,2,20)),1000000000),1000000000))+ROW()/100000,"")</f>
        <v/>
      </c>
    </row>
    <row r="218">
      <c r="F218" s="11" t="n"/>
      <c r="N218" s="7">
        <f>IF($D218="","",M218*V218/100)</f>
        <v/>
      </c>
      <c r="O218" s="7" t="n"/>
      <c r="U218" s="7" t="n"/>
      <c r="V218" s="7" t="n"/>
      <c r="W218" s="7">
        <f>IF($D218="","",V218*AB218/100)</f>
        <v/>
      </c>
      <c r="X218" s="7">
        <f>IF($D218="","",V218-W218)</f>
        <v/>
      </c>
      <c r="Y218" s="7">
        <f>IF($D218="","",X218-N218)</f>
        <v/>
      </c>
      <c r="AB218">
        <f>IF($D218="","",IF($AN218=1,0,IF($AM218=1,Settings!$C$6,Settings!$C$7))*100)</f>
        <v/>
      </c>
      <c r="AF218" s="7" t="n"/>
      <c r="AI218" s="11" t="n"/>
      <c r="AK218">
        <f>IF($D218="","",IF(COUNTIF($D$2:$D218,$D218)=1,1,0))</f>
        <v/>
      </c>
      <c r="AL218">
        <f>IF($AK218=1,SUMPRODUCT(--($AO$2:$AO$1501&lt;$AO218))+1,"")</f>
        <v/>
      </c>
      <c r="AM218">
        <f>IF($D218="","",IF(OR($R218=TRUE(),$R218="TRUE"),1,0))</f>
        <v/>
      </c>
      <c r="AN218">
        <f>IF($D218="","",IF($AA218="Yes",1,0))</f>
        <v/>
      </c>
      <c r="AO218">
        <f>IF($AK218=1,IFERROR(IF(VALUE($D218)&lt;100000000,VALUE($D218),1000000000),IFERROR(IF(VALUE(MID($D218,2,20))&lt;100000000,VALUE(MID($D218,2,20)),1000000000),1000000000))+ROW()/100000,"")</f>
        <v/>
      </c>
    </row>
    <row r="219">
      <c r="F219" s="11" t="n"/>
      <c r="N219" s="7">
        <f>IF($D219="","",M219*V219/100)</f>
        <v/>
      </c>
      <c r="O219" s="7" t="n"/>
      <c r="U219" s="7" t="n"/>
      <c r="V219" s="7" t="n"/>
      <c r="W219" s="7">
        <f>IF($D219="","",V219*AB219/100)</f>
        <v/>
      </c>
      <c r="X219" s="7">
        <f>IF($D219="","",V219-W219)</f>
        <v/>
      </c>
      <c r="Y219" s="7">
        <f>IF($D219="","",X219-N219)</f>
        <v/>
      </c>
      <c r="AB219">
        <f>IF($D219="","",IF($AN219=1,0,IF($AM219=1,Settings!$C$6,Settings!$C$7))*100)</f>
        <v/>
      </c>
      <c r="AF219" s="7" t="n"/>
      <c r="AI219" s="11" t="n"/>
      <c r="AK219">
        <f>IF($D219="","",IF(COUNTIF($D$2:$D219,$D219)=1,1,0))</f>
        <v/>
      </c>
      <c r="AL219">
        <f>IF($AK219=1,SUMPRODUCT(--($AO$2:$AO$1501&lt;$AO219))+1,"")</f>
        <v/>
      </c>
      <c r="AM219">
        <f>IF($D219="","",IF(OR($R219=TRUE(),$R219="TRUE"),1,0))</f>
        <v/>
      </c>
      <c r="AN219">
        <f>IF($D219="","",IF($AA219="Yes",1,0))</f>
        <v/>
      </c>
      <c r="AO219">
        <f>IF($AK219=1,IFERROR(IF(VALUE($D219)&lt;100000000,VALUE($D219),1000000000),IFERROR(IF(VALUE(MID($D219,2,20))&lt;100000000,VALUE(MID($D219,2,20)),1000000000),1000000000))+ROW()/100000,"")</f>
        <v/>
      </c>
    </row>
    <row r="220">
      <c r="F220" s="11" t="n"/>
      <c r="N220" s="7">
        <f>IF($D220="","",M220*V220/100)</f>
        <v/>
      </c>
      <c r="O220" s="7" t="n"/>
      <c r="U220" s="7" t="n"/>
      <c r="V220" s="7" t="n"/>
      <c r="W220" s="7">
        <f>IF($D220="","",V220*AB220/100)</f>
        <v/>
      </c>
      <c r="X220" s="7">
        <f>IF($D220="","",V220-W220)</f>
        <v/>
      </c>
      <c r="Y220" s="7">
        <f>IF($D220="","",X220-N220)</f>
        <v/>
      </c>
      <c r="AB220">
        <f>IF($D220="","",IF($AN220=1,0,IF($AM220=1,Settings!$C$6,Settings!$C$7))*100)</f>
        <v/>
      </c>
      <c r="AF220" s="7" t="n"/>
      <c r="AI220" s="11" t="n"/>
      <c r="AK220">
        <f>IF($D220="","",IF(COUNTIF($D$2:$D220,$D220)=1,1,0))</f>
        <v/>
      </c>
      <c r="AL220">
        <f>IF($AK220=1,SUMPRODUCT(--($AO$2:$AO$1501&lt;$AO220))+1,"")</f>
        <v/>
      </c>
      <c r="AM220">
        <f>IF($D220="","",IF(OR($R220=TRUE(),$R220="TRUE"),1,0))</f>
        <v/>
      </c>
      <c r="AN220">
        <f>IF($D220="","",IF($AA220="Yes",1,0))</f>
        <v/>
      </c>
      <c r="AO220">
        <f>IF($AK220=1,IFERROR(IF(VALUE($D220)&lt;100000000,VALUE($D220),1000000000),IFERROR(IF(VALUE(MID($D220,2,20))&lt;100000000,VALUE(MID($D220,2,20)),1000000000),1000000000))+ROW()/100000,"")</f>
        <v/>
      </c>
    </row>
    <row r="221">
      <c r="F221" s="11" t="n"/>
      <c r="N221" s="7">
        <f>IF($D221="","",M221*V221/100)</f>
        <v/>
      </c>
      <c r="O221" s="7" t="n"/>
      <c r="U221" s="7" t="n"/>
      <c r="V221" s="7" t="n"/>
      <c r="W221" s="7">
        <f>IF($D221="","",V221*AB221/100)</f>
        <v/>
      </c>
      <c r="X221" s="7">
        <f>IF($D221="","",V221-W221)</f>
        <v/>
      </c>
      <c r="Y221" s="7">
        <f>IF($D221="","",X221-N221)</f>
        <v/>
      </c>
      <c r="AB221">
        <f>IF($D221="","",IF($AN221=1,0,IF($AM221=1,Settings!$C$6,Settings!$C$7))*100)</f>
        <v/>
      </c>
      <c r="AF221" s="7" t="n"/>
      <c r="AI221" s="11" t="n"/>
      <c r="AK221">
        <f>IF($D221="","",IF(COUNTIF($D$2:$D221,$D221)=1,1,0))</f>
        <v/>
      </c>
      <c r="AL221">
        <f>IF($AK221=1,SUMPRODUCT(--($AO$2:$AO$1501&lt;$AO221))+1,"")</f>
        <v/>
      </c>
      <c r="AM221">
        <f>IF($D221="","",IF(OR($R221=TRUE(),$R221="TRUE"),1,0))</f>
        <v/>
      </c>
      <c r="AN221">
        <f>IF($D221="","",IF($AA221="Yes",1,0))</f>
        <v/>
      </c>
      <c r="AO221">
        <f>IF($AK221=1,IFERROR(IF(VALUE($D221)&lt;100000000,VALUE($D221),1000000000),IFERROR(IF(VALUE(MID($D221,2,20))&lt;100000000,VALUE(MID($D221,2,20)),1000000000),1000000000))+ROW()/100000,"")</f>
        <v/>
      </c>
    </row>
    <row r="222">
      <c r="F222" s="11" t="n"/>
      <c r="N222" s="7">
        <f>IF($D222="","",M222*V222/100)</f>
        <v/>
      </c>
      <c r="O222" s="7" t="n"/>
      <c r="U222" s="7" t="n"/>
      <c r="V222" s="7" t="n"/>
      <c r="W222" s="7">
        <f>IF($D222="","",V222*AB222/100)</f>
        <v/>
      </c>
      <c r="X222" s="7">
        <f>IF($D222="","",V222-W222)</f>
        <v/>
      </c>
      <c r="Y222" s="7">
        <f>IF($D222="","",X222-N222)</f>
        <v/>
      </c>
      <c r="AB222">
        <f>IF($D222="","",IF($AN222=1,0,IF($AM222=1,Settings!$C$6,Settings!$C$7))*100)</f>
        <v/>
      </c>
      <c r="AF222" s="7" t="n"/>
      <c r="AI222" s="11" t="n"/>
      <c r="AK222">
        <f>IF($D222="","",IF(COUNTIF($D$2:$D222,$D222)=1,1,0))</f>
        <v/>
      </c>
      <c r="AL222">
        <f>IF($AK222=1,SUMPRODUCT(--($AO$2:$AO$1501&lt;$AO222))+1,"")</f>
        <v/>
      </c>
      <c r="AM222">
        <f>IF($D222="","",IF(OR($R222=TRUE(),$R222="TRUE"),1,0))</f>
        <v/>
      </c>
      <c r="AN222">
        <f>IF($D222="","",IF($AA222="Yes",1,0))</f>
        <v/>
      </c>
      <c r="AO222">
        <f>IF($AK222=1,IFERROR(IF(VALUE($D222)&lt;100000000,VALUE($D222),1000000000),IFERROR(IF(VALUE(MID($D222,2,20))&lt;100000000,VALUE(MID($D222,2,20)),1000000000),1000000000))+ROW()/100000,"")</f>
        <v/>
      </c>
    </row>
    <row r="223">
      <c r="F223" s="11" t="n"/>
      <c r="N223" s="7">
        <f>IF($D223="","",M223*V223/100)</f>
        <v/>
      </c>
      <c r="O223" s="7" t="n"/>
      <c r="U223" s="7" t="n"/>
      <c r="V223" s="7" t="n"/>
      <c r="W223" s="7">
        <f>IF($D223="","",V223*AB223/100)</f>
        <v/>
      </c>
      <c r="X223" s="7">
        <f>IF($D223="","",V223-W223)</f>
        <v/>
      </c>
      <c r="Y223" s="7">
        <f>IF($D223="","",X223-N223)</f>
        <v/>
      </c>
      <c r="AB223">
        <f>IF($D223="","",IF($AN223=1,0,IF($AM223=1,Settings!$C$6,Settings!$C$7))*100)</f>
        <v/>
      </c>
      <c r="AF223" s="7" t="n"/>
      <c r="AI223" s="11" t="n"/>
      <c r="AK223">
        <f>IF($D223="","",IF(COUNTIF($D$2:$D223,$D223)=1,1,0))</f>
        <v/>
      </c>
      <c r="AL223">
        <f>IF($AK223=1,SUMPRODUCT(--($AO$2:$AO$1501&lt;$AO223))+1,"")</f>
        <v/>
      </c>
      <c r="AM223">
        <f>IF($D223="","",IF(OR($R223=TRUE(),$R223="TRUE"),1,0))</f>
        <v/>
      </c>
      <c r="AN223">
        <f>IF($D223="","",IF($AA223="Yes",1,0))</f>
        <v/>
      </c>
      <c r="AO223">
        <f>IF($AK223=1,IFERROR(IF(VALUE($D223)&lt;100000000,VALUE($D223),1000000000),IFERROR(IF(VALUE(MID($D223,2,20))&lt;100000000,VALUE(MID($D223,2,20)),1000000000),1000000000))+ROW()/100000,"")</f>
        <v/>
      </c>
    </row>
    <row r="224">
      <c r="F224" s="11" t="n"/>
      <c r="N224" s="7">
        <f>IF($D224="","",M224*V224/100)</f>
        <v/>
      </c>
      <c r="O224" s="7" t="n"/>
      <c r="U224" s="7" t="n"/>
      <c r="V224" s="7" t="n"/>
      <c r="W224" s="7">
        <f>IF($D224="","",V224*AB224/100)</f>
        <v/>
      </c>
      <c r="X224" s="7">
        <f>IF($D224="","",V224-W224)</f>
        <v/>
      </c>
      <c r="Y224" s="7">
        <f>IF($D224="","",X224-N224)</f>
        <v/>
      </c>
      <c r="AB224">
        <f>IF($D224="","",IF($AN224=1,0,IF($AM224=1,Settings!$C$6,Settings!$C$7))*100)</f>
        <v/>
      </c>
      <c r="AF224" s="7" t="n"/>
      <c r="AI224" s="11" t="n"/>
      <c r="AK224">
        <f>IF($D224="","",IF(COUNTIF($D$2:$D224,$D224)=1,1,0))</f>
        <v/>
      </c>
      <c r="AL224">
        <f>IF($AK224=1,SUMPRODUCT(--($AO$2:$AO$1501&lt;$AO224))+1,"")</f>
        <v/>
      </c>
      <c r="AM224">
        <f>IF($D224="","",IF(OR($R224=TRUE(),$R224="TRUE"),1,0))</f>
        <v/>
      </c>
      <c r="AN224">
        <f>IF($D224="","",IF($AA224="Yes",1,0))</f>
        <v/>
      </c>
      <c r="AO224">
        <f>IF($AK224=1,IFERROR(IF(VALUE($D224)&lt;100000000,VALUE($D224),1000000000),IFERROR(IF(VALUE(MID($D224,2,20))&lt;100000000,VALUE(MID($D224,2,20)),1000000000),1000000000))+ROW()/100000,"")</f>
        <v/>
      </c>
    </row>
    <row r="225">
      <c r="F225" s="11" t="n"/>
      <c r="N225" s="7">
        <f>IF($D225="","",M225*V225/100)</f>
        <v/>
      </c>
      <c r="O225" s="7" t="n"/>
      <c r="U225" s="7" t="n"/>
      <c r="V225" s="7" t="n"/>
      <c r="W225" s="7">
        <f>IF($D225="","",V225*AB225/100)</f>
        <v/>
      </c>
      <c r="X225" s="7">
        <f>IF($D225="","",V225-W225)</f>
        <v/>
      </c>
      <c r="Y225" s="7">
        <f>IF($D225="","",X225-N225)</f>
        <v/>
      </c>
      <c r="AB225">
        <f>IF($D225="","",IF($AN225=1,0,IF($AM225=1,Settings!$C$6,Settings!$C$7))*100)</f>
        <v/>
      </c>
      <c r="AF225" s="7" t="n"/>
      <c r="AI225" s="11" t="n"/>
      <c r="AK225">
        <f>IF($D225="","",IF(COUNTIF($D$2:$D225,$D225)=1,1,0))</f>
        <v/>
      </c>
      <c r="AL225">
        <f>IF($AK225=1,SUMPRODUCT(--($AO$2:$AO$1501&lt;$AO225))+1,"")</f>
        <v/>
      </c>
      <c r="AM225">
        <f>IF($D225="","",IF(OR($R225=TRUE(),$R225="TRUE"),1,0))</f>
        <v/>
      </c>
      <c r="AN225">
        <f>IF($D225="","",IF($AA225="Yes",1,0))</f>
        <v/>
      </c>
      <c r="AO225">
        <f>IF($AK225=1,IFERROR(IF(VALUE($D225)&lt;100000000,VALUE($D225),1000000000),IFERROR(IF(VALUE(MID($D225,2,20))&lt;100000000,VALUE(MID($D225,2,20)),1000000000),1000000000))+ROW()/100000,"")</f>
        <v/>
      </c>
    </row>
    <row r="226">
      <c r="F226" s="11" t="n"/>
      <c r="N226" s="7">
        <f>IF($D226="","",M226*V226/100)</f>
        <v/>
      </c>
      <c r="O226" s="7" t="n"/>
      <c r="U226" s="7" t="n"/>
      <c r="V226" s="7" t="n"/>
      <c r="W226" s="7">
        <f>IF($D226="","",V226*AB226/100)</f>
        <v/>
      </c>
      <c r="X226" s="7">
        <f>IF($D226="","",V226-W226)</f>
        <v/>
      </c>
      <c r="Y226" s="7">
        <f>IF($D226="","",X226-N226)</f>
        <v/>
      </c>
      <c r="AB226">
        <f>IF($D226="","",IF($AN226=1,0,IF($AM226=1,Settings!$C$6,Settings!$C$7))*100)</f>
        <v/>
      </c>
      <c r="AF226" s="7" t="n"/>
      <c r="AI226" s="11" t="n"/>
      <c r="AK226">
        <f>IF($D226="","",IF(COUNTIF($D$2:$D226,$D226)=1,1,0))</f>
        <v/>
      </c>
      <c r="AL226">
        <f>IF($AK226=1,SUMPRODUCT(--($AO$2:$AO$1501&lt;$AO226))+1,"")</f>
        <v/>
      </c>
      <c r="AM226">
        <f>IF($D226="","",IF(OR($R226=TRUE(),$R226="TRUE"),1,0))</f>
        <v/>
      </c>
      <c r="AN226">
        <f>IF($D226="","",IF($AA226="Yes",1,0))</f>
        <v/>
      </c>
      <c r="AO226">
        <f>IF($AK226=1,IFERROR(IF(VALUE($D226)&lt;100000000,VALUE($D226),1000000000),IFERROR(IF(VALUE(MID($D226,2,20))&lt;100000000,VALUE(MID($D226,2,20)),1000000000),1000000000))+ROW()/100000,"")</f>
        <v/>
      </c>
    </row>
    <row r="227">
      <c r="F227" s="11" t="n"/>
      <c r="N227" s="7">
        <f>IF($D227="","",M227*V227/100)</f>
        <v/>
      </c>
      <c r="O227" s="7" t="n"/>
      <c r="U227" s="7" t="n"/>
      <c r="V227" s="7" t="n"/>
      <c r="W227" s="7">
        <f>IF($D227="","",V227*AB227/100)</f>
        <v/>
      </c>
      <c r="X227" s="7">
        <f>IF($D227="","",V227-W227)</f>
        <v/>
      </c>
      <c r="Y227" s="7">
        <f>IF($D227="","",X227-N227)</f>
        <v/>
      </c>
      <c r="AB227">
        <f>IF($D227="","",IF($AN227=1,0,IF($AM227=1,Settings!$C$6,Settings!$C$7))*100)</f>
        <v/>
      </c>
      <c r="AF227" s="7" t="n"/>
      <c r="AI227" s="11" t="n"/>
      <c r="AK227">
        <f>IF($D227="","",IF(COUNTIF($D$2:$D227,$D227)=1,1,0))</f>
        <v/>
      </c>
      <c r="AL227">
        <f>IF($AK227=1,SUMPRODUCT(--($AO$2:$AO$1501&lt;$AO227))+1,"")</f>
        <v/>
      </c>
      <c r="AM227">
        <f>IF($D227="","",IF(OR($R227=TRUE(),$R227="TRUE"),1,0))</f>
        <v/>
      </c>
      <c r="AN227">
        <f>IF($D227="","",IF($AA227="Yes",1,0))</f>
        <v/>
      </c>
      <c r="AO227">
        <f>IF($AK227=1,IFERROR(IF(VALUE($D227)&lt;100000000,VALUE($D227),1000000000),IFERROR(IF(VALUE(MID($D227,2,20))&lt;100000000,VALUE(MID($D227,2,20)),1000000000),1000000000))+ROW()/100000,"")</f>
        <v/>
      </c>
    </row>
    <row r="228">
      <c r="F228" s="11" t="n"/>
      <c r="N228" s="7">
        <f>IF($D228="","",M228*V228/100)</f>
        <v/>
      </c>
      <c r="O228" s="7" t="n"/>
      <c r="U228" s="7" t="n"/>
      <c r="V228" s="7" t="n"/>
      <c r="W228" s="7">
        <f>IF($D228="","",V228*AB228/100)</f>
        <v/>
      </c>
      <c r="X228" s="7">
        <f>IF($D228="","",V228-W228)</f>
        <v/>
      </c>
      <c r="Y228" s="7">
        <f>IF($D228="","",X228-N228)</f>
        <v/>
      </c>
      <c r="AB228">
        <f>IF($D228="","",IF($AN228=1,0,IF($AM228=1,Settings!$C$6,Settings!$C$7))*100)</f>
        <v/>
      </c>
      <c r="AF228" s="7" t="n"/>
      <c r="AI228" s="11" t="n"/>
      <c r="AK228">
        <f>IF($D228="","",IF(COUNTIF($D$2:$D228,$D228)=1,1,0))</f>
        <v/>
      </c>
      <c r="AL228">
        <f>IF($AK228=1,SUMPRODUCT(--($AO$2:$AO$1501&lt;$AO228))+1,"")</f>
        <v/>
      </c>
      <c r="AM228">
        <f>IF($D228="","",IF(OR($R228=TRUE(),$R228="TRUE"),1,0))</f>
        <v/>
      </c>
      <c r="AN228">
        <f>IF($D228="","",IF($AA228="Yes",1,0))</f>
        <v/>
      </c>
      <c r="AO228">
        <f>IF($AK228=1,IFERROR(IF(VALUE($D228)&lt;100000000,VALUE($D228),1000000000),IFERROR(IF(VALUE(MID($D228,2,20))&lt;100000000,VALUE(MID($D228,2,20)),1000000000),1000000000))+ROW()/100000,"")</f>
        <v/>
      </c>
    </row>
    <row r="229">
      <c r="F229" s="11" t="n"/>
      <c r="N229" s="7">
        <f>IF($D229="","",M229*V229/100)</f>
        <v/>
      </c>
      <c r="O229" s="7" t="n"/>
      <c r="U229" s="7" t="n"/>
      <c r="V229" s="7" t="n"/>
      <c r="W229" s="7">
        <f>IF($D229="","",V229*AB229/100)</f>
        <v/>
      </c>
      <c r="X229" s="7">
        <f>IF($D229="","",V229-W229)</f>
        <v/>
      </c>
      <c r="Y229" s="7">
        <f>IF($D229="","",X229-N229)</f>
        <v/>
      </c>
      <c r="AB229">
        <f>IF($D229="","",IF($AN229=1,0,IF($AM229=1,Settings!$C$6,Settings!$C$7))*100)</f>
        <v/>
      </c>
      <c r="AF229" s="7" t="n"/>
      <c r="AI229" s="11" t="n"/>
      <c r="AK229">
        <f>IF($D229="","",IF(COUNTIF($D$2:$D229,$D229)=1,1,0))</f>
        <v/>
      </c>
      <c r="AL229">
        <f>IF($AK229=1,SUMPRODUCT(--($AO$2:$AO$1501&lt;$AO229))+1,"")</f>
        <v/>
      </c>
      <c r="AM229">
        <f>IF($D229="","",IF(OR($R229=TRUE(),$R229="TRUE"),1,0))</f>
        <v/>
      </c>
      <c r="AN229">
        <f>IF($D229="","",IF($AA229="Yes",1,0))</f>
        <v/>
      </c>
      <c r="AO229">
        <f>IF($AK229=1,IFERROR(IF(VALUE($D229)&lt;100000000,VALUE($D229),1000000000),IFERROR(IF(VALUE(MID($D229,2,20))&lt;100000000,VALUE(MID($D229,2,20)),1000000000),1000000000))+ROW()/100000,"")</f>
        <v/>
      </c>
    </row>
    <row r="230">
      <c r="F230" s="11" t="n"/>
      <c r="N230" s="7">
        <f>IF($D230="","",M230*V230/100)</f>
        <v/>
      </c>
      <c r="O230" s="7" t="n"/>
      <c r="U230" s="7" t="n"/>
      <c r="V230" s="7" t="n"/>
      <c r="W230" s="7">
        <f>IF($D230="","",V230*AB230/100)</f>
        <v/>
      </c>
      <c r="X230" s="7">
        <f>IF($D230="","",V230-W230)</f>
        <v/>
      </c>
      <c r="Y230" s="7">
        <f>IF($D230="","",X230-N230)</f>
        <v/>
      </c>
      <c r="AB230">
        <f>IF($D230="","",IF($AN230=1,0,IF($AM230=1,Settings!$C$6,Settings!$C$7))*100)</f>
        <v/>
      </c>
      <c r="AF230" s="7" t="n"/>
      <c r="AI230" s="11" t="n"/>
      <c r="AK230">
        <f>IF($D230="","",IF(COUNTIF($D$2:$D230,$D230)=1,1,0))</f>
        <v/>
      </c>
      <c r="AL230">
        <f>IF($AK230=1,SUMPRODUCT(--($AO$2:$AO$1501&lt;$AO230))+1,"")</f>
        <v/>
      </c>
      <c r="AM230">
        <f>IF($D230="","",IF(OR($R230=TRUE(),$R230="TRUE"),1,0))</f>
        <v/>
      </c>
      <c r="AN230">
        <f>IF($D230="","",IF($AA230="Yes",1,0))</f>
        <v/>
      </c>
      <c r="AO230">
        <f>IF($AK230=1,IFERROR(IF(VALUE($D230)&lt;100000000,VALUE($D230),1000000000),IFERROR(IF(VALUE(MID($D230,2,20))&lt;100000000,VALUE(MID($D230,2,20)),1000000000),1000000000))+ROW()/100000,"")</f>
        <v/>
      </c>
    </row>
    <row r="231">
      <c r="F231" s="11" t="n"/>
      <c r="N231" s="7">
        <f>IF($D231="","",M231*V231/100)</f>
        <v/>
      </c>
      <c r="O231" s="7" t="n"/>
      <c r="U231" s="7" t="n"/>
      <c r="V231" s="7" t="n"/>
      <c r="W231" s="7">
        <f>IF($D231="","",V231*AB231/100)</f>
        <v/>
      </c>
      <c r="X231" s="7">
        <f>IF($D231="","",V231-W231)</f>
        <v/>
      </c>
      <c r="Y231" s="7">
        <f>IF($D231="","",X231-N231)</f>
        <v/>
      </c>
      <c r="AB231">
        <f>IF($D231="","",IF($AN231=1,0,IF($AM231=1,Settings!$C$6,Settings!$C$7))*100)</f>
        <v/>
      </c>
      <c r="AF231" s="7" t="n"/>
      <c r="AI231" s="11" t="n"/>
      <c r="AK231">
        <f>IF($D231="","",IF(COUNTIF($D$2:$D231,$D231)=1,1,0))</f>
        <v/>
      </c>
      <c r="AL231">
        <f>IF($AK231=1,SUMPRODUCT(--($AO$2:$AO$1501&lt;$AO231))+1,"")</f>
        <v/>
      </c>
      <c r="AM231">
        <f>IF($D231="","",IF(OR($R231=TRUE(),$R231="TRUE"),1,0))</f>
        <v/>
      </c>
      <c r="AN231">
        <f>IF($D231="","",IF($AA231="Yes",1,0))</f>
        <v/>
      </c>
      <c r="AO231">
        <f>IF($AK231=1,IFERROR(IF(VALUE($D231)&lt;100000000,VALUE($D231),1000000000),IFERROR(IF(VALUE(MID($D231,2,20))&lt;100000000,VALUE(MID($D231,2,20)),1000000000),1000000000))+ROW()/100000,"")</f>
        <v/>
      </c>
    </row>
    <row r="232">
      <c r="F232" s="11" t="n"/>
      <c r="N232" s="7">
        <f>IF($D232="","",M232*V232/100)</f>
        <v/>
      </c>
      <c r="O232" s="7" t="n"/>
      <c r="U232" s="7" t="n"/>
      <c r="V232" s="7" t="n"/>
      <c r="W232" s="7">
        <f>IF($D232="","",V232*AB232/100)</f>
        <v/>
      </c>
      <c r="X232" s="7">
        <f>IF($D232="","",V232-W232)</f>
        <v/>
      </c>
      <c r="Y232" s="7">
        <f>IF($D232="","",X232-N232)</f>
        <v/>
      </c>
      <c r="AB232">
        <f>IF($D232="","",IF($AN232=1,0,IF($AM232=1,Settings!$C$6,Settings!$C$7))*100)</f>
        <v/>
      </c>
      <c r="AF232" s="7" t="n"/>
      <c r="AI232" s="11" t="n"/>
      <c r="AK232">
        <f>IF($D232="","",IF(COUNTIF($D$2:$D232,$D232)=1,1,0))</f>
        <v/>
      </c>
      <c r="AL232">
        <f>IF($AK232=1,SUMPRODUCT(--($AO$2:$AO$1501&lt;$AO232))+1,"")</f>
        <v/>
      </c>
      <c r="AM232">
        <f>IF($D232="","",IF(OR($R232=TRUE(),$R232="TRUE"),1,0))</f>
        <v/>
      </c>
      <c r="AN232">
        <f>IF($D232="","",IF($AA232="Yes",1,0))</f>
        <v/>
      </c>
      <c r="AO232">
        <f>IF($AK232=1,IFERROR(IF(VALUE($D232)&lt;100000000,VALUE($D232),1000000000),IFERROR(IF(VALUE(MID($D232,2,20))&lt;100000000,VALUE(MID($D232,2,20)),1000000000),1000000000))+ROW()/100000,"")</f>
        <v/>
      </c>
    </row>
    <row r="233">
      <c r="F233" s="11" t="n"/>
      <c r="N233" s="7">
        <f>IF($D233="","",M233*V233/100)</f>
        <v/>
      </c>
      <c r="O233" s="7" t="n"/>
      <c r="U233" s="7" t="n"/>
      <c r="V233" s="7" t="n"/>
      <c r="W233" s="7">
        <f>IF($D233="","",V233*AB233/100)</f>
        <v/>
      </c>
      <c r="X233" s="7">
        <f>IF($D233="","",V233-W233)</f>
        <v/>
      </c>
      <c r="Y233" s="7">
        <f>IF($D233="","",X233-N233)</f>
        <v/>
      </c>
      <c r="AB233">
        <f>IF($D233="","",IF($AN233=1,0,IF($AM233=1,Settings!$C$6,Settings!$C$7))*100)</f>
        <v/>
      </c>
      <c r="AF233" s="7" t="n"/>
      <c r="AI233" s="11" t="n"/>
      <c r="AK233">
        <f>IF($D233="","",IF(COUNTIF($D$2:$D233,$D233)=1,1,0))</f>
        <v/>
      </c>
      <c r="AL233">
        <f>IF($AK233=1,SUMPRODUCT(--($AO$2:$AO$1501&lt;$AO233))+1,"")</f>
        <v/>
      </c>
      <c r="AM233">
        <f>IF($D233="","",IF(OR($R233=TRUE(),$R233="TRUE"),1,0))</f>
        <v/>
      </c>
      <c r="AN233">
        <f>IF($D233="","",IF($AA233="Yes",1,0))</f>
        <v/>
      </c>
      <c r="AO233">
        <f>IF($AK233=1,IFERROR(IF(VALUE($D233)&lt;100000000,VALUE($D233),1000000000),IFERROR(IF(VALUE(MID($D233,2,20))&lt;100000000,VALUE(MID($D233,2,20)),1000000000),1000000000))+ROW()/100000,"")</f>
        <v/>
      </c>
    </row>
    <row r="234">
      <c r="F234" s="11" t="n"/>
      <c r="N234" s="7">
        <f>IF($D234="","",M234*V234/100)</f>
        <v/>
      </c>
      <c r="O234" s="7" t="n"/>
      <c r="U234" s="7" t="n"/>
      <c r="V234" s="7" t="n"/>
      <c r="W234" s="7">
        <f>IF($D234="","",V234*AB234/100)</f>
        <v/>
      </c>
      <c r="X234" s="7">
        <f>IF($D234="","",V234-W234)</f>
        <v/>
      </c>
      <c r="Y234" s="7">
        <f>IF($D234="","",X234-N234)</f>
        <v/>
      </c>
      <c r="AB234">
        <f>IF($D234="","",IF($AN234=1,0,IF($AM234=1,Settings!$C$6,Settings!$C$7))*100)</f>
        <v/>
      </c>
      <c r="AF234" s="7" t="n"/>
      <c r="AI234" s="11" t="n"/>
      <c r="AK234">
        <f>IF($D234="","",IF(COUNTIF($D$2:$D234,$D234)=1,1,0))</f>
        <v/>
      </c>
      <c r="AL234">
        <f>IF($AK234=1,SUMPRODUCT(--($AO$2:$AO$1501&lt;$AO234))+1,"")</f>
        <v/>
      </c>
      <c r="AM234">
        <f>IF($D234="","",IF(OR($R234=TRUE(),$R234="TRUE"),1,0))</f>
        <v/>
      </c>
      <c r="AN234">
        <f>IF($D234="","",IF($AA234="Yes",1,0))</f>
        <v/>
      </c>
      <c r="AO234">
        <f>IF($AK234=1,IFERROR(IF(VALUE($D234)&lt;100000000,VALUE($D234),1000000000),IFERROR(IF(VALUE(MID($D234,2,20))&lt;100000000,VALUE(MID($D234,2,20)),1000000000),1000000000))+ROW()/100000,"")</f>
        <v/>
      </c>
    </row>
    <row r="235">
      <c r="F235" s="11" t="n"/>
      <c r="N235" s="7">
        <f>IF($D235="","",M235*V235/100)</f>
        <v/>
      </c>
      <c r="O235" s="7" t="n"/>
      <c r="U235" s="7" t="n"/>
      <c r="V235" s="7" t="n"/>
      <c r="W235" s="7">
        <f>IF($D235="","",V235*AB235/100)</f>
        <v/>
      </c>
      <c r="X235" s="7">
        <f>IF($D235="","",V235-W235)</f>
        <v/>
      </c>
      <c r="Y235" s="7">
        <f>IF($D235="","",X235-N235)</f>
        <v/>
      </c>
      <c r="AB235">
        <f>IF($D235="","",IF($AN235=1,0,IF($AM235=1,Settings!$C$6,Settings!$C$7))*100)</f>
        <v/>
      </c>
      <c r="AF235" s="7" t="n"/>
      <c r="AI235" s="11" t="n"/>
      <c r="AK235">
        <f>IF($D235="","",IF(COUNTIF($D$2:$D235,$D235)=1,1,0))</f>
        <v/>
      </c>
      <c r="AL235">
        <f>IF($AK235=1,SUMPRODUCT(--($AO$2:$AO$1501&lt;$AO235))+1,"")</f>
        <v/>
      </c>
      <c r="AM235">
        <f>IF($D235="","",IF(OR($R235=TRUE(),$R235="TRUE"),1,0))</f>
        <v/>
      </c>
      <c r="AN235">
        <f>IF($D235="","",IF($AA235="Yes",1,0))</f>
        <v/>
      </c>
      <c r="AO235">
        <f>IF($AK235=1,IFERROR(IF(VALUE($D235)&lt;100000000,VALUE($D235),1000000000),IFERROR(IF(VALUE(MID($D235,2,20))&lt;100000000,VALUE(MID($D235,2,20)),1000000000),1000000000))+ROW()/100000,"")</f>
        <v/>
      </c>
    </row>
    <row r="236">
      <c r="F236" s="11" t="n"/>
      <c r="N236" s="7">
        <f>IF($D236="","",M236*V236/100)</f>
        <v/>
      </c>
      <c r="O236" s="7" t="n"/>
      <c r="U236" s="7" t="n"/>
      <c r="V236" s="7" t="n"/>
      <c r="W236" s="7">
        <f>IF($D236="","",V236*AB236/100)</f>
        <v/>
      </c>
      <c r="X236" s="7">
        <f>IF($D236="","",V236-W236)</f>
        <v/>
      </c>
      <c r="Y236" s="7">
        <f>IF($D236="","",X236-N236)</f>
        <v/>
      </c>
      <c r="AB236">
        <f>IF($D236="","",IF($AN236=1,0,IF($AM236=1,Settings!$C$6,Settings!$C$7))*100)</f>
        <v/>
      </c>
      <c r="AF236" s="7" t="n"/>
      <c r="AI236" s="11" t="n"/>
      <c r="AK236">
        <f>IF($D236="","",IF(COUNTIF($D$2:$D236,$D236)=1,1,0))</f>
        <v/>
      </c>
      <c r="AL236">
        <f>IF($AK236=1,SUMPRODUCT(--($AO$2:$AO$1501&lt;$AO236))+1,"")</f>
        <v/>
      </c>
      <c r="AM236">
        <f>IF($D236="","",IF(OR($R236=TRUE(),$R236="TRUE"),1,0))</f>
        <v/>
      </c>
      <c r="AN236">
        <f>IF($D236="","",IF($AA236="Yes",1,0))</f>
        <v/>
      </c>
      <c r="AO236">
        <f>IF($AK236=1,IFERROR(IF(VALUE($D236)&lt;100000000,VALUE($D236),1000000000),IFERROR(IF(VALUE(MID($D236,2,20))&lt;100000000,VALUE(MID($D236,2,20)),1000000000),1000000000))+ROW()/100000,"")</f>
        <v/>
      </c>
    </row>
    <row r="237">
      <c r="F237" s="11" t="n"/>
      <c r="N237" s="7">
        <f>IF($D237="","",M237*V237/100)</f>
        <v/>
      </c>
      <c r="O237" s="7" t="n"/>
      <c r="U237" s="7" t="n"/>
      <c r="V237" s="7" t="n"/>
      <c r="W237" s="7">
        <f>IF($D237="","",V237*AB237/100)</f>
        <v/>
      </c>
      <c r="X237" s="7">
        <f>IF($D237="","",V237-W237)</f>
        <v/>
      </c>
      <c r="Y237" s="7">
        <f>IF($D237="","",X237-N237)</f>
        <v/>
      </c>
      <c r="AB237">
        <f>IF($D237="","",IF($AN237=1,0,IF($AM237=1,Settings!$C$6,Settings!$C$7))*100)</f>
        <v/>
      </c>
      <c r="AF237" s="7" t="n"/>
      <c r="AI237" s="11" t="n"/>
      <c r="AK237">
        <f>IF($D237="","",IF(COUNTIF($D$2:$D237,$D237)=1,1,0))</f>
        <v/>
      </c>
      <c r="AL237">
        <f>IF($AK237=1,SUMPRODUCT(--($AO$2:$AO$1501&lt;$AO237))+1,"")</f>
        <v/>
      </c>
      <c r="AM237">
        <f>IF($D237="","",IF(OR($R237=TRUE(),$R237="TRUE"),1,0))</f>
        <v/>
      </c>
      <c r="AN237">
        <f>IF($D237="","",IF($AA237="Yes",1,0))</f>
        <v/>
      </c>
      <c r="AO237">
        <f>IF($AK237=1,IFERROR(IF(VALUE($D237)&lt;100000000,VALUE($D237),1000000000),IFERROR(IF(VALUE(MID($D237,2,20))&lt;100000000,VALUE(MID($D237,2,20)),1000000000),1000000000))+ROW()/100000,"")</f>
        <v/>
      </c>
    </row>
    <row r="238">
      <c r="F238" s="11" t="n"/>
      <c r="N238" s="7">
        <f>IF($D238="","",M238*V238/100)</f>
        <v/>
      </c>
      <c r="O238" s="7" t="n"/>
      <c r="U238" s="7" t="n"/>
      <c r="V238" s="7" t="n"/>
      <c r="W238" s="7">
        <f>IF($D238="","",V238*AB238/100)</f>
        <v/>
      </c>
      <c r="X238" s="7">
        <f>IF($D238="","",V238-W238)</f>
        <v/>
      </c>
      <c r="Y238" s="7">
        <f>IF($D238="","",X238-N238)</f>
        <v/>
      </c>
      <c r="AB238">
        <f>IF($D238="","",IF($AN238=1,0,IF($AM238=1,Settings!$C$6,Settings!$C$7))*100)</f>
        <v/>
      </c>
      <c r="AF238" s="7" t="n"/>
      <c r="AI238" s="11" t="n"/>
      <c r="AK238">
        <f>IF($D238="","",IF(COUNTIF($D$2:$D238,$D238)=1,1,0))</f>
        <v/>
      </c>
      <c r="AL238">
        <f>IF($AK238=1,SUMPRODUCT(--($AO$2:$AO$1501&lt;$AO238))+1,"")</f>
        <v/>
      </c>
      <c r="AM238">
        <f>IF($D238="","",IF(OR($R238=TRUE(),$R238="TRUE"),1,0))</f>
        <v/>
      </c>
      <c r="AN238">
        <f>IF($D238="","",IF($AA238="Yes",1,0))</f>
        <v/>
      </c>
      <c r="AO238">
        <f>IF($AK238=1,IFERROR(IF(VALUE($D238)&lt;100000000,VALUE($D238),1000000000),IFERROR(IF(VALUE(MID($D238,2,20))&lt;100000000,VALUE(MID($D238,2,20)),1000000000),1000000000))+ROW()/100000,"")</f>
        <v/>
      </c>
    </row>
    <row r="239">
      <c r="F239" s="11" t="n"/>
      <c r="N239" s="7">
        <f>IF($D239="","",M239*V239/100)</f>
        <v/>
      </c>
      <c r="O239" s="7" t="n"/>
      <c r="U239" s="7" t="n"/>
      <c r="V239" s="7" t="n"/>
      <c r="W239" s="7">
        <f>IF($D239="","",V239*AB239/100)</f>
        <v/>
      </c>
      <c r="X239" s="7">
        <f>IF($D239="","",V239-W239)</f>
        <v/>
      </c>
      <c r="Y239" s="7">
        <f>IF($D239="","",X239-N239)</f>
        <v/>
      </c>
      <c r="AB239">
        <f>IF($D239="","",IF($AN239=1,0,IF($AM239=1,Settings!$C$6,Settings!$C$7))*100)</f>
        <v/>
      </c>
      <c r="AF239" s="7" t="n"/>
      <c r="AI239" s="11" t="n"/>
      <c r="AK239">
        <f>IF($D239="","",IF(COUNTIF($D$2:$D239,$D239)=1,1,0))</f>
        <v/>
      </c>
      <c r="AL239">
        <f>IF($AK239=1,SUMPRODUCT(--($AO$2:$AO$1501&lt;$AO239))+1,"")</f>
        <v/>
      </c>
      <c r="AM239">
        <f>IF($D239="","",IF(OR($R239=TRUE(),$R239="TRUE"),1,0))</f>
        <v/>
      </c>
      <c r="AN239">
        <f>IF($D239="","",IF($AA239="Yes",1,0))</f>
        <v/>
      </c>
      <c r="AO239">
        <f>IF($AK239=1,IFERROR(IF(VALUE($D239)&lt;100000000,VALUE($D239),1000000000),IFERROR(IF(VALUE(MID($D239,2,20))&lt;100000000,VALUE(MID($D239,2,20)),1000000000),1000000000))+ROW()/100000,"")</f>
        <v/>
      </c>
    </row>
    <row r="240">
      <c r="F240" s="11" t="n"/>
      <c r="N240" s="7">
        <f>IF($D240="","",M240*V240/100)</f>
        <v/>
      </c>
      <c r="O240" s="7" t="n"/>
      <c r="U240" s="7" t="n"/>
      <c r="V240" s="7" t="n"/>
      <c r="W240" s="7">
        <f>IF($D240="","",V240*AB240/100)</f>
        <v/>
      </c>
      <c r="X240" s="7">
        <f>IF($D240="","",V240-W240)</f>
        <v/>
      </c>
      <c r="Y240" s="7">
        <f>IF($D240="","",X240-N240)</f>
        <v/>
      </c>
      <c r="AB240">
        <f>IF($D240="","",IF($AN240=1,0,IF($AM240=1,Settings!$C$6,Settings!$C$7))*100)</f>
        <v/>
      </c>
      <c r="AF240" s="7" t="n"/>
      <c r="AI240" s="11" t="n"/>
      <c r="AK240">
        <f>IF($D240="","",IF(COUNTIF($D$2:$D240,$D240)=1,1,0))</f>
        <v/>
      </c>
      <c r="AL240">
        <f>IF($AK240=1,SUMPRODUCT(--($AO$2:$AO$1501&lt;$AO240))+1,"")</f>
        <v/>
      </c>
      <c r="AM240">
        <f>IF($D240="","",IF(OR($R240=TRUE(),$R240="TRUE"),1,0))</f>
        <v/>
      </c>
      <c r="AN240">
        <f>IF($D240="","",IF($AA240="Yes",1,0))</f>
        <v/>
      </c>
      <c r="AO240">
        <f>IF($AK240=1,IFERROR(IF(VALUE($D240)&lt;100000000,VALUE($D240),1000000000),IFERROR(IF(VALUE(MID($D240,2,20))&lt;100000000,VALUE(MID($D240,2,20)),1000000000),1000000000))+ROW()/100000,"")</f>
        <v/>
      </c>
    </row>
    <row r="241">
      <c r="F241" s="11" t="n"/>
      <c r="N241" s="7">
        <f>IF($D241="","",M241*V241/100)</f>
        <v/>
      </c>
      <c r="O241" s="7" t="n"/>
      <c r="U241" s="7" t="n"/>
      <c r="V241" s="7" t="n"/>
      <c r="W241" s="7">
        <f>IF($D241="","",V241*AB241/100)</f>
        <v/>
      </c>
      <c r="X241" s="7">
        <f>IF($D241="","",V241-W241)</f>
        <v/>
      </c>
      <c r="Y241" s="7">
        <f>IF($D241="","",X241-N241)</f>
        <v/>
      </c>
      <c r="AB241">
        <f>IF($D241="","",IF($AN241=1,0,IF($AM241=1,Settings!$C$6,Settings!$C$7))*100)</f>
        <v/>
      </c>
      <c r="AF241" s="7" t="n"/>
      <c r="AI241" s="11" t="n"/>
      <c r="AK241">
        <f>IF($D241="","",IF(COUNTIF($D$2:$D241,$D241)=1,1,0))</f>
        <v/>
      </c>
      <c r="AL241">
        <f>IF($AK241=1,SUMPRODUCT(--($AO$2:$AO$1501&lt;$AO241))+1,"")</f>
        <v/>
      </c>
      <c r="AM241">
        <f>IF($D241="","",IF(OR($R241=TRUE(),$R241="TRUE"),1,0))</f>
        <v/>
      </c>
      <c r="AN241">
        <f>IF($D241="","",IF($AA241="Yes",1,0))</f>
        <v/>
      </c>
      <c r="AO241">
        <f>IF($AK241=1,IFERROR(IF(VALUE($D241)&lt;100000000,VALUE($D241),1000000000),IFERROR(IF(VALUE(MID($D241,2,20))&lt;100000000,VALUE(MID($D241,2,20)),1000000000),1000000000))+ROW()/100000,"")</f>
        <v/>
      </c>
    </row>
    <row r="242">
      <c r="F242" s="11" t="n"/>
      <c r="N242" s="7">
        <f>IF($D242="","",M242*V242/100)</f>
        <v/>
      </c>
      <c r="O242" s="7" t="n"/>
      <c r="U242" s="7" t="n"/>
      <c r="V242" s="7" t="n"/>
      <c r="W242" s="7">
        <f>IF($D242="","",V242*AB242/100)</f>
        <v/>
      </c>
      <c r="X242" s="7">
        <f>IF($D242="","",V242-W242)</f>
        <v/>
      </c>
      <c r="Y242" s="7">
        <f>IF($D242="","",X242-N242)</f>
        <v/>
      </c>
      <c r="AB242">
        <f>IF($D242="","",IF($AN242=1,0,IF($AM242=1,Settings!$C$6,Settings!$C$7))*100)</f>
        <v/>
      </c>
      <c r="AF242" s="7" t="n"/>
      <c r="AI242" s="11" t="n"/>
      <c r="AK242">
        <f>IF($D242="","",IF(COUNTIF($D$2:$D242,$D242)=1,1,0))</f>
        <v/>
      </c>
      <c r="AL242">
        <f>IF($AK242=1,SUMPRODUCT(--($AO$2:$AO$1501&lt;$AO242))+1,"")</f>
        <v/>
      </c>
      <c r="AM242">
        <f>IF($D242="","",IF(OR($R242=TRUE(),$R242="TRUE"),1,0))</f>
        <v/>
      </c>
      <c r="AN242">
        <f>IF($D242="","",IF($AA242="Yes",1,0))</f>
        <v/>
      </c>
      <c r="AO242">
        <f>IF($AK242=1,IFERROR(IF(VALUE($D242)&lt;100000000,VALUE($D242),1000000000),IFERROR(IF(VALUE(MID($D242,2,20))&lt;100000000,VALUE(MID($D242,2,20)),1000000000),1000000000))+ROW()/100000,"")</f>
        <v/>
      </c>
    </row>
    <row r="243">
      <c r="F243" s="11" t="n"/>
      <c r="N243" s="7">
        <f>IF($D243="","",M243*V243/100)</f>
        <v/>
      </c>
      <c r="O243" s="7" t="n"/>
      <c r="U243" s="7" t="n"/>
      <c r="V243" s="7" t="n"/>
      <c r="W243" s="7">
        <f>IF($D243="","",V243*AB243/100)</f>
        <v/>
      </c>
      <c r="X243" s="7">
        <f>IF($D243="","",V243-W243)</f>
        <v/>
      </c>
      <c r="Y243" s="7">
        <f>IF($D243="","",X243-N243)</f>
        <v/>
      </c>
      <c r="AB243">
        <f>IF($D243="","",IF($AN243=1,0,IF($AM243=1,Settings!$C$6,Settings!$C$7))*100)</f>
        <v/>
      </c>
      <c r="AF243" s="7" t="n"/>
      <c r="AI243" s="11" t="n"/>
      <c r="AK243">
        <f>IF($D243="","",IF(COUNTIF($D$2:$D243,$D243)=1,1,0))</f>
        <v/>
      </c>
      <c r="AL243">
        <f>IF($AK243=1,SUMPRODUCT(--($AO$2:$AO$1501&lt;$AO243))+1,"")</f>
        <v/>
      </c>
      <c r="AM243">
        <f>IF($D243="","",IF(OR($R243=TRUE(),$R243="TRUE"),1,0))</f>
        <v/>
      </c>
      <c r="AN243">
        <f>IF($D243="","",IF($AA243="Yes",1,0))</f>
        <v/>
      </c>
      <c r="AO243">
        <f>IF($AK243=1,IFERROR(IF(VALUE($D243)&lt;100000000,VALUE($D243),1000000000),IFERROR(IF(VALUE(MID($D243,2,20))&lt;100000000,VALUE(MID($D243,2,20)),1000000000),1000000000))+ROW()/100000,"")</f>
        <v/>
      </c>
    </row>
    <row r="244">
      <c r="F244" s="11" t="n"/>
      <c r="N244" s="7">
        <f>IF($D244="","",M244*V244/100)</f>
        <v/>
      </c>
      <c r="O244" s="7" t="n"/>
      <c r="U244" s="7" t="n"/>
      <c r="V244" s="7" t="n"/>
      <c r="W244" s="7">
        <f>IF($D244="","",V244*AB244/100)</f>
        <v/>
      </c>
      <c r="X244" s="7">
        <f>IF($D244="","",V244-W244)</f>
        <v/>
      </c>
      <c r="Y244" s="7">
        <f>IF($D244="","",X244-N244)</f>
        <v/>
      </c>
      <c r="AB244">
        <f>IF($D244="","",IF($AN244=1,0,IF($AM244=1,Settings!$C$6,Settings!$C$7))*100)</f>
        <v/>
      </c>
      <c r="AF244" s="7" t="n"/>
      <c r="AI244" s="11" t="n"/>
      <c r="AK244">
        <f>IF($D244="","",IF(COUNTIF($D$2:$D244,$D244)=1,1,0))</f>
        <v/>
      </c>
      <c r="AL244">
        <f>IF($AK244=1,SUMPRODUCT(--($AO$2:$AO$1501&lt;$AO244))+1,"")</f>
        <v/>
      </c>
      <c r="AM244">
        <f>IF($D244="","",IF(OR($R244=TRUE(),$R244="TRUE"),1,0))</f>
        <v/>
      </c>
      <c r="AN244">
        <f>IF($D244="","",IF($AA244="Yes",1,0))</f>
        <v/>
      </c>
      <c r="AO244">
        <f>IF($AK244=1,IFERROR(IF(VALUE($D244)&lt;100000000,VALUE($D244),1000000000),IFERROR(IF(VALUE(MID($D244,2,20))&lt;100000000,VALUE(MID($D244,2,20)),1000000000),1000000000))+ROW()/100000,"")</f>
        <v/>
      </c>
    </row>
    <row r="245">
      <c r="F245" s="11" t="n"/>
      <c r="N245" s="7">
        <f>IF($D245="","",M245*V245/100)</f>
        <v/>
      </c>
      <c r="O245" s="7" t="n"/>
      <c r="U245" s="7" t="n"/>
      <c r="V245" s="7" t="n"/>
      <c r="W245" s="7">
        <f>IF($D245="","",V245*AB245/100)</f>
        <v/>
      </c>
      <c r="X245" s="7">
        <f>IF($D245="","",V245-W245)</f>
        <v/>
      </c>
      <c r="Y245" s="7">
        <f>IF($D245="","",X245-N245)</f>
        <v/>
      </c>
      <c r="AB245">
        <f>IF($D245="","",IF($AN245=1,0,IF($AM245=1,Settings!$C$6,Settings!$C$7))*100)</f>
        <v/>
      </c>
      <c r="AF245" s="7" t="n"/>
      <c r="AI245" s="11" t="n"/>
      <c r="AK245">
        <f>IF($D245="","",IF(COUNTIF($D$2:$D245,$D245)=1,1,0))</f>
        <v/>
      </c>
      <c r="AL245">
        <f>IF($AK245=1,SUMPRODUCT(--($AO$2:$AO$1501&lt;$AO245))+1,"")</f>
        <v/>
      </c>
      <c r="AM245">
        <f>IF($D245="","",IF(OR($R245=TRUE(),$R245="TRUE"),1,0))</f>
        <v/>
      </c>
      <c r="AN245">
        <f>IF($D245="","",IF($AA245="Yes",1,0))</f>
        <v/>
      </c>
      <c r="AO245">
        <f>IF($AK245=1,IFERROR(IF(VALUE($D245)&lt;100000000,VALUE($D245),1000000000),IFERROR(IF(VALUE(MID($D245,2,20))&lt;100000000,VALUE(MID($D245,2,20)),1000000000),1000000000))+ROW()/100000,"")</f>
        <v/>
      </c>
    </row>
    <row r="246">
      <c r="F246" s="11" t="n"/>
      <c r="N246" s="7">
        <f>IF($D246="","",M246*V246/100)</f>
        <v/>
      </c>
      <c r="O246" s="7" t="n"/>
      <c r="U246" s="7" t="n"/>
      <c r="V246" s="7" t="n"/>
      <c r="W246" s="7">
        <f>IF($D246="","",V246*AB246/100)</f>
        <v/>
      </c>
      <c r="X246" s="7">
        <f>IF($D246="","",V246-W246)</f>
        <v/>
      </c>
      <c r="Y246" s="7">
        <f>IF($D246="","",X246-N246)</f>
        <v/>
      </c>
      <c r="AB246">
        <f>IF($D246="","",IF($AN246=1,0,IF($AM246=1,Settings!$C$6,Settings!$C$7))*100)</f>
        <v/>
      </c>
      <c r="AF246" s="7" t="n"/>
      <c r="AI246" s="11" t="n"/>
      <c r="AK246">
        <f>IF($D246="","",IF(COUNTIF($D$2:$D246,$D246)=1,1,0))</f>
        <v/>
      </c>
      <c r="AL246">
        <f>IF($AK246=1,SUMPRODUCT(--($AO$2:$AO$1501&lt;$AO246))+1,"")</f>
        <v/>
      </c>
      <c r="AM246">
        <f>IF($D246="","",IF(OR($R246=TRUE(),$R246="TRUE"),1,0))</f>
        <v/>
      </c>
      <c r="AN246">
        <f>IF($D246="","",IF($AA246="Yes",1,0))</f>
        <v/>
      </c>
      <c r="AO246">
        <f>IF($AK246=1,IFERROR(IF(VALUE($D246)&lt;100000000,VALUE($D246),1000000000),IFERROR(IF(VALUE(MID($D246,2,20))&lt;100000000,VALUE(MID($D246,2,20)),1000000000),1000000000))+ROW()/100000,"")</f>
        <v/>
      </c>
    </row>
    <row r="247">
      <c r="F247" s="11" t="n"/>
      <c r="N247" s="7">
        <f>IF($D247="","",M247*V247/100)</f>
        <v/>
      </c>
      <c r="O247" s="7" t="n"/>
      <c r="U247" s="7" t="n"/>
      <c r="V247" s="7" t="n"/>
      <c r="W247" s="7">
        <f>IF($D247="","",V247*AB247/100)</f>
        <v/>
      </c>
      <c r="X247" s="7">
        <f>IF($D247="","",V247-W247)</f>
        <v/>
      </c>
      <c r="Y247" s="7">
        <f>IF($D247="","",X247-N247)</f>
        <v/>
      </c>
      <c r="AB247">
        <f>IF($D247="","",IF($AN247=1,0,IF($AM247=1,Settings!$C$6,Settings!$C$7))*100)</f>
        <v/>
      </c>
      <c r="AF247" s="7" t="n"/>
      <c r="AI247" s="11" t="n"/>
      <c r="AK247">
        <f>IF($D247="","",IF(COUNTIF($D$2:$D247,$D247)=1,1,0))</f>
        <v/>
      </c>
      <c r="AL247">
        <f>IF($AK247=1,SUMPRODUCT(--($AO$2:$AO$1501&lt;$AO247))+1,"")</f>
        <v/>
      </c>
      <c r="AM247">
        <f>IF($D247="","",IF(OR($R247=TRUE(),$R247="TRUE"),1,0))</f>
        <v/>
      </c>
      <c r="AN247">
        <f>IF($D247="","",IF($AA247="Yes",1,0))</f>
        <v/>
      </c>
      <c r="AO247">
        <f>IF($AK247=1,IFERROR(IF(VALUE($D247)&lt;100000000,VALUE($D247),1000000000),IFERROR(IF(VALUE(MID($D247,2,20))&lt;100000000,VALUE(MID($D247,2,20)),1000000000),1000000000))+ROW()/100000,"")</f>
        <v/>
      </c>
    </row>
    <row r="248">
      <c r="F248" s="11" t="n"/>
      <c r="N248" s="7">
        <f>IF($D248="","",M248*V248/100)</f>
        <v/>
      </c>
      <c r="O248" s="7" t="n"/>
      <c r="U248" s="7" t="n"/>
      <c r="V248" s="7" t="n"/>
      <c r="W248" s="7">
        <f>IF($D248="","",V248*AB248/100)</f>
        <v/>
      </c>
      <c r="X248" s="7">
        <f>IF($D248="","",V248-W248)</f>
        <v/>
      </c>
      <c r="Y248" s="7">
        <f>IF($D248="","",X248-N248)</f>
        <v/>
      </c>
      <c r="AB248">
        <f>IF($D248="","",IF($AN248=1,0,IF($AM248=1,Settings!$C$6,Settings!$C$7))*100)</f>
        <v/>
      </c>
      <c r="AF248" s="7" t="n"/>
      <c r="AI248" s="11" t="n"/>
      <c r="AK248">
        <f>IF($D248="","",IF(COUNTIF($D$2:$D248,$D248)=1,1,0))</f>
        <v/>
      </c>
      <c r="AL248">
        <f>IF($AK248=1,SUMPRODUCT(--($AO$2:$AO$1501&lt;$AO248))+1,"")</f>
        <v/>
      </c>
      <c r="AM248">
        <f>IF($D248="","",IF(OR($R248=TRUE(),$R248="TRUE"),1,0))</f>
        <v/>
      </c>
      <c r="AN248">
        <f>IF($D248="","",IF($AA248="Yes",1,0))</f>
        <v/>
      </c>
      <c r="AO248">
        <f>IF($AK248=1,IFERROR(IF(VALUE($D248)&lt;100000000,VALUE($D248),1000000000),IFERROR(IF(VALUE(MID($D248,2,20))&lt;100000000,VALUE(MID($D248,2,20)),1000000000),1000000000))+ROW()/100000,"")</f>
        <v/>
      </c>
    </row>
    <row r="249">
      <c r="F249" s="11" t="n"/>
      <c r="N249" s="7">
        <f>IF($D249="","",M249*V249/100)</f>
        <v/>
      </c>
      <c r="O249" s="7" t="n"/>
      <c r="U249" s="7" t="n"/>
      <c r="V249" s="7" t="n"/>
      <c r="W249" s="7">
        <f>IF($D249="","",V249*AB249/100)</f>
        <v/>
      </c>
      <c r="X249" s="7">
        <f>IF($D249="","",V249-W249)</f>
        <v/>
      </c>
      <c r="Y249" s="7">
        <f>IF($D249="","",X249-N249)</f>
        <v/>
      </c>
      <c r="AB249">
        <f>IF($D249="","",IF($AN249=1,0,IF($AM249=1,Settings!$C$6,Settings!$C$7))*100)</f>
        <v/>
      </c>
      <c r="AF249" s="7" t="n"/>
      <c r="AI249" s="11" t="n"/>
      <c r="AK249">
        <f>IF($D249="","",IF(COUNTIF($D$2:$D249,$D249)=1,1,0))</f>
        <v/>
      </c>
      <c r="AL249">
        <f>IF($AK249=1,SUMPRODUCT(--($AO$2:$AO$1501&lt;$AO249))+1,"")</f>
        <v/>
      </c>
      <c r="AM249">
        <f>IF($D249="","",IF(OR($R249=TRUE(),$R249="TRUE"),1,0))</f>
        <v/>
      </c>
      <c r="AN249">
        <f>IF($D249="","",IF($AA249="Yes",1,0))</f>
        <v/>
      </c>
      <c r="AO249">
        <f>IF($AK249=1,IFERROR(IF(VALUE($D249)&lt;100000000,VALUE($D249),1000000000),IFERROR(IF(VALUE(MID($D249,2,20))&lt;100000000,VALUE(MID($D249,2,20)),1000000000),1000000000))+ROW()/100000,"")</f>
        <v/>
      </c>
    </row>
    <row r="250">
      <c r="F250" s="11" t="n"/>
      <c r="N250" s="7">
        <f>IF($D250="","",M250*V250/100)</f>
        <v/>
      </c>
      <c r="O250" s="7" t="n"/>
      <c r="U250" s="7" t="n"/>
      <c r="V250" s="7" t="n"/>
      <c r="W250" s="7">
        <f>IF($D250="","",V250*AB250/100)</f>
        <v/>
      </c>
      <c r="X250" s="7">
        <f>IF($D250="","",V250-W250)</f>
        <v/>
      </c>
      <c r="Y250" s="7">
        <f>IF($D250="","",X250-N250)</f>
        <v/>
      </c>
      <c r="AB250">
        <f>IF($D250="","",IF($AN250=1,0,IF($AM250=1,Settings!$C$6,Settings!$C$7))*100)</f>
        <v/>
      </c>
      <c r="AF250" s="7" t="n"/>
      <c r="AI250" s="11" t="n"/>
      <c r="AK250">
        <f>IF($D250="","",IF(COUNTIF($D$2:$D250,$D250)=1,1,0))</f>
        <v/>
      </c>
      <c r="AL250">
        <f>IF($AK250=1,SUMPRODUCT(--($AO$2:$AO$1501&lt;$AO250))+1,"")</f>
        <v/>
      </c>
      <c r="AM250">
        <f>IF($D250="","",IF(OR($R250=TRUE(),$R250="TRUE"),1,0))</f>
        <v/>
      </c>
      <c r="AN250">
        <f>IF($D250="","",IF($AA250="Yes",1,0))</f>
        <v/>
      </c>
      <c r="AO250">
        <f>IF($AK250=1,IFERROR(IF(VALUE($D250)&lt;100000000,VALUE($D250),1000000000),IFERROR(IF(VALUE(MID($D250,2,20))&lt;100000000,VALUE(MID($D250,2,20)),1000000000),1000000000))+ROW()/100000,"")</f>
        <v/>
      </c>
    </row>
    <row r="251">
      <c r="F251" s="11" t="n"/>
      <c r="N251" s="7">
        <f>IF($D251="","",M251*V251/100)</f>
        <v/>
      </c>
      <c r="O251" s="7" t="n"/>
      <c r="U251" s="7" t="n"/>
      <c r="V251" s="7" t="n"/>
      <c r="W251" s="7">
        <f>IF($D251="","",V251*AB251/100)</f>
        <v/>
      </c>
      <c r="X251" s="7">
        <f>IF($D251="","",V251-W251)</f>
        <v/>
      </c>
      <c r="Y251" s="7">
        <f>IF($D251="","",X251-N251)</f>
        <v/>
      </c>
      <c r="AB251">
        <f>IF($D251="","",IF($AN251=1,0,IF($AM251=1,Settings!$C$6,Settings!$C$7))*100)</f>
        <v/>
      </c>
      <c r="AF251" s="7" t="n"/>
      <c r="AI251" s="11" t="n"/>
      <c r="AK251">
        <f>IF($D251="","",IF(COUNTIF($D$2:$D251,$D251)=1,1,0))</f>
        <v/>
      </c>
      <c r="AL251">
        <f>IF($AK251=1,SUMPRODUCT(--($AO$2:$AO$1501&lt;$AO251))+1,"")</f>
        <v/>
      </c>
      <c r="AM251">
        <f>IF($D251="","",IF(OR($R251=TRUE(),$R251="TRUE"),1,0))</f>
        <v/>
      </c>
      <c r="AN251">
        <f>IF($D251="","",IF($AA251="Yes",1,0))</f>
        <v/>
      </c>
      <c r="AO251">
        <f>IF($AK251=1,IFERROR(IF(VALUE($D251)&lt;100000000,VALUE($D251),1000000000),IFERROR(IF(VALUE(MID($D251,2,20))&lt;100000000,VALUE(MID($D251,2,20)),1000000000),1000000000))+ROW()/100000,"")</f>
        <v/>
      </c>
    </row>
    <row r="252">
      <c r="F252" s="11" t="n"/>
      <c r="N252" s="7">
        <f>IF($D252="","",M252*V252/100)</f>
        <v/>
      </c>
      <c r="O252" s="7" t="n"/>
      <c r="U252" s="7" t="n"/>
      <c r="V252" s="7" t="n"/>
      <c r="W252" s="7">
        <f>IF($D252="","",V252*AB252/100)</f>
        <v/>
      </c>
      <c r="X252" s="7">
        <f>IF($D252="","",V252-W252)</f>
        <v/>
      </c>
      <c r="Y252" s="7">
        <f>IF($D252="","",X252-N252)</f>
        <v/>
      </c>
      <c r="AB252">
        <f>IF($D252="","",IF($AN252=1,0,IF($AM252=1,Settings!$C$6,Settings!$C$7))*100)</f>
        <v/>
      </c>
      <c r="AF252" s="7" t="n"/>
      <c r="AI252" s="11" t="n"/>
      <c r="AK252">
        <f>IF($D252="","",IF(COUNTIF($D$2:$D252,$D252)=1,1,0))</f>
        <v/>
      </c>
      <c r="AL252">
        <f>IF($AK252=1,SUMPRODUCT(--($AO$2:$AO$1501&lt;$AO252))+1,"")</f>
        <v/>
      </c>
      <c r="AM252">
        <f>IF($D252="","",IF(OR($R252=TRUE(),$R252="TRUE"),1,0))</f>
        <v/>
      </c>
      <c r="AN252">
        <f>IF($D252="","",IF($AA252="Yes",1,0))</f>
        <v/>
      </c>
      <c r="AO252">
        <f>IF($AK252=1,IFERROR(IF(VALUE($D252)&lt;100000000,VALUE($D252),1000000000),IFERROR(IF(VALUE(MID($D252,2,20))&lt;100000000,VALUE(MID($D252,2,20)),1000000000),1000000000))+ROW()/100000,"")</f>
        <v/>
      </c>
    </row>
    <row r="253">
      <c r="F253" s="11" t="n"/>
      <c r="N253" s="7">
        <f>IF($D253="","",M253*V253/100)</f>
        <v/>
      </c>
      <c r="O253" s="7" t="n"/>
      <c r="U253" s="7" t="n"/>
      <c r="V253" s="7" t="n"/>
      <c r="W253" s="7">
        <f>IF($D253="","",V253*AB253/100)</f>
        <v/>
      </c>
      <c r="X253" s="7">
        <f>IF($D253="","",V253-W253)</f>
        <v/>
      </c>
      <c r="Y253" s="7">
        <f>IF($D253="","",X253-N253)</f>
        <v/>
      </c>
      <c r="AB253">
        <f>IF($D253="","",IF($AN253=1,0,IF($AM253=1,Settings!$C$6,Settings!$C$7))*100)</f>
        <v/>
      </c>
      <c r="AF253" s="7" t="n"/>
      <c r="AI253" s="11" t="n"/>
      <c r="AK253">
        <f>IF($D253="","",IF(COUNTIF($D$2:$D253,$D253)=1,1,0))</f>
        <v/>
      </c>
      <c r="AL253">
        <f>IF($AK253=1,SUMPRODUCT(--($AO$2:$AO$1501&lt;$AO253))+1,"")</f>
        <v/>
      </c>
      <c r="AM253">
        <f>IF($D253="","",IF(OR($R253=TRUE(),$R253="TRUE"),1,0))</f>
        <v/>
      </c>
      <c r="AN253">
        <f>IF($D253="","",IF($AA253="Yes",1,0))</f>
        <v/>
      </c>
      <c r="AO253">
        <f>IF($AK253=1,IFERROR(IF(VALUE($D253)&lt;100000000,VALUE($D253),1000000000),IFERROR(IF(VALUE(MID($D253,2,20))&lt;100000000,VALUE(MID($D253,2,20)),1000000000),1000000000))+ROW()/100000,"")</f>
        <v/>
      </c>
    </row>
    <row r="254">
      <c r="F254" s="11" t="n"/>
      <c r="N254" s="7">
        <f>IF($D254="","",M254*V254/100)</f>
        <v/>
      </c>
      <c r="O254" s="7" t="n"/>
      <c r="U254" s="7" t="n"/>
      <c r="V254" s="7" t="n"/>
      <c r="W254" s="7">
        <f>IF($D254="","",V254*AB254/100)</f>
        <v/>
      </c>
      <c r="X254" s="7">
        <f>IF($D254="","",V254-W254)</f>
        <v/>
      </c>
      <c r="Y254" s="7">
        <f>IF($D254="","",X254-N254)</f>
        <v/>
      </c>
      <c r="AB254">
        <f>IF($D254="","",IF($AN254=1,0,IF($AM254=1,Settings!$C$6,Settings!$C$7))*100)</f>
        <v/>
      </c>
      <c r="AF254" s="7" t="n"/>
      <c r="AI254" s="11" t="n"/>
      <c r="AK254">
        <f>IF($D254="","",IF(COUNTIF($D$2:$D254,$D254)=1,1,0))</f>
        <v/>
      </c>
      <c r="AL254">
        <f>IF($AK254=1,SUMPRODUCT(--($AO$2:$AO$1501&lt;$AO254))+1,"")</f>
        <v/>
      </c>
      <c r="AM254">
        <f>IF($D254="","",IF(OR($R254=TRUE(),$R254="TRUE"),1,0))</f>
        <v/>
      </c>
      <c r="AN254">
        <f>IF($D254="","",IF($AA254="Yes",1,0))</f>
        <v/>
      </c>
      <c r="AO254">
        <f>IF($AK254=1,IFERROR(IF(VALUE($D254)&lt;100000000,VALUE($D254),1000000000),IFERROR(IF(VALUE(MID($D254,2,20))&lt;100000000,VALUE(MID($D254,2,20)),1000000000),1000000000))+ROW()/100000,"")</f>
        <v/>
      </c>
    </row>
    <row r="255">
      <c r="F255" s="11" t="n"/>
      <c r="N255" s="7">
        <f>IF($D255="","",M255*V255/100)</f>
        <v/>
      </c>
      <c r="O255" s="7" t="n"/>
      <c r="U255" s="7" t="n"/>
      <c r="V255" s="7" t="n"/>
      <c r="W255" s="7">
        <f>IF($D255="","",V255*AB255/100)</f>
        <v/>
      </c>
      <c r="X255" s="7">
        <f>IF($D255="","",V255-W255)</f>
        <v/>
      </c>
      <c r="Y255" s="7">
        <f>IF($D255="","",X255-N255)</f>
        <v/>
      </c>
      <c r="AB255">
        <f>IF($D255="","",IF($AN255=1,0,IF($AM255=1,Settings!$C$6,Settings!$C$7))*100)</f>
        <v/>
      </c>
      <c r="AF255" s="7" t="n"/>
      <c r="AI255" s="11" t="n"/>
      <c r="AK255">
        <f>IF($D255="","",IF(COUNTIF($D$2:$D255,$D255)=1,1,0))</f>
        <v/>
      </c>
      <c r="AL255">
        <f>IF($AK255=1,SUMPRODUCT(--($AO$2:$AO$1501&lt;$AO255))+1,"")</f>
        <v/>
      </c>
      <c r="AM255">
        <f>IF($D255="","",IF(OR($R255=TRUE(),$R255="TRUE"),1,0))</f>
        <v/>
      </c>
      <c r="AN255">
        <f>IF($D255="","",IF($AA255="Yes",1,0))</f>
        <v/>
      </c>
      <c r="AO255">
        <f>IF($AK255=1,IFERROR(IF(VALUE($D255)&lt;100000000,VALUE($D255),1000000000),IFERROR(IF(VALUE(MID($D255,2,20))&lt;100000000,VALUE(MID($D255,2,20)),1000000000),1000000000))+ROW()/100000,"")</f>
        <v/>
      </c>
    </row>
    <row r="256">
      <c r="F256" s="11" t="n"/>
      <c r="N256" s="7">
        <f>IF($D256="","",M256*V256/100)</f>
        <v/>
      </c>
      <c r="O256" s="7" t="n"/>
      <c r="U256" s="7" t="n"/>
      <c r="V256" s="7" t="n"/>
      <c r="W256" s="7">
        <f>IF($D256="","",V256*AB256/100)</f>
        <v/>
      </c>
      <c r="X256" s="7">
        <f>IF($D256="","",V256-W256)</f>
        <v/>
      </c>
      <c r="Y256" s="7">
        <f>IF($D256="","",X256-N256)</f>
        <v/>
      </c>
      <c r="AB256">
        <f>IF($D256="","",IF($AN256=1,0,IF($AM256=1,Settings!$C$6,Settings!$C$7))*100)</f>
        <v/>
      </c>
      <c r="AF256" s="7" t="n"/>
      <c r="AI256" s="11" t="n"/>
      <c r="AK256">
        <f>IF($D256="","",IF(COUNTIF($D$2:$D256,$D256)=1,1,0))</f>
        <v/>
      </c>
      <c r="AL256">
        <f>IF($AK256=1,SUMPRODUCT(--($AO$2:$AO$1501&lt;$AO256))+1,"")</f>
        <v/>
      </c>
      <c r="AM256">
        <f>IF($D256="","",IF(OR($R256=TRUE(),$R256="TRUE"),1,0))</f>
        <v/>
      </c>
      <c r="AN256">
        <f>IF($D256="","",IF($AA256="Yes",1,0))</f>
        <v/>
      </c>
      <c r="AO256">
        <f>IF($AK256=1,IFERROR(IF(VALUE($D256)&lt;100000000,VALUE($D256),1000000000),IFERROR(IF(VALUE(MID($D256,2,20))&lt;100000000,VALUE(MID($D256,2,20)),1000000000),1000000000))+ROW()/100000,"")</f>
        <v/>
      </c>
    </row>
    <row r="257">
      <c r="F257" s="11" t="n"/>
      <c r="N257" s="7">
        <f>IF($D257="","",M257*V257/100)</f>
        <v/>
      </c>
      <c r="O257" s="7" t="n"/>
      <c r="U257" s="7" t="n"/>
      <c r="V257" s="7" t="n"/>
      <c r="W257" s="7">
        <f>IF($D257="","",V257*AB257/100)</f>
        <v/>
      </c>
      <c r="X257" s="7">
        <f>IF($D257="","",V257-W257)</f>
        <v/>
      </c>
      <c r="Y257" s="7">
        <f>IF($D257="","",X257-N257)</f>
        <v/>
      </c>
      <c r="AB257">
        <f>IF($D257="","",IF($AN257=1,0,IF($AM257=1,Settings!$C$6,Settings!$C$7))*100)</f>
        <v/>
      </c>
      <c r="AF257" s="7" t="n"/>
      <c r="AI257" s="11" t="n"/>
      <c r="AK257">
        <f>IF($D257="","",IF(COUNTIF($D$2:$D257,$D257)=1,1,0))</f>
        <v/>
      </c>
      <c r="AL257">
        <f>IF($AK257=1,SUMPRODUCT(--($AO$2:$AO$1501&lt;$AO257))+1,"")</f>
        <v/>
      </c>
      <c r="AM257">
        <f>IF($D257="","",IF(OR($R257=TRUE(),$R257="TRUE"),1,0))</f>
        <v/>
      </c>
      <c r="AN257">
        <f>IF($D257="","",IF($AA257="Yes",1,0))</f>
        <v/>
      </c>
      <c r="AO257">
        <f>IF($AK257=1,IFERROR(IF(VALUE($D257)&lt;100000000,VALUE($D257),1000000000),IFERROR(IF(VALUE(MID($D257,2,20))&lt;100000000,VALUE(MID($D257,2,20)),1000000000),1000000000))+ROW()/100000,"")</f>
        <v/>
      </c>
    </row>
    <row r="258">
      <c r="F258" s="11" t="n"/>
      <c r="N258" s="7">
        <f>IF($D258="","",M258*V258/100)</f>
        <v/>
      </c>
      <c r="O258" s="7" t="n"/>
      <c r="U258" s="7" t="n"/>
      <c r="V258" s="7" t="n"/>
      <c r="W258" s="7">
        <f>IF($D258="","",V258*AB258/100)</f>
        <v/>
      </c>
      <c r="X258" s="7">
        <f>IF($D258="","",V258-W258)</f>
        <v/>
      </c>
      <c r="Y258" s="7">
        <f>IF($D258="","",X258-N258)</f>
        <v/>
      </c>
      <c r="AB258">
        <f>IF($D258="","",IF($AN258=1,0,IF($AM258=1,Settings!$C$6,Settings!$C$7))*100)</f>
        <v/>
      </c>
      <c r="AF258" s="7" t="n"/>
      <c r="AI258" s="11" t="n"/>
      <c r="AK258">
        <f>IF($D258="","",IF(COUNTIF($D$2:$D258,$D258)=1,1,0))</f>
        <v/>
      </c>
      <c r="AL258">
        <f>IF($AK258=1,SUMPRODUCT(--($AO$2:$AO$1501&lt;$AO258))+1,"")</f>
        <v/>
      </c>
      <c r="AM258">
        <f>IF($D258="","",IF(OR($R258=TRUE(),$R258="TRUE"),1,0))</f>
        <v/>
      </c>
      <c r="AN258">
        <f>IF($D258="","",IF($AA258="Yes",1,0))</f>
        <v/>
      </c>
      <c r="AO258">
        <f>IF($AK258=1,IFERROR(IF(VALUE($D258)&lt;100000000,VALUE($D258),1000000000),IFERROR(IF(VALUE(MID($D258,2,20))&lt;100000000,VALUE(MID($D258,2,20)),1000000000),1000000000))+ROW()/100000,"")</f>
        <v/>
      </c>
    </row>
    <row r="259">
      <c r="F259" s="11" t="n"/>
      <c r="N259" s="7">
        <f>IF($D259="","",M259*V259/100)</f>
        <v/>
      </c>
      <c r="O259" s="7" t="n"/>
      <c r="U259" s="7" t="n"/>
      <c r="V259" s="7" t="n"/>
      <c r="W259" s="7">
        <f>IF($D259="","",V259*AB259/100)</f>
        <v/>
      </c>
      <c r="X259" s="7">
        <f>IF($D259="","",V259-W259)</f>
        <v/>
      </c>
      <c r="Y259" s="7">
        <f>IF($D259="","",X259-N259)</f>
        <v/>
      </c>
      <c r="AB259">
        <f>IF($D259="","",IF($AN259=1,0,IF($AM259=1,Settings!$C$6,Settings!$C$7))*100)</f>
        <v/>
      </c>
      <c r="AF259" s="7" t="n"/>
      <c r="AI259" s="11" t="n"/>
      <c r="AK259">
        <f>IF($D259="","",IF(COUNTIF($D$2:$D259,$D259)=1,1,0))</f>
        <v/>
      </c>
      <c r="AL259">
        <f>IF($AK259=1,SUMPRODUCT(--($AO$2:$AO$1501&lt;$AO259))+1,"")</f>
        <v/>
      </c>
      <c r="AM259">
        <f>IF($D259="","",IF(OR($R259=TRUE(),$R259="TRUE"),1,0))</f>
        <v/>
      </c>
      <c r="AN259">
        <f>IF($D259="","",IF($AA259="Yes",1,0))</f>
        <v/>
      </c>
      <c r="AO259">
        <f>IF($AK259=1,IFERROR(IF(VALUE($D259)&lt;100000000,VALUE($D259),1000000000),IFERROR(IF(VALUE(MID($D259,2,20))&lt;100000000,VALUE(MID($D259,2,20)),1000000000),1000000000))+ROW()/100000,"")</f>
        <v/>
      </c>
    </row>
    <row r="260">
      <c r="F260" s="11" t="n"/>
      <c r="N260" s="7">
        <f>IF($D260="","",M260*V260/100)</f>
        <v/>
      </c>
      <c r="O260" s="7" t="n"/>
      <c r="U260" s="7" t="n"/>
      <c r="V260" s="7" t="n"/>
      <c r="W260" s="7">
        <f>IF($D260="","",V260*AB260/100)</f>
        <v/>
      </c>
      <c r="X260" s="7">
        <f>IF($D260="","",V260-W260)</f>
        <v/>
      </c>
      <c r="Y260" s="7">
        <f>IF($D260="","",X260-N260)</f>
        <v/>
      </c>
      <c r="AB260">
        <f>IF($D260="","",IF($AN260=1,0,IF($AM260=1,Settings!$C$6,Settings!$C$7))*100)</f>
        <v/>
      </c>
      <c r="AF260" s="7" t="n"/>
      <c r="AI260" s="11" t="n"/>
      <c r="AK260">
        <f>IF($D260="","",IF(COUNTIF($D$2:$D260,$D260)=1,1,0))</f>
        <v/>
      </c>
      <c r="AL260">
        <f>IF($AK260=1,SUMPRODUCT(--($AO$2:$AO$1501&lt;$AO260))+1,"")</f>
        <v/>
      </c>
      <c r="AM260">
        <f>IF($D260="","",IF(OR($R260=TRUE(),$R260="TRUE"),1,0))</f>
        <v/>
      </c>
      <c r="AN260">
        <f>IF($D260="","",IF($AA260="Yes",1,0))</f>
        <v/>
      </c>
      <c r="AO260">
        <f>IF($AK260=1,IFERROR(IF(VALUE($D260)&lt;100000000,VALUE($D260),1000000000),IFERROR(IF(VALUE(MID($D260,2,20))&lt;100000000,VALUE(MID($D260,2,20)),1000000000),1000000000))+ROW()/100000,"")</f>
        <v/>
      </c>
    </row>
    <row r="261">
      <c r="F261" s="11" t="n"/>
      <c r="N261" s="7">
        <f>IF($D261="","",M261*V261/100)</f>
        <v/>
      </c>
      <c r="O261" s="7" t="n"/>
      <c r="U261" s="7" t="n"/>
      <c r="V261" s="7" t="n"/>
      <c r="W261" s="7">
        <f>IF($D261="","",V261*AB261/100)</f>
        <v/>
      </c>
      <c r="X261" s="7">
        <f>IF($D261="","",V261-W261)</f>
        <v/>
      </c>
      <c r="Y261" s="7">
        <f>IF($D261="","",X261-N261)</f>
        <v/>
      </c>
      <c r="AB261">
        <f>IF($D261="","",IF($AN261=1,0,IF($AM261=1,Settings!$C$6,Settings!$C$7))*100)</f>
        <v/>
      </c>
      <c r="AF261" s="7" t="n"/>
      <c r="AI261" s="11" t="n"/>
      <c r="AK261">
        <f>IF($D261="","",IF(COUNTIF($D$2:$D261,$D261)=1,1,0))</f>
        <v/>
      </c>
      <c r="AL261">
        <f>IF($AK261=1,SUMPRODUCT(--($AO$2:$AO$1501&lt;$AO261))+1,"")</f>
        <v/>
      </c>
      <c r="AM261">
        <f>IF($D261="","",IF(OR($R261=TRUE(),$R261="TRUE"),1,0))</f>
        <v/>
      </c>
      <c r="AN261">
        <f>IF($D261="","",IF($AA261="Yes",1,0))</f>
        <v/>
      </c>
      <c r="AO261">
        <f>IF($AK261=1,IFERROR(IF(VALUE($D261)&lt;100000000,VALUE($D261),1000000000),IFERROR(IF(VALUE(MID($D261,2,20))&lt;100000000,VALUE(MID($D261,2,20)),1000000000),1000000000))+ROW()/100000,"")</f>
        <v/>
      </c>
    </row>
    <row r="262">
      <c r="F262" s="11" t="n"/>
      <c r="N262" s="7">
        <f>IF($D262="","",M262*V262/100)</f>
        <v/>
      </c>
      <c r="O262" s="7" t="n"/>
      <c r="U262" s="7" t="n"/>
      <c r="V262" s="7" t="n"/>
      <c r="W262" s="7">
        <f>IF($D262="","",V262*AB262/100)</f>
        <v/>
      </c>
      <c r="X262" s="7">
        <f>IF($D262="","",V262-W262)</f>
        <v/>
      </c>
      <c r="Y262" s="7">
        <f>IF($D262="","",X262-N262)</f>
        <v/>
      </c>
      <c r="AB262">
        <f>IF($D262="","",IF($AN262=1,0,IF($AM262=1,Settings!$C$6,Settings!$C$7))*100)</f>
        <v/>
      </c>
      <c r="AF262" s="7" t="n"/>
      <c r="AI262" s="11" t="n"/>
      <c r="AK262">
        <f>IF($D262="","",IF(COUNTIF($D$2:$D262,$D262)=1,1,0))</f>
        <v/>
      </c>
      <c r="AL262">
        <f>IF($AK262=1,SUMPRODUCT(--($AO$2:$AO$1501&lt;$AO262))+1,"")</f>
        <v/>
      </c>
      <c r="AM262">
        <f>IF($D262="","",IF(OR($R262=TRUE(),$R262="TRUE"),1,0))</f>
        <v/>
      </c>
      <c r="AN262">
        <f>IF($D262="","",IF($AA262="Yes",1,0))</f>
        <v/>
      </c>
      <c r="AO262">
        <f>IF($AK262=1,IFERROR(IF(VALUE($D262)&lt;100000000,VALUE($D262),1000000000),IFERROR(IF(VALUE(MID($D262,2,20))&lt;100000000,VALUE(MID($D262,2,20)),1000000000),1000000000))+ROW()/100000,"")</f>
        <v/>
      </c>
    </row>
    <row r="263">
      <c r="F263" s="11" t="n"/>
      <c r="N263" s="7">
        <f>IF($D263="","",M263*V263/100)</f>
        <v/>
      </c>
      <c r="O263" s="7" t="n"/>
      <c r="U263" s="7" t="n"/>
      <c r="V263" s="7" t="n"/>
      <c r="W263" s="7">
        <f>IF($D263="","",V263*AB263/100)</f>
        <v/>
      </c>
      <c r="X263" s="7">
        <f>IF($D263="","",V263-W263)</f>
        <v/>
      </c>
      <c r="Y263" s="7">
        <f>IF($D263="","",X263-N263)</f>
        <v/>
      </c>
      <c r="AB263">
        <f>IF($D263="","",IF($AN263=1,0,IF($AM263=1,Settings!$C$6,Settings!$C$7))*100)</f>
        <v/>
      </c>
      <c r="AF263" s="7" t="n"/>
      <c r="AI263" s="11" t="n"/>
      <c r="AK263">
        <f>IF($D263="","",IF(COUNTIF($D$2:$D263,$D263)=1,1,0))</f>
        <v/>
      </c>
      <c r="AL263">
        <f>IF($AK263=1,SUMPRODUCT(--($AO$2:$AO$1501&lt;$AO263))+1,"")</f>
        <v/>
      </c>
      <c r="AM263">
        <f>IF($D263="","",IF(OR($R263=TRUE(),$R263="TRUE"),1,0))</f>
        <v/>
      </c>
      <c r="AN263">
        <f>IF($D263="","",IF($AA263="Yes",1,0))</f>
        <v/>
      </c>
      <c r="AO263">
        <f>IF($AK263=1,IFERROR(IF(VALUE($D263)&lt;100000000,VALUE($D263),1000000000),IFERROR(IF(VALUE(MID($D263,2,20))&lt;100000000,VALUE(MID($D263,2,20)),1000000000),1000000000))+ROW()/100000,"")</f>
        <v/>
      </c>
    </row>
    <row r="264">
      <c r="F264" s="11" t="n"/>
      <c r="N264" s="7">
        <f>IF($D264="","",M264*V264/100)</f>
        <v/>
      </c>
      <c r="O264" s="7" t="n"/>
      <c r="U264" s="7" t="n"/>
      <c r="V264" s="7" t="n"/>
      <c r="W264" s="7">
        <f>IF($D264="","",V264*AB264/100)</f>
        <v/>
      </c>
      <c r="X264" s="7">
        <f>IF($D264="","",V264-W264)</f>
        <v/>
      </c>
      <c r="Y264" s="7">
        <f>IF($D264="","",X264-N264)</f>
        <v/>
      </c>
      <c r="AB264">
        <f>IF($D264="","",IF($AN264=1,0,IF($AM264=1,Settings!$C$6,Settings!$C$7))*100)</f>
        <v/>
      </c>
      <c r="AF264" s="7" t="n"/>
      <c r="AI264" s="11" t="n"/>
      <c r="AK264">
        <f>IF($D264="","",IF(COUNTIF($D$2:$D264,$D264)=1,1,0))</f>
        <v/>
      </c>
      <c r="AL264">
        <f>IF($AK264=1,SUMPRODUCT(--($AO$2:$AO$1501&lt;$AO264))+1,"")</f>
        <v/>
      </c>
      <c r="AM264">
        <f>IF($D264="","",IF(OR($R264=TRUE(),$R264="TRUE"),1,0))</f>
        <v/>
      </c>
      <c r="AN264">
        <f>IF($D264="","",IF($AA264="Yes",1,0))</f>
        <v/>
      </c>
      <c r="AO264">
        <f>IF($AK264=1,IFERROR(IF(VALUE($D264)&lt;100000000,VALUE($D264),1000000000),IFERROR(IF(VALUE(MID($D264,2,20))&lt;100000000,VALUE(MID($D264,2,20)),1000000000),1000000000))+ROW()/100000,"")</f>
        <v/>
      </c>
    </row>
    <row r="265">
      <c r="F265" s="11" t="n"/>
      <c r="N265" s="7">
        <f>IF($D265="","",M265*V265/100)</f>
        <v/>
      </c>
      <c r="O265" s="7" t="n"/>
      <c r="U265" s="7" t="n"/>
      <c r="V265" s="7" t="n"/>
      <c r="W265" s="7">
        <f>IF($D265="","",V265*AB265/100)</f>
        <v/>
      </c>
      <c r="X265" s="7">
        <f>IF($D265="","",V265-W265)</f>
        <v/>
      </c>
      <c r="Y265" s="7">
        <f>IF($D265="","",X265-N265)</f>
        <v/>
      </c>
      <c r="AB265">
        <f>IF($D265="","",IF($AN265=1,0,IF($AM265=1,Settings!$C$6,Settings!$C$7))*100)</f>
        <v/>
      </c>
      <c r="AF265" s="7" t="n"/>
      <c r="AI265" s="11" t="n"/>
      <c r="AK265">
        <f>IF($D265="","",IF(COUNTIF($D$2:$D265,$D265)=1,1,0))</f>
        <v/>
      </c>
      <c r="AL265">
        <f>IF($AK265=1,SUMPRODUCT(--($AO$2:$AO$1501&lt;$AO265))+1,"")</f>
        <v/>
      </c>
      <c r="AM265">
        <f>IF($D265="","",IF(OR($R265=TRUE(),$R265="TRUE"),1,0))</f>
        <v/>
      </c>
      <c r="AN265">
        <f>IF($D265="","",IF($AA265="Yes",1,0))</f>
        <v/>
      </c>
      <c r="AO265">
        <f>IF($AK265=1,IFERROR(IF(VALUE($D265)&lt;100000000,VALUE($D265),1000000000),IFERROR(IF(VALUE(MID($D265,2,20))&lt;100000000,VALUE(MID($D265,2,20)),1000000000),1000000000))+ROW()/100000,"")</f>
        <v/>
      </c>
    </row>
    <row r="266">
      <c r="F266" s="11" t="n"/>
      <c r="N266" s="7">
        <f>IF($D266="","",M266*V266/100)</f>
        <v/>
      </c>
      <c r="O266" s="7" t="n"/>
      <c r="U266" s="7" t="n"/>
      <c r="V266" s="7" t="n"/>
      <c r="W266" s="7">
        <f>IF($D266="","",V266*AB266/100)</f>
        <v/>
      </c>
      <c r="X266" s="7">
        <f>IF($D266="","",V266-W266)</f>
        <v/>
      </c>
      <c r="Y266" s="7">
        <f>IF($D266="","",X266-N266)</f>
        <v/>
      </c>
      <c r="AB266">
        <f>IF($D266="","",IF($AN266=1,0,IF($AM266=1,Settings!$C$6,Settings!$C$7))*100)</f>
        <v/>
      </c>
      <c r="AF266" s="7" t="n"/>
      <c r="AI266" s="11" t="n"/>
      <c r="AK266">
        <f>IF($D266="","",IF(COUNTIF($D$2:$D266,$D266)=1,1,0))</f>
        <v/>
      </c>
      <c r="AL266">
        <f>IF($AK266=1,SUMPRODUCT(--($AO$2:$AO$1501&lt;$AO266))+1,"")</f>
        <v/>
      </c>
      <c r="AM266">
        <f>IF($D266="","",IF(OR($R266=TRUE(),$R266="TRUE"),1,0))</f>
        <v/>
      </c>
      <c r="AN266">
        <f>IF($D266="","",IF($AA266="Yes",1,0))</f>
        <v/>
      </c>
      <c r="AO266">
        <f>IF($AK266=1,IFERROR(IF(VALUE($D266)&lt;100000000,VALUE($D266),1000000000),IFERROR(IF(VALUE(MID($D266,2,20))&lt;100000000,VALUE(MID($D266,2,20)),1000000000),1000000000))+ROW()/100000,"")</f>
        <v/>
      </c>
    </row>
    <row r="267">
      <c r="F267" s="11" t="n"/>
      <c r="N267" s="7">
        <f>IF($D267="","",M267*V267/100)</f>
        <v/>
      </c>
      <c r="O267" s="7" t="n"/>
      <c r="U267" s="7" t="n"/>
      <c r="V267" s="7" t="n"/>
      <c r="W267" s="7">
        <f>IF($D267="","",V267*AB267/100)</f>
        <v/>
      </c>
      <c r="X267" s="7">
        <f>IF($D267="","",V267-W267)</f>
        <v/>
      </c>
      <c r="Y267" s="7">
        <f>IF($D267="","",X267-N267)</f>
        <v/>
      </c>
      <c r="AB267">
        <f>IF($D267="","",IF($AN267=1,0,IF($AM267=1,Settings!$C$6,Settings!$C$7))*100)</f>
        <v/>
      </c>
      <c r="AF267" s="7" t="n"/>
      <c r="AI267" s="11" t="n"/>
      <c r="AK267">
        <f>IF($D267="","",IF(COUNTIF($D$2:$D267,$D267)=1,1,0))</f>
        <v/>
      </c>
      <c r="AL267">
        <f>IF($AK267=1,SUMPRODUCT(--($AO$2:$AO$1501&lt;$AO267))+1,"")</f>
        <v/>
      </c>
      <c r="AM267">
        <f>IF($D267="","",IF(OR($R267=TRUE(),$R267="TRUE"),1,0))</f>
        <v/>
      </c>
      <c r="AN267">
        <f>IF($D267="","",IF($AA267="Yes",1,0))</f>
        <v/>
      </c>
      <c r="AO267">
        <f>IF($AK267=1,IFERROR(IF(VALUE($D267)&lt;100000000,VALUE($D267),1000000000),IFERROR(IF(VALUE(MID($D267,2,20))&lt;100000000,VALUE(MID($D267,2,20)),1000000000),1000000000))+ROW()/100000,"")</f>
        <v/>
      </c>
    </row>
    <row r="268">
      <c r="F268" s="11" t="n"/>
      <c r="N268" s="7">
        <f>IF($D268="","",M268*V268/100)</f>
        <v/>
      </c>
      <c r="O268" s="7" t="n"/>
      <c r="U268" s="7" t="n"/>
      <c r="V268" s="7" t="n"/>
      <c r="W268" s="7">
        <f>IF($D268="","",V268*AB268/100)</f>
        <v/>
      </c>
      <c r="X268" s="7">
        <f>IF($D268="","",V268-W268)</f>
        <v/>
      </c>
      <c r="Y268" s="7">
        <f>IF($D268="","",X268-N268)</f>
        <v/>
      </c>
      <c r="AB268">
        <f>IF($D268="","",IF($AN268=1,0,IF($AM268=1,Settings!$C$6,Settings!$C$7))*100)</f>
        <v/>
      </c>
      <c r="AF268" s="7" t="n"/>
      <c r="AI268" s="11" t="n"/>
      <c r="AK268">
        <f>IF($D268="","",IF(COUNTIF($D$2:$D268,$D268)=1,1,0))</f>
        <v/>
      </c>
      <c r="AL268">
        <f>IF($AK268=1,SUMPRODUCT(--($AO$2:$AO$1501&lt;$AO268))+1,"")</f>
        <v/>
      </c>
      <c r="AM268">
        <f>IF($D268="","",IF(OR($R268=TRUE(),$R268="TRUE"),1,0))</f>
        <v/>
      </c>
      <c r="AN268">
        <f>IF($D268="","",IF($AA268="Yes",1,0))</f>
        <v/>
      </c>
      <c r="AO268">
        <f>IF($AK268=1,IFERROR(IF(VALUE($D268)&lt;100000000,VALUE($D268),1000000000),IFERROR(IF(VALUE(MID($D268,2,20))&lt;100000000,VALUE(MID($D268,2,20)),1000000000),1000000000))+ROW()/100000,"")</f>
        <v/>
      </c>
    </row>
    <row r="269">
      <c r="F269" s="11" t="n"/>
      <c r="N269" s="7">
        <f>IF($D269="","",M269*V269/100)</f>
        <v/>
      </c>
      <c r="O269" s="7" t="n"/>
      <c r="U269" s="7" t="n"/>
      <c r="V269" s="7" t="n"/>
      <c r="W269" s="7">
        <f>IF($D269="","",V269*AB269/100)</f>
        <v/>
      </c>
      <c r="X269" s="7">
        <f>IF($D269="","",V269-W269)</f>
        <v/>
      </c>
      <c r="Y269" s="7">
        <f>IF($D269="","",X269-N269)</f>
        <v/>
      </c>
      <c r="AB269">
        <f>IF($D269="","",IF($AN269=1,0,IF($AM269=1,Settings!$C$6,Settings!$C$7))*100)</f>
        <v/>
      </c>
      <c r="AF269" s="7" t="n"/>
      <c r="AI269" s="11" t="n"/>
      <c r="AK269">
        <f>IF($D269="","",IF(COUNTIF($D$2:$D269,$D269)=1,1,0))</f>
        <v/>
      </c>
      <c r="AL269">
        <f>IF($AK269=1,SUMPRODUCT(--($AO$2:$AO$1501&lt;$AO269))+1,"")</f>
        <v/>
      </c>
      <c r="AM269">
        <f>IF($D269="","",IF(OR($R269=TRUE(),$R269="TRUE"),1,0))</f>
        <v/>
      </c>
      <c r="AN269">
        <f>IF($D269="","",IF($AA269="Yes",1,0))</f>
        <v/>
      </c>
      <c r="AO269">
        <f>IF($AK269=1,IFERROR(IF(VALUE($D269)&lt;100000000,VALUE($D269),1000000000),IFERROR(IF(VALUE(MID($D269,2,20))&lt;100000000,VALUE(MID($D269,2,20)),1000000000),1000000000))+ROW()/100000,"")</f>
        <v/>
      </c>
    </row>
    <row r="270">
      <c r="F270" s="11" t="n"/>
      <c r="N270" s="7">
        <f>IF($D270="","",M270*V270/100)</f>
        <v/>
      </c>
      <c r="O270" s="7" t="n"/>
      <c r="U270" s="7" t="n"/>
      <c r="V270" s="7" t="n"/>
      <c r="W270" s="7">
        <f>IF($D270="","",V270*AB270/100)</f>
        <v/>
      </c>
      <c r="X270" s="7">
        <f>IF($D270="","",V270-W270)</f>
        <v/>
      </c>
      <c r="Y270" s="7">
        <f>IF($D270="","",X270-N270)</f>
        <v/>
      </c>
      <c r="AB270">
        <f>IF($D270="","",IF($AN270=1,0,IF($AM270=1,Settings!$C$6,Settings!$C$7))*100)</f>
        <v/>
      </c>
      <c r="AF270" s="7" t="n"/>
      <c r="AI270" s="11" t="n"/>
      <c r="AK270">
        <f>IF($D270="","",IF(COUNTIF($D$2:$D270,$D270)=1,1,0))</f>
        <v/>
      </c>
      <c r="AL270">
        <f>IF($AK270=1,SUMPRODUCT(--($AO$2:$AO$1501&lt;$AO270))+1,"")</f>
        <v/>
      </c>
      <c r="AM270">
        <f>IF($D270="","",IF(OR($R270=TRUE(),$R270="TRUE"),1,0))</f>
        <v/>
      </c>
      <c r="AN270">
        <f>IF($D270="","",IF($AA270="Yes",1,0))</f>
        <v/>
      </c>
      <c r="AO270">
        <f>IF($AK270=1,IFERROR(IF(VALUE($D270)&lt;100000000,VALUE($D270),1000000000),IFERROR(IF(VALUE(MID($D270,2,20))&lt;100000000,VALUE(MID($D270,2,20)),1000000000),1000000000))+ROW()/100000,"")</f>
        <v/>
      </c>
    </row>
    <row r="271">
      <c r="F271" s="11" t="n"/>
      <c r="N271" s="7">
        <f>IF($D271="","",M271*V271/100)</f>
        <v/>
      </c>
      <c r="O271" s="7" t="n"/>
      <c r="U271" s="7" t="n"/>
      <c r="V271" s="7" t="n"/>
      <c r="W271" s="7">
        <f>IF($D271="","",V271*AB271/100)</f>
        <v/>
      </c>
      <c r="X271" s="7">
        <f>IF($D271="","",V271-W271)</f>
        <v/>
      </c>
      <c r="Y271" s="7">
        <f>IF($D271="","",X271-N271)</f>
        <v/>
      </c>
      <c r="AB271">
        <f>IF($D271="","",IF($AN271=1,0,IF($AM271=1,Settings!$C$6,Settings!$C$7))*100)</f>
        <v/>
      </c>
      <c r="AF271" s="7" t="n"/>
      <c r="AI271" s="11" t="n"/>
      <c r="AK271">
        <f>IF($D271="","",IF(COUNTIF($D$2:$D271,$D271)=1,1,0))</f>
        <v/>
      </c>
      <c r="AL271">
        <f>IF($AK271=1,SUMPRODUCT(--($AO$2:$AO$1501&lt;$AO271))+1,"")</f>
        <v/>
      </c>
      <c r="AM271">
        <f>IF($D271="","",IF(OR($R271=TRUE(),$R271="TRUE"),1,0))</f>
        <v/>
      </c>
      <c r="AN271">
        <f>IF($D271="","",IF($AA271="Yes",1,0))</f>
        <v/>
      </c>
      <c r="AO271">
        <f>IF($AK271=1,IFERROR(IF(VALUE($D271)&lt;100000000,VALUE($D271),1000000000),IFERROR(IF(VALUE(MID($D271,2,20))&lt;100000000,VALUE(MID($D271,2,20)),1000000000),1000000000))+ROW()/100000,"")</f>
        <v/>
      </c>
    </row>
    <row r="272">
      <c r="F272" s="11" t="n"/>
      <c r="N272" s="7">
        <f>IF($D272="","",M272*V272/100)</f>
        <v/>
      </c>
      <c r="O272" s="7" t="n"/>
      <c r="U272" s="7" t="n"/>
      <c r="V272" s="7" t="n"/>
      <c r="W272" s="7">
        <f>IF($D272="","",V272*AB272/100)</f>
        <v/>
      </c>
      <c r="X272" s="7">
        <f>IF($D272="","",V272-W272)</f>
        <v/>
      </c>
      <c r="Y272" s="7">
        <f>IF($D272="","",X272-N272)</f>
        <v/>
      </c>
      <c r="AB272">
        <f>IF($D272="","",IF($AN272=1,0,IF($AM272=1,Settings!$C$6,Settings!$C$7))*100)</f>
        <v/>
      </c>
      <c r="AF272" s="7" t="n"/>
      <c r="AI272" s="11" t="n"/>
      <c r="AK272">
        <f>IF($D272="","",IF(COUNTIF($D$2:$D272,$D272)=1,1,0))</f>
        <v/>
      </c>
      <c r="AL272">
        <f>IF($AK272=1,SUMPRODUCT(--($AO$2:$AO$1501&lt;$AO272))+1,"")</f>
        <v/>
      </c>
      <c r="AM272">
        <f>IF($D272="","",IF(OR($R272=TRUE(),$R272="TRUE"),1,0))</f>
        <v/>
      </c>
      <c r="AN272">
        <f>IF($D272="","",IF($AA272="Yes",1,0))</f>
        <v/>
      </c>
      <c r="AO272">
        <f>IF($AK272=1,IFERROR(IF(VALUE($D272)&lt;100000000,VALUE($D272),1000000000),IFERROR(IF(VALUE(MID($D272,2,20))&lt;100000000,VALUE(MID($D272,2,20)),1000000000),1000000000))+ROW()/100000,"")</f>
        <v/>
      </c>
    </row>
    <row r="273">
      <c r="F273" s="11" t="n"/>
      <c r="N273" s="7">
        <f>IF($D273="","",M273*V273/100)</f>
        <v/>
      </c>
      <c r="O273" s="7" t="n"/>
      <c r="U273" s="7" t="n"/>
      <c r="V273" s="7" t="n"/>
      <c r="W273" s="7">
        <f>IF($D273="","",V273*AB273/100)</f>
        <v/>
      </c>
      <c r="X273" s="7">
        <f>IF($D273="","",V273-W273)</f>
        <v/>
      </c>
      <c r="Y273" s="7">
        <f>IF($D273="","",X273-N273)</f>
        <v/>
      </c>
      <c r="AB273">
        <f>IF($D273="","",IF($AN273=1,0,IF($AM273=1,Settings!$C$6,Settings!$C$7))*100)</f>
        <v/>
      </c>
      <c r="AF273" s="7" t="n"/>
      <c r="AI273" s="11" t="n"/>
      <c r="AK273">
        <f>IF($D273="","",IF(COUNTIF($D$2:$D273,$D273)=1,1,0))</f>
        <v/>
      </c>
      <c r="AL273">
        <f>IF($AK273=1,SUMPRODUCT(--($AO$2:$AO$1501&lt;$AO273))+1,"")</f>
        <v/>
      </c>
      <c r="AM273">
        <f>IF($D273="","",IF(OR($R273=TRUE(),$R273="TRUE"),1,0))</f>
        <v/>
      </c>
      <c r="AN273">
        <f>IF($D273="","",IF($AA273="Yes",1,0))</f>
        <v/>
      </c>
      <c r="AO273">
        <f>IF($AK273=1,IFERROR(IF(VALUE($D273)&lt;100000000,VALUE($D273),1000000000),IFERROR(IF(VALUE(MID($D273,2,20))&lt;100000000,VALUE(MID($D273,2,20)),1000000000),1000000000))+ROW()/100000,"")</f>
        <v/>
      </c>
    </row>
    <row r="274">
      <c r="F274" s="11" t="n"/>
      <c r="N274" s="7">
        <f>IF($D274="","",M274*V274/100)</f>
        <v/>
      </c>
      <c r="O274" s="7" t="n"/>
      <c r="U274" s="7" t="n"/>
      <c r="V274" s="7" t="n"/>
      <c r="W274" s="7">
        <f>IF($D274="","",V274*AB274/100)</f>
        <v/>
      </c>
      <c r="X274" s="7">
        <f>IF($D274="","",V274-W274)</f>
        <v/>
      </c>
      <c r="Y274" s="7">
        <f>IF($D274="","",X274-N274)</f>
        <v/>
      </c>
      <c r="AB274">
        <f>IF($D274="","",IF($AN274=1,0,IF($AM274=1,Settings!$C$6,Settings!$C$7))*100)</f>
        <v/>
      </c>
      <c r="AF274" s="7" t="n"/>
      <c r="AI274" s="11" t="n"/>
      <c r="AK274">
        <f>IF($D274="","",IF(COUNTIF($D$2:$D274,$D274)=1,1,0))</f>
        <v/>
      </c>
      <c r="AL274">
        <f>IF($AK274=1,SUMPRODUCT(--($AO$2:$AO$1501&lt;$AO274))+1,"")</f>
        <v/>
      </c>
      <c r="AM274">
        <f>IF($D274="","",IF(OR($R274=TRUE(),$R274="TRUE"),1,0))</f>
        <v/>
      </c>
      <c r="AN274">
        <f>IF($D274="","",IF($AA274="Yes",1,0))</f>
        <v/>
      </c>
      <c r="AO274">
        <f>IF($AK274=1,IFERROR(IF(VALUE($D274)&lt;100000000,VALUE($D274),1000000000),IFERROR(IF(VALUE(MID($D274,2,20))&lt;100000000,VALUE(MID($D274,2,20)),1000000000),1000000000))+ROW()/100000,"")</f>
        <v/>
      </c>
    </row>
    <row r="275">
      <c r="F275" s="11" t="n"/>
      <c r="N275" s="7">
        <f>IF($D275="","",M275*V275/100)</f>
        <v/>
      </c>
      <c r="O275" s="7" t="n"/>
      <c r="U275" s="7" t="n"/>
      <c r="V275" s="7" t="n"/>
      <c r="W275" s="7">
        <f>IF($D275="","",V275*AB275/100)</f>
        <v/>
      </c>
      <c r="X275" s="7">
        <f>IF($D275="","",V275-W275)</f>
        <v/>
      </c>
      <c r="Y275" s="7">
        <f>IF($D275="","",X275-N275)</f>
        <v/>
      </c>
      <c r="AB275">
        <f>IF($D275="","",IF($AN275=1,0,IF($AM275=1,Settings!$C$6,Settings!$C$7))*100)</f>
        <v/>
      </c>
      <c r="AF275" s="7" t="n"/>
      <c r="AI275" s="11" t="n"/>
      <c r="AK275">
        <f>IF($D275="","",IF(COUNTIF($D$2:$D275,$D275)=1,1,0))</f>
        <v/>
      </c>
      <c r="AL275">
        <f>IF($AK275=1,SUMPRODUCT(--($AO$2:$AO$1501&lt;$AO275))+1,"")</f>
        <v/>
      </c>
      <c r="AM275">
        <f>IF($D275="","",IF(OR($R275=TRUE(),$R275="TRUE"),1,0))</f>
        <v/>
      </c>
      <c r="AN275">
        <f>IF($D275="","",IF($AA275="Yes",1,0))</f>
        <v/>
      </c>
      <c r="AO275">
        <f>IF($AK275=1,IFERROR(IF(VALUE($D275)&lt;100000000,VALUE($D275),1000000000),IFERROR(IF(VALUE(MID($D275,2,20))&lt;100000000,VALUE(MID($D275,2,20)),1000000000),1000000000))+ROW()/100000,"")</f>
        <v/>
      </c>
    </row>
    <row r="276">
      <c r="F276" s="11" t="n"/>
      <c r="N276" s="7">
        <f>IF($D276="","",M276*V276/100)</f>
        <v/>
      </c>
      <c r="O276" s="7" t="n"/>
      <c r="U276" s="7" t="n"/>
      <c r="V276" s="7" t="n"/>
      <c r="W276" s="7">
        <f>IF($D276="","",V276*AB276/100)</f>
        <v/>
      </c>
      <c r="X276" s="7">
        <f>IF($D276="","",V276-W276)</f>
        <v/>
      </c>
      <c r="Y276" s="7">
        <f>IF($D276="","",X276-N276)</f>
        <v/>
      </c>
      <c r="AB276">
        <f>IF($D276="","",IF($AN276=1,0,IF($AM276=1,Settings!$C$6,Settings!$C$7))*100)</f>
        <v/>
      </c>
      <c r="AF276" s="7" t="n"/>
      <c r="AI276" s="11" t="n"/>
      <c r="AK276">
        <f>IF($D276="","",IF(COUNTIF($D$2:$D276,$D276)=1,1,0))</f>
        <v/>
      </c>
      <c r="AL276">
        <f>IF($AK276=1,SUMPRODUCT(--($AO$2:$AO$1501&lt;$AO276))+1,"")</f>
        <v/>
      </c>
      <c r="AM276">
        <f>IF($D276="","",IF(OR($R276=TRUE(),$R276="TRUE"),1,0))</f>
        <v/>
      </c>
      <c r="AN276">
        <f>IF($D276="","",IF($AA276="Yes",1,0))</f>
        <v/>
      </c>
      <c r="AO276">
        <f>IF($AK276=1,IFERROR(IF(VALUE($D276)&lt;100000000,VALUE($D276),1000000000),IFERROR(IF(VALUE(MID($D276,2,20))&lt;100000000,VALUE(MID($D276,2,20)),1000000000),1000000000))+ROW()/100000,"")</f>
        <v/>
      </c>
    </row>
    <row r="277">
      <c r="F277" s="11" t="n"/>
      <c r="N277" s="7">
        <f>IF($D277="","",M277*V277/100)</f>
        <v/>
      </c>
      <c r="O277" s="7" t="n"/>
      <c r="U277" s="7" t="n"/>
      <c r="V277" s="7" t="n"/>
      <c r="W277" s="7">
        <f>IF($D277="","",V277*AB277/100)</f>
        <v/>
      </c>
      <c r="X277" s="7">
        <f>IF($D277="","",V277-W277)</f>
        <v/>
      </c>
      <c r="Y277" s="7">
        <f>IF($D277="","",X277-N277)</f>
        <v/>
      </c>
      <c r="AB277">
        <f>IF($D277="","",IF($AN277=1,0,IF($AM277=1,Settings!$C$6,Settings!$C$7))*100)</f>
        <v/>
      </c>
      <c r="AF277" s="7" t="n"/>
      <c r="AI277" s="11" t="n"/>
      <c r="AK277">
        <f>IF($D277="","",IF(COUNTIF($D$2:$D277,$D277)=1,1,0))</f>
        <v/>
      </c>
      <c r="AL277">
        <f>IF($AK277=1,SUMPRODUCT(--($AO$2:$AO$1501&lt;$AO277))+1,"")</f>
        <v/>
      </c>
      <c r="AM277">
        <f>IF($D277="","",IF(OR($R277=TRUE(),$R277="TRUE"),1,0))</f>
        <v/>
      </c>
      <c r="AN277">
        <f>IF($D277="","",IF($AA277="Yes",1,0))</f>
        <v/>
      </c>
      <c r="AO277">
        <f>IF($AK277=1,IFERROR(IF(VALUE($D277)&lt;100000000,VALUE($D277),1000000000),IFERROR(IF(VALUE(MID($D277,2,20))&lt;100000000,VALUE(MID($D277,2,20)),1000000000),1000000000))+ROW()/100000,"")</f>
        <v/>
      </c>
    </row>
    <row r="278">
      <c r="F278" s="11" t="n"/>
      <c r="N278" s="7">
        <f>IF($D278="","",M278*V278/100)</f>
        <v/>
      </c>
      <c r="O278" s="7" t="n"/>
      <c r="U278" s="7" t="n"/>
      <c r="V278" s="7" t="n"/>
      <c r="W278" s="7">
        <f>IF($D278="","",V278*AB278/100)</f>
        <v/>
      </c>
      <c r="X278" s="7">
        <f>IF($D278="","",V278-W278)</f>
        <v/>
      </c>
      <c r="Y278" s="7">
        <f>IF($D278="","",X278-N278)</f>
        <v/>
      </c>
      <c r="AB278">
        <f>IF($D278="","",IF($AN278=1,0,IF($AM278=1,Settings!$C$6,Settings!$C$7))*100)</f>
        <v/>
      </c>
      <c r="AF278" s="7" t="n"/>
      <c r="AI278" s="11" t="n"/>
      <c r="AK278">
        <f>IF($D278="","",IF(COUNTIF($D$2:$D278,$D278)=1,1,0))</f>
        <v/>
      </c>
      <c r="AL278">
        <f>IF($AK278=1,SUMPRODUCT(--($AO$2:$AO$1501&lt;$AO278))+1,"")</f>
        <v/>
      </c>
      <c r="AM278">
        <f>IF($D278="","",IF(OR($R278=TRUE(),$R278="TRUE"),1,0))</f>
        <v/>
      </c>
      <c r="AN278">
        <f>IF($D278="","",IF($AA278="Yes",1,0))</f>
        <v/>
      </c>
      <c r="AO278">
        <f>IF($AK278=1,IFERROR(IF(VALUE($D278)&lt;100000000,VALUE($D278),1000000000),IFERROR(IF(VALUE(MID($D278,2,20))&lt;100000000,VALUE(MID($D278,2,20)),1000000000),1000000000))+ROW()/100000,"")</f>
        <v/>
      </c>
    </row>
    <row r="279">
      <c r="F279" s="11" t="n"/>
      <c r="N279" s="7">
        <f>IF($D279="","",M279*V279/100)</f>
        <v/>
      </c>
      <c r="O279" s="7" t="n"/>
      <c r="U279" s="7" t="n"/>
      <c r="V279" s="7" t="n"/>
      <c r="W279" s="7">
        <f>IF($D279="","",V279*AB279/100)</f>
        <v/>
      </c>
      <c r="X279" s="7">
        <f>IF($D279="","",V279-W279)</f>
        <v/>
      </c>
      <c r="Y279" s="7">
        <f>IF($D279="","",X279-N279)</f>
        <v/>
      </c>
      <c r="AB279">
        <f>IF($D279="","",IF($AN279=1,0,IF($AM279=1,Settings!$C$6,Settings!$C$7))*100)</f>
        <v/>
      </c>
      <c r="AF279" s="7" t="n"/>
      <c r="AI279" s="11" t="n"/>
      <c r="AK279">
        <f>IF($D279="","",IF(COUNTIF($D$2:$D279,$D279)=1,1,0))</f>
        <v/>
      </c>
      <c r="AL279">
        <f>IF($AK279=1,SUMPRODUCT(--($AO$2:$AO$1501&lt;$AO279))+1,"")</f>
        <v/>
      </c>
      <c r="AM279">
        <f>IF($D279="","",IF(OR($R279=TRUE(),$R279="TRUE"),1,0))</f>
        <v/>
      </c>
      <c r="AN279">
        <f>IF($D279="","",IF($AA279="Yes",1,0))</f>
        <v/>
      </c>
      <c r="AO279">
        <f>IF($AK279=1,IFERROR(IF(VALUE($D279)&lt;100000000,VALUE($D279),1000000000),IFERROR(IF(VALUE(MID($D279,2,20))&lt;100000000,VALUE(MID($D279,2,20)),1000000000),1000000000))+ROW()/100000,"")</f>
        <v/>
      </c>
    </row>
    <row r="280">
      <c r="F280" s="11" t="n"/>
      <c r="N280" s="7">
        <f>IF($D280="","",M280*V280/100)</f>
        <v/>
      </c>
      <c r="O280" s="7" t="n"/>
      <c r="U280" s="7" t="n"/>
      <c r="V280" s="7" t="n"/>
      <c r="W280" s="7">
        <f>IF($D280="","",V280*AB280/100)</f>
        <v/>
      </c>
      <c r="X280" s="7">
        <f>IF($D280="","",V280-W280)</f>
        <v/>
      </c>
      <c r="Y280" s="7">
        <f>IF($D280="","",X280-N280)</f>
        <v/>
      </c>
      <c r="AB280">
        <f>IF($D280="","",IF($AN280=1,0,IF($AM280=1,Settings!$C$6,Settings!$C$7))*100)</f>
        <v/>
      </c>
      <c r="AF280" s="7" t="n"/>
      <c r="AI280" s="11" t="n"/>
      <c r="AK280">
        <f>IF($D280="","",IF(COUNTIF($D$2:$D280,$D280)=1,1,0))</f>
        <v/>
      </c>
      <c r="AL280">
        <f>IF($AK280=1,SUMPRODUCT(--($AO$2:$AO$1501&lt;$AO280))+1,"")</f>
        <v/>
      </c>
      <c r="AM280">
        <f>IF($D280="","",IF(OR($R280=TRUE(),$R280="TRUE"),1,0))</f>
        <v/>
      </c>
      <c r="AN280">
        <f>IF($D280="","",IF($AA280="Yes",1,0))</f>
        <v/>
      </c>
      <c r="AO280">
        <f>IF($AK280=1,IFERROR(IF(VALUE($D280)&lt;100000000,VALUE($D280),1000000000),IFERROR(IF(VALUE(MID($D280,2,20))&lt;100000000,VALUE(MID($D280,2,20)),1000000000),1000000000))+ROW()/100000,"")</f>
        <v/>
      </c>
    </row>
    <row r="281">
      <c r="F281" s="11" t="n"/>
      <c r="N281" s="7">
        <f>IF($D281="","",M281*V281/100)</f>
        <v/>
      </c>
      <c r="O281" s="7" t="n"/>
      <c r="U281" s="7" t="n"/>
      <c r="V281" s="7" t="n"/>
      <c r="W281" s="7">
        <f>IF($D281="","",V281*AB281/100)</f>
        <v/>
      </c>
      <c r="X281" s="7">
        <f>IF($D281="","",V281-W281)</f>
        <v/>
      </c>
      <c r="Y281" s="7">
        <f>IF($D281="","",X281-N281)</f>
        <v/>
      </c>
      <c r="AB281">
        <f>IF($D281="","",IF($AN281=1,0,IF($AM281=1,Settings!$C$6,Settings!$C$7))*100)</f>
        <v/>
      </c>
      <c r="AF281" s="7" t="n"/>
      <c r="AI281" s="11" t="n"/>
      <c r="AK281">
        <f>IF($D281="","",IF(COUNTIF($D$2:$D281,$D281)=1,1,0))</f>
        <v/>
      </c>
      <c r="AL281">
        <f>IF($AK281=1,SUMPRODUCT(--($AO$2:$AO$1501&lt;$AO281))+1,"")</f>
        <v/>
      </c>
      <c r="AM281">
        <f>IF($D281="","",IF(OR($R281=TRUE(),$R281="TRUE"),1,0))</f>
        <v/>
      </c>
      <c r="AN281">
        <f>IF($D281="","",IF($AA281="Yes",1,0))</f>
        <v/>
      </c>
      <c r="AO281">
        <f>IF($AK281=1,IFERROR(IF(VALUE($D281)&lt;100000000,VALUE($D281),1000000000),IFERROR(IF(VALUE(MID($D281,2,20))&lt;100000000,VALUE(MID($D281,2,20)),1000000000),1000000000))+ROW()/100000,"")</f>
        <v/>
      </c>
    </row>
    <row r="282">
      <c r="F282" s="11" t="n"/>
      <c r="N282" s="7">
        <f>IF($D282="","",M282*V282/100)</f>
        <v/>
      </c>
      <c r="O282" s="7" t="n"/>
      <c r="U282" s="7" t="n"/>
      <c r="V282" s="7" t="n"/>
      <c r="W282" s="7">
        <f>IF($D282="","",V282*AB282/100)</f>
        <v/>
      </c>
      <c r="X282" s="7">
        <f>IF($D282="","",V282-W282)</f>
        <v/>
      </c>
      <c r="Y282" s="7">
        <f>IF($D282="","",X282-N282)</f>
        <v/>
      </c>
      <c r="AB282">
        <f>IF($D282="","",IF($AN282=1,0,IF($AM282=1,Settings!$C$6,Settings!$C$7))*100)</f>
        <v/>
      </c>
      <c r="AF282" s="7" t="n"/>
      <c r="AI282" s="11" t="n"/>
      <c r="AK282">
        <f>IF($D282="","",IF(COUNTIF($D$2:$D282,$D282)=1,1,0))</f>
        <v/>
      </c>
      <c r="AL282">
        <f>IF($AK282=1,SUMPRODUCT(--($AO$2:$AO$1501&lt;$AO282))+1,"")</f>
        <v/>
      </c>
      <c r="AM282">
        <f>IF($D282="","",IF(OR($R282=TRUE(),$R282="TRUE"),1,0))</f>
        <v/>
      </c>
      <c r="AN282">
        <f>IF($D282="","",IF($AA282="Yes",1,0))</f>
        <v/>
      </c>
      <c r="AO282">
        <f>IF($AK282=1,IFERROR(IF(VALUE($D282)&lt;100000000,VALUE($D282),1000000000),IFERROR(IF(VALUE(MID($D282,2,20))&lt;100000000,VALUE(MID($D282,2,20)),1000000000),1000000000))+ROW()/100000,"")</f>
        <v/>
      </c>
    </row>
    <row r="283">
      <c r="F283" s="11" t="n"/>
      <c r="N283" s="7">
        <f>IF($D283="","",M283*V283/100)</f>
        <v/>
      </c>
      <c r="O283" s="7" t="n"/>
      <c r="U283" s="7" t="n"/>
      <c r="V283" s="7" t="n"/>
      <c r="W283" s="7">
        <f>IF($D283="","",V283*AB283/100)</f>
        <v/>
      </c>
      <c r="X283" s="7">
        <f>IF($D283="","",V283-W283)</f>
        <v/>
      </c>
      <c r="Y283" s="7">
        <f>IF($D283="","",X283-N283)</f>
        <v/>
      </c>
      <c r="AB283">
        <f>IF($D283="","",IF($AN283=1,0,IF($AM283=1,Settings!$C$6,Settings!$C$7))*100)</f>
        <v/>
      </c>
      <c r="AF283" s="7" t="n"/>
      <c r="AI283" s="11" t="n"/>
      <c r="AK283">
        <f>IF($D283="","",IF(COUNTIF($D$2:$D283,$D283)=1,1,0))</f>
        <v/>
      </c>
      <c r="AL283">
        <f>IF($AK283=1,SUMPRODUCT(--($AO$2:$AO$1501&lt;$AO283))+1,"")</f>
        <v/>
      </c>
      <c r="AM283">
        <f>IF($D283="","",IF(OR($R283=TRUE(),$R283="TRUE"),1,0))</f>
        <v/>
      </c>
      <c r="AN283">
        <f>IF($D283="","",IF($AA283="Yes",1,0))</f>
        <v/>
      </c>
      <c r="AO283">
        <f>IF($AK283=1,IFERROR(IF(VALUE($D283)&lt;100000000,VALUE($D283),1000000000),IFERROR(IF(VALUE(MID($D283,2,20))&lt;100000000,VALUE(MID($D283,2,20)),1000000000),1000000000))+ROW()/100000,"")</f>
        <v/>
      </c>
    </row>
    <row r="284">
      <c r="F284" s="11" t="n"/>
      <c r="N284" s="7">
        <f>IF($D284="","",M284*V284/100)</f>
        <v/>
      </c>
      <c r="O284" s="7" t="n"/>
      <c r="U284" s="7" t="n"/>
      <c r="V284" s="7" t="n"/>
      <c r="W284" s="7">
        <f>IF($D284="","",V284*AB284/100)</f>
        <v/>
      </c>
      <c r="X284" s="7">
        <f>IF($D284="","",V284-W284)</f>
        <v/>
      </c>
      <c r="Y284" s="7">
        <f>IF($D284="","",X284-N284)</f>
        <v/>
      </c>
      <c r="AB284">
        <f>IF($D284="","",IF($AN284=1,0,IF($AM284=1,Settings!$C$6,Settings!$C$7))*100)</f>
        <v/>
      </c>
      <c r="AF284" s="7" t="n"/>
      <c r="AI284" s="11" t="n"/>
      <c r="AK284">
        <f>IF($D284="","",IF(COUNTIF($D$2:$D284,$D284)=1,1,0))</f>
        <v/>
      </c>
      <c r="AL284">
        <f>IF($AK284=1,SUMPRODUCT(--($AO$2:$AO$1501&lt;$AO284))+1,"")</f>
        <v/>
      </c>
      <c r="AM284">
        <f>IF($D284="","",IF(OR($R284=TRUE(),$R284="TRUE"),1,0))</f>
        <v/>
      </c>
      <c r="AN284">
        <f>IF($D284="","",IF($AA284="Yes",1,0))</f>
        <v/>
      </c>
      <c r="AO284">
        <f>IF($AK284=1,IFERROR(IF(VALUE($D284)&lt;100000000,VALUE($D284),1000000000),IFERROR(IF(VALUE(MID($D284,2,20))&lt;100000000,VALUE(MID($D284,2,20)),1000000000),1000000000))+ROW()/100000,"")</f>
        <v/>
      </c>
    </row>
    <row r="285">
      <c r="F285" s="11" t="n"/>
      <c r="N285" s="7">
        <f>IF($D285="","",M285*V285/100)</f>
        <v/>
      </c>
      <c r="O285" s="7" t="n"/>
      <c r="U285" s="7" t="n"/>
      <c r="V285" s="7" t="n"/>
      <c r="W285" s="7">
        <f>IF($D285="","",V285*AB285/100)</f>
        <v/>
      </c>
      <c r="X285" s="7">
        <f>IF($D285="","",V285-W285)</f>
        <v/>
      </c>
      <c r="Y285" s="7">
        <f>IF($D285="","",X285-N285)</f>
        <v/>
      </c>
      <c r="AB285">
        <f>IF($D285="","",IF($AN285=1,0,IF($AM285=1,Settings!$C$6,Settings!$C$7))*100)</f>
        <v/>
      </c>
      <c r="AF285" s="7" t="n"/>
      <c r="AI285" s="11" t="n"/>
      <c r="AK285">
        <f>IF($D285="","",IF(COUNTIF($D$2:$D285,$D285)=1,1,0))</f>
        <v/>
      </c>
      <c r="AL285">
        <f>IF($AK285=1,SUMPRODUCT(--($AO$2:$AO$1501&lt;$AO285))+1,"")</f>
        <v/>
      </c>
      <c r="AM285">
        <f>IF($D285="","",IF(OR($R285=TRUE(),$R285="TRUE"),1,0))</f>
        <v/>
      </c>
      <c r="AN285">
        <f>IF($D285="","",IF($AA285="Yes",1,0))</f>
        <v/>
      </c>
      <c r="AO285">
        <f>IF($AK285=1,IFERROR(IF(VALUE($D285)&lt;100000000,VALUE($D285),1000000000),IFERROR(IF(VALUE(MID($D285,2,20))&lt;100000000,VALUE(MID($D285,2,20)),1000000000),1000000000))+ROW()/100000,"")</f>
        <v/>
      </c>
    </row>
    <row r="286">
      <c r="F286" s="11" t="n"/>
      <c r="N286" s="7">
        <f>IF($D286="","",M286*V286/100)</f>
        <v/>
      </c>
      <c r="O286" s="7" t="n"/>
      <c r="U286" s="7" t="n"/>
      <c r="V286" s="7" t="n"/>
      <c r="W286" s="7">
        <f>IF($D286="","",V286*AB286/100)</f>
        <v/>
      </c>
      <c r="X286" s="7">
        <f>IF($D286="","",V286-W286)</f>
        <v/>
      </c>
      <c r="Y286" s="7">
        <f>IF($D286="","",X286-N286)</f>
        <v/>
      </c>
      <c r="AB286">
        <f>IF($D286="","",IF($AN286=1,0,IF($AM286=1,Settings!$C$6,Settings!$C$7))*100)</f>
        <v/>
      </c>
      <c r="AF286" s="7" t="n"/>
      <c r="AI286" s="11" t="n"/>
      <c r="AK286">
        <f>IF($D286="","",IF(COUNTIF($D$2:$D286,$D286)=1,1,0))</f>
        <v/>
      </c>
      <c r="AL286">
        <f>IF($AK286=1,SUMPRODUCT(--($AO$2:$AO$1501&lt;$AO286))+1,"")</f>
        <v/>
      </c>
      <c r="AM286">
        <f>IF($D286="","",IF(OR($R286=TRUE(),$R286="TRUE"),1,0))</f>
        <v/>
      </c>
      <c r="AN286">
        <f>IF($D286="","",IF($AA286="Yes",1,0))</f>
        <v/>
      </c>
      <c r="AO286">
        <f>IF($AK286=1,IFERROR(IF(VALUE($D286)&lt;100000000,VALUE($D286),1000000000),IFERROR(IF(VALUE(MID($D286,2,20))&lt;100000000,VALUE(MID($D286,2,20)),1000000000),1000000000))+ROW()/100000,"")</f>
        <v/>
      </c>
    </row>
    <row r="287">
      <c r="F287" s="11" t="n"/>
      <c r="N287" s="7">
        <f>IF($D287="","",M287*V287/100)</f>
        <v/>
      </c>
      <c r="O287" s="7" t="n"/>
      <c r="U287" s="7" t="n"/>
      <c r="V287" s="7" t="n"/>
      <c r="W287" s="7">
        <f>IF($D287="","",V287*AB287/100)</f>
        <v/>
      </c>
      <c r="X287" s="7">
        <f>IF($D287="","",V287-W287)</f>
        <v/>
      </c>
      <c r="Y287" s="7">
        <f>IF($D287="","",X287-N287)</f>
        <v/>
      </c>
      <c r="AB287">
        <f>IF($D287="","",IF($AN287=1,0,IF($AM287=1,Settings!$C$6,Settings!$C$7))*100)</f>
        <v/>
      </c>
      <c r="AF287" s="7" t="n"/>
      <c r="AI287" s="11" t="n"/>
      <c r="AK287">
        <f>IF($D287="","",IF(COUNTIF($D$2:$D287,$D287)=1,1,0))</f>
        <v/>
      </c>
      <c r="AL287">
        <f>IF($AK287=1,SUMPRODUCT(--($AO$2:$AO$1501&lt;$AO287))+1,"")</f>
        <v/>
      </c>
      <c r="AM287">
        <f>IF($D287="","",IF(OR($R287=TRUE(),$R287="TRUE"),1,0))</f>
        <v/>
      </c>
      <c r="AN287">
        <f>IF($D287="","",IF($AA287="Yes",1,0))</f>
        <v/>
      </c>
      <c r="AO287">
        <f>IF($AK287=1,IFERROR(IF(VALUE($D287)&lt;100000000,VALUE($D287),1000000000),IFERROR(IF(VALUE(MID($D287,2,20))&lt;100000000,VALUE(MID($D287,2,20)),1000000000),1000000000))+ROW()/100000,"")</f>
        <v/>
      </c>
    </row>
    <row r="288">
      <c r="F288" s="11" t="n"/>
      <c r="N288" s="7">
        <f>IF($D288="","",M288*V288/100)</f>
        <v/>
      </c>
      <c r="O288" s="7" t="n"/>
      <c r="U288" s="7" t="n"/>
      <c r="V288" s="7" t="n"/>
      <c r="W288" s="7">
        <f>IF($D288="","",V288*AB288/100)</f>
        <v/>
      </c>
      <c r="X288" s="7">
        <f>IF($D288="","",V288-W288)</f>
        <v/>
      </c>
      <c r="Y288" s="7">
        <f>IF($D288="","",X288-N288)</f>
        <v/>
      </c>
      <c r="AB288">
        <f>IF($D288="","",IF($AN288=1,0,IF($AM288=1,Settings!$C$6,Settings!$C$7))*100)</f>
        <v/>
      </c>
      <c r="AF288" s="7" t="n"/>
      <c r="AI288" s="11" t="n"/>
      <c r="AK288">
        <f>IF($D288="","",IF(COUNTIF($D$2:$D288,$D288)=1,1,0))</f>
        <v/>
      </c>
      <c r="AL288">
        <f>IF($AK288=1,SUMPRODUCT(--($AO$2:$AO$1501&lt;$AO288))+1,"")</f>
        <v/>
      </c>
      <c r="AM288">
        <f>IF($D288="","",IF(OR($R288=TRUE(),$R288="TRUE"),1,0))</f>
        <v/>
      </c>
      <c r="AN288">
        <f>IF($D288="","",IF($AA288="Yes",1,0))</f>
        <v/>
      </c>
      <c r="AO288">
        <f>IF($AK288=1,IFERROR(IF(VALUE($D288)&lt;100000000,VALUE($D288),1000000000),IFERROR(IF(VALUE(MID($D288,2,20))&lt;100000000,VALUE(MID($D288,2,20)),1000000000),1000000000))+ROW()/100000,"")</f>
        <v/>
      </c>
    </row>
    <row r="289">
      <c r="F289" s="11" t="n"/>
      <c r="N289" s="7">
        <f>IF($D289="","",M289*V289/100)</f>
        <v/>
      </c>
      <c r="O289" s="7" t="n"/>
      <c r="U289" s="7" t="n"/>
      <c r="V289" s="7" t="n"/>
      <c r="W289" s="7">
        <f>IF($D289="","",V289*AB289/100)</f>
        <v/>
      </c>
      <c r="X289" s="7">
        <f>IF($D289="","",V289-W289)</f>
        <v/>
      </c>
      <c r="Y289" s="7">
        <f>IF($D289="","",X289-N289)</f>
        <v/>
      </c>
      <c r="AB289">
        <f>IF($D289="","",IF($AN289=1,0,IF($AM289=1,Settings!$C$6,Settings!$C$7))*100)</f>
        <v/>
      </c>
      <c r="AF289" s="7" t="n"/>
      <c r="AI289" s="11" t="n"/>
      <c r="AK289">
        <f>IF($D289="","",IF(COUNTIF($D$2:$D289,$D289)=1,1,0))</f>
        <v/>
      </c>
      <c r="AL289">
        <f>IF($AK289=1,SUMPRODUCT(--($AO$2:$AO$1501&lt;$AO289))+1,"")</f>
        <v/>
      </c>
      <c r="AM289">
        <f>IF($D289="","",IF(OR($R289=TRUE(),$R289="TRUE"),1,0))</f>
        <v/>
      </c>
      <c r="AN289">
        <f>IF($D289="","",IF($AA289="Yes",1,0))</f>
        <v/>
      </c>
      <c r="AO289">
        <f>IF($AK289=1,IFERROR(IF(VALUE($D289)&lt;100000000,VALUE($D289),1000000000),IFERROR(IF(VALUE(MID($D289,2,20))&lt;100000000,VALUE(MID($D289,2,20)),1000000000),1000000000))+ROW()/100000,"")</f>
        <v/>
      </c>
    </row>
    <row r="290">
      <c r="F290" s="11" t="n"/>
      <c r="N290" s="7">
        <f>IF($D290="","",M290*V290/100)</f>
        <v/>
      </c>
      <c r="O290" s="7" t="n"/>
      <c r="U290" s="7" t="n"/>
      <c r="V290" s="7" t="n"/>
      <c r="W290" s="7">
        <f>IF($D290="","",V290*AB290/100)</f>
        <v/>
      </c>
      <c r="X290" s="7">
        <f>IF($D290="","",V290-W290)</f>
        <v/>
      </c>
      <c r="Y290" s="7">
        <f>IF($D290="","",X290-N290)</f>
        <v/>
      </c>
      <c r="AB290">
        <f>IF($D290="","",IF($AN290=1,0,IF($AM290=1,Settings!$C$6,Settings!$C$7))*100)</f>
        <v/>
      </c>
      <c r="AF290" s="7" t="n"/>
      <c r="AI290" s="11" t="n"/>
      <c r="AK290">
        <f>IF($D290="","",IF(COUNTIF($D$2:$D290,$D290)=1,1,0))</f>
        <v/>
      </c>
      <c r="AL290">
        <f>IF($AK290=1,SUMPRODUCT(--($AO$2:$AO$1501&lt;$AO290))+1,"")</f>
        <v/>
      </c>
      <c r="AM290">
        <f>IF($D290="","",IF(OR($R290=TRUE(),$R290="TRUE"),1,0))</f>
        <v/>
      </c>
      <c r="AN290">
        <f>IF($D290="","",IF($AA290="Yes",1,0))</f>
        <v/>
      </c>
      <c r="AO290">
        <f>IF($AK290=1,IFERROR(IF(VALUE($D290)&lt;100000000,VALUE($D290),1000000000),IFERROR(IF(VALUE(MID($D290,2,20))&lt;100000000,VALUE(MID($D290,2,20)),1000000000),1000000000))+ROW()/100000,"")</f>
        <v/>
      </c>
    </row>
    <row r="291">
      <c r="F291" s="11" t="n"/>
      <c r="N291" s="7">
        <f>IF($D291="","",M291*V291/100)</f>
        <v/>
      </c>
      <c r="O291" s="7" t="n"/>
      <c r="U291" s="7" t="n"/>
      <c r="V291" s="7" t="n"/>
      <c r="W291" s="7">
        <f>IF($D291="","",V291*AB291/100)</f>
        <v/>
      </c>
      <c r="X291" s="7">
        <f>IF($D291="","",V291-W291)</f>
        <v/>
      </c>
      <c r="Y291" s="7">
        <f>IF($D291="","",X291-N291)</f>
        <v/>
      </c>
      <c r="AB291">
        <f>IF($D291="","",IF($AN291=1,0,IF($AM291=1,Settings!$C$6,Settings!$C$7))*100)</f>
        <v/>
      </c>
      <c r="AF291" s="7" t="n"/>
      <c r="AI291" s="11" t="n"/>
      <c r="AK291">
        <f>IF($D291="","",IF(COUNTIF($D$2:$D291,$D291)=1,1,0))</f>
        <v/>
      </c>
      <c r="AL291">
        <f>IF($AK291=1,SUMPRODUCT(--($AO$2:$AO$1501&lt;$AO291))+1,"")</f>
        <v/>
      </c>
      <c r="AM291">
        <f>IF($D291="","",IF(OR($R291=TRUE(),$R291="TRUE"),1,0))</f>
        <v/>
      </c>
      <c r="AN291">
        <f>IF($D291="","",IF($AA291="Yes",1,0))</f>
        <v/>
      </c>
      <c r="AO291">
        <f>IF($AK291=1,IFERROR(IF(VALUE($D291)&lt;100000000,VALUE($D291),1000000000),IFERROR(IF(VALUE(MID($D291,2,20))&lt;100000000,VALUE(MID($D291,2,20)),1000000000),1000000000))+ROW()/100000,"")</f>
        <v/>
      </c>
    </row>
    <row r="292">
      <c r="F292" s="11" t="n"/>
      <c r="N292" s="7">
        <f>IF($D292="","",M292*V292/100)</f>
        <v/>
      </c>
      <c r="O292" s="7" t="n"/>
      <c r="U292" s="7" t="n"/>
      <c r="V292" s="7" t="n"/>
      <c r="W292" s="7">
        <f>IF($D292="","",V292*AB292/100)</f>
        <v/>
      </c>
      <c r="X292" s="7">
        <f>IF($D292="","",V292-W292)</f>
        <v/>
      </c>
      <c r="Y292" s="7">
        <f>IF($D292="","",X292-N292)</f>
        <v/>
      </c>
      <c r="AB292">
        <f>IF($D292="","",IF($AN292=1,0,IF($AM292=1,Settings!$C$6,Settings!$C$7))*100)</f>
        <v/>
      </c>
      <c r="AF292" s="7" t="n"/>
      <c r="AI292" s="11" t="n"/>
      <c r="AK292">
        <f>IF($D292="","",IF(COUNTIF($D$2:$D292,$D292)=1,1,0))</f>
        <v/>
      </c>
      <c r="AL292">
        <f>IF($AK292=1,SUMPRODUCT(--($AO$2:$AO$1501&lt;$AO292))+1,"")</f>
        <v/>
      </c>
      <c r="AM292">
        <f>IF($D292="","",IF(OR($R292=TRUE(),$R292="TRUE"),1,0))</f>
        <v/>
      </c>
      <c r="AN292">
        <f>IF($D292="","",IF($AA292="Yes",1,0))</f>
        <v/>
      </c>
      <c r="AO292">
        <f>IF($AK292=1,IFERROR(IF(VALUE($D292)&lt;100000000,VALUE($D292),1000000000),IFERROR(IF(VALUE(MID($D292,2,20))&lt;100000000,VALUE(MID($D292,2,20)),1000000000),1000000000))+ROW()/100000,"")</f>
        <v/>
      </c>
    </row>
    <row r="293">
      <c r="F293" s="11" t="n"/>
      <c r="N293" s="7">
        <f>IF($D293="","",M293*V293/100)</f>
        <v/>
      </c>
      <c r="O293" s="7" t="n"/>
      <c r="U293" s="7" t="n"/>
      <c r="V293" s="7" t="n"/>
      <c r="W293" s="7">
        <f>IF($D293="","",V293*AB293/100)</f>
        <v/>
      </c>
      <c r="X293" s="7">
        <f>IF($D293="","",V293-W293)</f>
        <v/>
      </c>
      <c r="Y293" s="7">
        <f>IF($D293="","",X293-N293)</f>
        <v/>
      </c>
      <c r="AB293">
        <f>IF($D293="","",IF($AN293=1,0,IF($AM293=1,Settings!$C$6,Settings!$C$7))*100)</f>
        <v/>
      </c>
      <c r="AF293" s="7" t="n"/>
      <c r="AI293" s="11" t="n"/>
      <c r="AK293">
        <f>IF($D293="","",IF(COUNTIF($D$2:$D293,$D293)=1,1,0))</f>
        <v/>
      </c>
      <c r="AL293">
        <f>IF($AK293=1,SUMPRODUCT(--($AO$2:$AO$1501&lt;$AO293))+1,"")</f>
        <v/>
      </c>
      <c r="AM293">
        <f>IF($D293="","",IF(OR($R293=TRUE(),$R293="TRUE"),1,0))</f>
        <v/>
      </c>
      <c r="AN293">
        <f>IF($D293="","",IF($AA293="Yes",1,0))</f>
        <v/>
      </c>
      <c r="AO293">
        <f>IF($AK293=1,IFERROR(IF(VALUE($D293)&lt;100000000,VALUE($D293),1000000000),IFERROR(IF(VALUE(MID($D293,2,20))&lt;100000000,VALUE(MID($D293,2,20)),1000000000),1000000000))+ROW()/100000,"")</f>
        <v/>
      </c>
    </row>
    <row r="294">
      <c r="F294" s="11" t="n"/>
      <c r="N294" s="7">
        <f>IF($D294="","",M294*V294/100)</f>
        <v/>
      </c>
      <c r="O294" s="7" t="n"/>
      <c r="U294" s="7" t="n"/>
      <c r="V294" s="7" t="n"/>
      <c r="W294" s="7">
        <f>IF($D294="","",V294*AB294/100)</f>
        <v/>
      </c>
      <c r="X294" s="7">
        <f>IF($D294="","",V294-W294)</f>
        <v/>
      </c>
      <c r="Y294" s="7">
        <f>IF($D294="","",X294-N294)</f>
        <v/>
      </c>
      <c r="AB294">
        <f>IF($D294="","",IF($AN294=1,0,IF($AM294=1,Settings!$C$6,Settings!$C$7))*100)</f>
        <v/>
      </c>
      <c r="AF294" s="7" t="n"/>
      <c r="AI294" s="11" t="n"/>
      <c r="AK294">
        <f>IF($D294="","",IF(COUNTIF($D$2:$D294,$D294)=1,1,0))</f>
        <v/>
      </c>
      <c r="AL294">
        <f>IF($AK294=1,SUMPRODUCT(--($AO$2:$AO$1501&lt;$AO294))+1,"")</f>
        <v/>
      </c>
      <c r="AM294">
        <f>IF($D294="","",IF(OR($R294=TRUE(),$R294="TRUE"),1,0))</f>
        <v/>
      </c>
      <c r="AN294">
        <f>IF($D294="","",IF($AA294="Yes",1,0))</f>
        <v/>
      </c>
      <c r="AO294">
        <f>IF($AK294=1,IFERROR(IF(VALUE($D294)&lt;100000000,VALUE($D294),1000000000),IFERROR(IF(VALUE(MID($D294,2,20))&lt;100000000,VALUE(MID($D294,2,20)),1000000000),1000000000))+ROW()/100000,"")</f>
        <v/>
      </c>
    </row>
    <row r="295">
      <c r="F295" s="11" t="n"/>
      <c r="N295" s="7">
        <f>IF($D295="","",M295*V295/100)</f>
        <v/>
      </c>
      <c r="O295" s="7" t="n"/>
      <c r="U295" s="7" t="n"/>
      <c r="V295" s="7" t="n"/>
      <c r="W295" s="7">
        <f>IF($D295="","",V295*AB295/100)</f>
        <v/>
      </c>
      <c r="X295" s="7">
        <f>IF($D295="","",V295-W295)</f>
        <v/>
      </c>
      <c r="Y295" s="7">
        <f>IF($D295="","",X295-N295)</f>
        <v/>
      </c>
      <c r="AB295">
        <f>IF($D295="","",IF($AN295=1,0,IF($AM295=1,Settings!$C$6,Settings!$C$7))*100)</f>
        <v/>
      </c>
      <c r="AF295" s="7" t="n"/>
      <c r="AI295" s="11" t="n"/>
      <c r="AK295">
        <f>IF($D295="","",IF(COUNTIF($D$2:$D295,$D295)=1,1,0))</f>
        <v/>
      </c>
      <c r="AL295">
        <f>IF($AK295=1,SUMPRODUCT(--($AO$2:$AO$1501&lt;$AO295))+1,"")</f>
        <v/>
      </c>
      <c r="AM295">
        <f>IF($D295="","",IF(OR($R295=TRUE(),$R295="TRUE"),1,0))</f>
        <v/>
      </c>
      <c r="AN295">
        <f>IF($D295="","",IF($AA295="Yes",1,0))</f>
        <v/>
      </c>
      <c r="AO295">
        <f>IF($AK295=1,IFERROR(IF(VALUE($D295)&lt;100000000,VALUE($D295),1000000000),IFERROR(IF(VALUE(MID($D295,2,20))&lt;100000000,VALUE(MID($D295,2,20)),1000000000),1000000000))+ROW()/100000,"")</f>
        <v/>
      </c>
    </row>
    <row r="296">
      <c r="F296" s="11" t="n"/>
      <c r="N296" s="7">
        <f>IF($D296="","",M296*V296/100)</f>
        <v/>
      </c>
      <c r="O296" s="7" t="n"/>
      <c r="U296" s="7" t="n"/>
      <c r="V296" s="7" t="n"/>
      <c r="W296" s="7">
        <f>IF($D296="","",V296*AB296/100)</f>
        <v/>
      </c>
      <c r="X296" s="7">
        <f>IF($D296="","",V296-W296)</f>
        <v/>
      </c>
      <c r="Y296" s="7">
        <f>IF($D296="","",X296-N296)</f>
        <v/>
      </c>
      <c r="AB296">
        <f>IF($D296="","",IF($AN296=1,0,IF($AM296=1,Settings!$C$6,Settings!$C$7))*100)</f>
        <v/>
      </c>
      <c r="AF296" s="7" t="n"/>
      <c r="AI296" s="11" t="n"/>
      <c r="AK296">
        <f>IF($D296="","",IF(COUNTIF($D$2:$D296,$D296)=1,1,0))</f>
        <v/>
      </c>
      <c r="AL296">
        <f>IF($AK296=1,SUMPRODUCT(--($AO$2:$AO$1501&lt;$AO296))+1,"")</f>
        <v/>
      </c>
      <c r="AM296">
        <f>IF($D296="","",IF(OR($R296=TRUE(),$R296="TRUE"),1,0))</f>
        <v/>
      </c>
      <c r="AN296">
        <f>IF($D296="","",IF($AA296="Yes",1,0))</f>
        <v/>
      </c>
      <c r="AO296">
        <f>IF($AK296=1,IFERROR(IF(VALUE($D296)&lt;100000000,VALUE($D296),1000000000),IFERROR(IF(VALUE(MID($D296,2,20))&lt;100000000,VALUE(MID($D296,2,20)),1000000000),1000000000))+ROW()/100000,"")</f>
        <v/>
      </c>
    </row>
    <row r="297">
      <c r="F297" s="11" t="n"/>
      <c r="N297" s="7">
        <f>IF($D297="","",M297*V297/100)</f>
        <v/>
      </c>
      <c r="O297" s="7" t="n"/>
      <c r="U297" s="7" t="n"/>
      <c r="V297" s="7" t="n"/>
      <c r="W297" s="7">
        <f>IF($D297="","",V297*AB297/100)</f>
        <v/>
      </c>
      <c r="X297" s="7">
        <f>IF($D297="","",V297-W297)</f>
        <v/>
      </c>
      <c r="Y297" s="7">
        <f>IF($D297="","",X297-N297)</f>
        <v/>
      </c>
      <c r="AB297">
        <f>IF($D297="","",IF($AN297=1,0,IF($AM297=1,Settings!$C$6,Settings!$C$7))*100)</f>
        <v/>
      </c>
      <c r="AF297" s="7" t="n"/>
      <c r="AI297" s="11" t="n"/>
      <c r="AK297">
        <f>IF($D297="","",IF(COUNTIF($D$2:$D297,$D297)=1,1,0))</f>
        <v/>
      </c>
      <c r="AL297">
        <f>IF($AK297=1,SUMPRODUCT(--($AO$2:$AO$1501&lt;$AO297))+1,"")</f>
        <v/>
      </c>
      <c r="AM297">
        <f>IF($D297="","",IF(OR($R297=TRUE(),$R297="TRUE"),1,0))</f>
        <v/>
      </c>
      <c r="AN297">
        <f>IF($D297="","",IF($AA297="Yes",1,0))</f>
        <v/>
      </c>
      <c r="AO297">
        <f>IF($AK297=1,IFERROR(IF(VALUE($D297)&lt;100000000,VALUE($D297),1000000000),IFERROR(IF(VALUE(MID($D297,2,20))&lt;100000000,VALUE(MID($D297,2,20)),1000000000),1000000000))+ROW()/100000,"")</f>
        <v/>
      </c>
    </row>
    <row r="298">
      <c r="F298" s="11" t="n"/>
      <c r="N298" s="7">
        <f>IF($D298="","",M298*V298/100)</f>
        <v/>
      </c>
      <c r="O298" s="7" t="n"/>
      <c r="U298" s="7" t="n"/>
      <c r="V298" s="7" t="n"/>
      <c r="W298" s="7">
        <f>IF($D298="","",V298*AB298/100)</f>
        <v/>
      </c>
      <c r="X298" s="7">
        <f>IF($D298="","",V298-W298)</f>
        <v/>
      </c>
      <c r="Y298" s="7">
        <f>IF($D298="","",X298-N298)</f>
        <v/>
      </c>
      <c r="AB298">
        <f>IF($D298="","",IF($AN298=1,0,IF($AM298=1,Settings!$C$6,Settings!$C$7))*100)</f>
        <v/>
      </c>
      <c r="AF298" s="7" t="n"/>
      <c r="AI298" s="11" t="n"/>
      <c r="AK298">
        <f>IF($D298="","",IF(COUNTIF($D$2:$D298,$D298)=1,1,0))</f>
        <v/>
      </c>
      <c r="AL298">
        <f>IF($AK298=1,SUMPRODUCT(--($AO$2:$AO$1501&lt;$AO298))+1,"")</f>
        <v/>
      </c>
      <c r="AM298">
        <f>IF($D298="","",IF(OR($R298=TRUE(),$R298="TRUE"),1,0))</f>
        <v/>
      </c>
      <c r="AN298">
        <f>IF($D298="","",IF($AA298="Yes",1,0))</f>
        <v/>
      </c>
      <c r="AO298">
        <f>IF($AK298=1,IFERROR(IF(VALUE($D298)&lt;100000000,VALUE($D298),1000000000),IFERROR(IF(VALUE(MID($D298,2,20))&lt;100000000,VALUE(MID($D298,2,20)),1000000000),1000000000))+ROW()/100000,"")</f>
        <v/>
      </c>
    </row>
    <row r="299">
      <c r="F299" s="11" t="n"/>
      <c r="N299" s="7">
        <f>IF($D299="","",M299*V299/100)</f>
        <v/>
      </c>
      <c r="O299" s="7" t="n"/>
      <c r="U299" s="7" t="n"/>
      <c r="V299" s="7" t="n"/>
      <c r="W299" s="7">
        <f>IF($D299="","",V299*AB299/100)</f>
        <v/>
      </c>
      <c r="X299" s="7">
        <f>IF($D299="","",V299-W299)</f>
        <v/>
      </c>
      <c r="Y299" s="7">
        <f>IF($D299="","",X299-N299)</f>
        <v/>
      </c>
      <c r="AB299">
        <f>IF($D299="","",IF($AN299=1,0,IF($AM299=1,Settings!$C$6,Settings!$C$7))*100)</f>
        <v/>
      </c>
      <c r="AF299" s="7" t="n"/>
      <c r="AI299" s="11" t="n"/>
      <c r="AK299">
        <f>IF($D299="","",IF(COUNTIF($D$2:$D299,$D299)=1,1,0))</f>
        <v/>
      </c>
      <c r="AL299">
        <f>IF($AK299=1,SUMPRODUCT(--($AO$2:$AO$1501&lt;$AO299))+1,"")</f>
        <v/>
      </c>
      <c r="AM299">
        <f>IF($D299="","",IF(OR($R299=TRUE(),$R299="TRUE"),1,0))</f>
        <v/>
      </c>
      <c r="AN299">
        <f>IF($D299="","",IF($AA299="Yes",1,0))</f>
        <v/>
      </c>
      <c r="AO299">
        <f>IF($AK299=1,IFERROR(IF(VALUE($D299)&lt;100000000,VALUE($D299),1000000000),IFERROR(IF(VALUE(MID($D299,2,20))&lt;100000000,VALUE(MID($D299,2,20)),1000000000),1000000000))+ROW()/100000,"")</f>
        <v/>
      </c>
    </row>
    <row r="300">
      <c r="F300" s="11" t="n"/>
      <c r="N300" s="7">
        <f>IF($D300="","",M300*V300/100)</f>
        <v/>
      </c>
      <c r="O300" s="7" t="n"/>
      <c r="U300" s="7" t="n"/>
      <c r="V300" s="7" t="n"/>
      <c r="W300" s="7">
        <f>IF($D300="","",V300*AB300/100)</f>
        <v/>
      </c>
      <c r="X300" s="7">
        <f>IF($D300="","",V300-W300)</f>
        <v/>
      </c>
      <c r="Y300" s="7">
        <f>IF($D300="","",X300-N300)</f>
        <v/>
      </c>
      <c r="AB300">
        <f>IF($D300="","",IF($AN300=1,0,IF($AM300=1,Settings!$C$6,Settings!$C$7))*100)</f>
        <v/>
      </c>
      <c r="AF300" s="7" t="n"/>
      <c r="AI300" s="11" t="n"/>
      <c r="AK300">
        <f>IF($D300="","",IF(COUNTIF($D$2:$D300,$D300)=1,1,0))</f>
        <v/>
      </c>
      <c r="AL300">
        <f>IF($AK300=1,SUMPRODUCT(--($AO$2:$AO$1501&lt;$AO300))+1,"")</f>
        <v/>
      </c>
      <c r="AM300">
        <f>IF($D300="","",IF(OR($R300=TRUE(),$R300="TRUE"),1,0))</f>
        <v/>
      </c>
      <c r="AN300">
        <f>IF($D300="","",IF($AA300="Yes",1,0))</f>
        <v/>
      </c>
      <c r="AO300">
        <f>IF($AK300=1,IFERROR(IF(VALUE($D300)&lt;100000000,VALUE($D300),1000000000),IFERROR(IF(VALUE(MID($D300,2,20))&lt;100000000,VALUE(MID($D300,2,20)),1000000000),1000000000))+ROW()/100000,"")</f>
        <v/>
      </c>
    </row>
    <row r="301">
      <c r="F301" s="11" t="n"/>
      <c r="N301" s="7">
        <f>IF($D301="","",M301*V301/100)</f>
        <v/>
      </c>
      <c r="O301" s="7" t="n"/>
      <c r="U301" s="7" t="n"/>
      <c r="V301" s="7" t="n"/>
      <c r="W301" s="7">
        <f>IF($D301="","",V301*AB301/100)</f>
        <v/>
      </c>
      <c r="X301" s="7">
        <f>IF($D301="","",V301-W301)</f>
        <v/>
      </c>
      <c r="Y301" s="7">
        <f>IF($D301="","",X301-N301)</f>
        <v/>
      </c>
      <c r="AB301">
        <f>IF($D301="","",IF($AN301=1,0,IF($AM301=1,Settings!$C$6,Settings!$C$7))*100)</f>
        <v/>
      </c>
      <c r="AF301" s="7" t="n"/>
      <c r="AI301" s="11" t="n"/>
      <c r="AK301">
        <f>IF($D301="","",IF(COUNTIF($D$2:$D301,$D301)=1,1,0))</f>
        <v/>
      </c>
      <c r="AL301">
        <f>IF($AK301=1,SUMPRODUCT(--($AO$2:$AO$1501&lt;$AO301))+1,"")</f>
        <v/>
      </c>
      <c r="AM301">
        <f>IF($D301="","",IF(OR($R301=TRUE(),$R301="TRUE"),1,0))</f>
        <v/>
      </c>
      <c r="AN301">
        <f>IF($D301="","",IF($AA301="Yes",1,0))</f>
        <v/>
      </c>
      <c r="AO301">
        <f>IF($AK301=1,IFERROR(IF(VALUE($D301)&lt;100000000,VALUE($D301),1000000000),IFERROR(IF(VALUE(MID($D301,2,20))&lt;100000000,VALUE(MID($D301,2,20)),1000000000),1000000000))+ROW()/100000,"")</f>
        <v/>
      </c>
    </row>
    <row r="302">
      <c r="F302" s="11" t="n"/>
      <c r="N302" s="7">
        <f>IF($D302="","",M302*V302/100)</f>
        <v/>
      </c>
      <c r="O302" s="7" t="n"/>
      <c r="U302" s="7" t="n"/>
      <c r="V302" s="7" t="n"/>
      <c r="W302" s="7">
        <f>IF($D302="","",V302*AB302/100)</f>
        <v/>
      </c>
      <c r="X302" s="7">
        <f>IF($D302="","",V302-W302)</f>
        <v/>
      </c>
      <c r="Y302" s="7">
        <f>IF($D302="","",X302-N302)</f>
        <v/>
      </c>
      <c r="AB302">
        <f>IF($D302="","",IF($AN302=1,0,IF($AM302=1,Settings!$C$6,Settings!$C$7))*100)</f>
        <v/>
      </c>
      <c r="AF302" s="7" t="n"/>
      <c r="AI302" s="11" t="n"/>
      <c r="AK302">
        <f>IF($D302="","",IF(COUNTIF($D$2:$D302,$D302)=1,1,0))</f>
        <v/>
      </c>
      <c r="AL302">
        <f>IF($AK302=1,SUMPRODUCT(--($AO$2:$AO$1501&lt;$AO302))+1,"")</f>
        <v/>
      </c>
      <c r="AM302">
        <f>IF($D302="","",IF(OR($R302=TRUE(),$R302="TRUE"),1,0))</f>
        <v/>
      </c>
      <c r="AN302">
        <f>IF($D302="","",IF($AA302="Yes",1,0))</f>
        <v/>
      </c>
      <c r="AO302">
        <f>IF($AK302=1,IFERROR(IF(VALUE($D302)&lt;100000000,VALUE($D302),1000000000),IFERROR(IF(VALUE(MID($D302,2,20))&lt;100000000,VALUE(MID($D302,2,20)),1000000000),1000000000))+ROW()/100000,"")</f>
        <v/>
      </c>
    </row>
    <row r="303">
      <c r="F303" s="11" t="n"/>
      <c r="N303" s="7">
        <f>IF($D303="","",M303*V303/100)</f>
        <v/>
      </c>
      <c r="O303" s="7" t="n"/>
      <c r="U303" s="7" t="n"/>
      <c r="V303" s="7" t="n"/>
      <c r="W303" s="7">
        <f>IF($D303="","",V303*AB303/100)</f>
        <v/>
      </c>
      <c r="X303" s="7">
        <f>IF($D303="","",V303-W303)</f>
        <v/>
      </c>
      <c r="Y303" s="7">
        <f>IF($D303="","",X303-N303)</f>
        <v/>
      </c>
      <c r="AB303">
        <f>IF($D303="","",IF($AN303=1,0,IF($AM303=1,Settings!$C$6,Settings!$C$7))*100)</f>
        <v/>
      </c>
      <c r="AF303" s="7" t="n"/>
      <c r="AI303" s="11" t="n"/>
      <c r="AK303">
        <f>IF($D303="","",IF(COUNTIF($D$2:$D303,$D303)=1,1,0))</f>
        <v/>
      </c>
      <c r="AL303">
        <f>IF($AK303=1,SUMPRODUCT(--($AO$2:$AO$1501&lt;$AO303))+1,"")</f>
        <v/>
      </c>
      <c r="AM303">
        <f>IF($D303="","",IF(OR($R303=TRUE(),$R303="TRUE"),1,0))</f>
        <v/>
      </c>
      <c r="AN303">
        <f>IF($D303="","",IF($AA303="Yes",1,0))</f>
        <v/>
      </c>
      <c r="AO303">
        <f>IF($AK303=1,IFERROR(IF(VALUE($D303)&lt;100000000,VALUE($D303),1000000000),IFERROR(IF(VALUE(MID($D303,2,20))&lt;100000000,VALUE(MID($D303,2,20)),1000000000),1000000000))+ROW()/100000,"")</f>
        <v/>
      </c>
    </row>
    <row r="304">
      <c r="F304" s="11" t="n"/>
      <c r="N304" s="7">
        <f>IF($D304="","",M304*V304/100)</f>
        <v/>
      </c>
      <c r="O304" s="7" t="n"/>
      <c r="U304" s="7" t="n"/>
      <c r="V304" s="7" t="n"/>
      <c r="W304" s="7">
        <f>IF($D304="","",V304*AB304/100)</f>
        <v/>
      </c>
      <c r="X304" s="7">
        <f>IF($D304="","",V304-W304)</f>
        <v/>
      </c>
      <c r="Y304" s="7">
        <f>IF($D304="","",X304-N304)</f>
        <v/>
      </c>
      <c r="AB304">
        <f>IF($D304="","",IF($AN304=1,0,IF($AM304=1,Settings!$C$6,Settings!$C$7))*100)</f>
        <v/>
      </c>
      <c r="AF304" s="7" t="n"/>
      <c r="AI304" s="11" t="n"/>
      <c r="AK304">
        <f>IF($D304="","",IF(COUNTIF($D$2:$D304,$D304)=1,1,0))</f>
        <v/>
      </c>
      <c r="AL304">
        <f>IF($AK304=1,SUMPRODUCT(--($AO$2:$AO$1501&lt;$AO304))+1,"")</f>
        <v/>
      </c>
      <c r="AM304">
        <f>IF($D304="","",IF(OR($R304=TRUE(),$R304="TRUE"),1,0))</f>
        <v/>
      </c>
      <c r="AN304">
        <f>IF($D304="","",IF($AA304="Yes",1,0))</f>
        <v/>
      </c>
      <c r="AO304">
        <f>IF($AK304=1,IFERROR(IF(VALUE($D304)&lt;100000000,VALUE($D304),1000000000),IFERROR(IF(VALUE(MID($D304,2,20))&lt;100000000,VALUE(MID($D304,2,20)),1000000000),1000000000))+ROW()/100000,"")</f>
        <v/>
      </c>
    </row>
    <row r="305">
      <c r="F305" s="11" t="n"/>
      <c r="N305" s="7">
        <f>IF($D305="","",M305*V305/100)</f>
        <v/>
      </c>
      <c r="O305" s="7" t="n"/>
      <c r="U305" s="7" t="n"/>
      <c r="V305" s="7" t="n"/>
      <c r="W305" s="7">
        <f>IF($D305="","",V305*AB305/100)</f>
        <v/>
      </c>
      <c r="X305" s="7">
        <f>IF($D305="","",V305-W305)</f>
        <v/>
      </c>
      <c r="Y305" s="7">
        <f>IF($D305="","",X305-N305)</f>
        <v/>
      </c>
      <c r="AB305">
        <f>IF($D305="","",IF($AN305=1,0,IF($AM305=1,Settings!$C$6,Settings!$C$7))*100)</f>
        <v/>
      </c>
      <c r="AF305" s="7" t="n"/>
      <c r="AI305" s="11" t="n"/>
      <c r="AK305">
        <f>IF($D305="","",IF(COUNTIF($D$2:$D305,$D305)=1,1,0))</f>
        <v/>
      </c>
      <c r="AL305">
        <f>IF($AK305=1,SUMPRODUCT(--($AO$2:$AO$1501&lt;$AO305))+1,"")</f>
        <v/>
      </c>
      <c r="AM305">
        <f>IF($D305="","",IF(OR($R305=TRUE(),$R305="TRUE"),1,0))</f>
        <v/>
      </c>
      <c r="AN305">
        <f>IF($D305="","",IF($AA305="Yes",1,0))</f>
        <v/>
      </c>
      <c r="AO305">
        <f>IF($AK305=1,IFERROR(IF(VALUE($D305)&lt;100000000,VALUE($D305),1000000000),IFERROR(IF(VALUE(MID($D305,2,20))&lt;100000000,VALUE(MID($D305,2,20)),1000000000),1000000000))+ROW()/100000,"")</f>
        <v/>
      </c>
    </row>
    <row r="306">
      <c r="F306" s="11" t="n"/>
      <c r="N306" s="7">
        <f>IF($D306="","",M306*V306/100)</f>
        <v/>
      </c>
      <c r="O306" s="7" t="n"/>
      <c r="U306" s="7" t="n"/>
      <c r="V306" s="7" t="n"/>
      <c r="W306" s="7">
        <f>IF($D306="","",V306*AB306/100)</f>
        <v/>
      </c>
      <c r="X306" s="7">
        <f>IF($D306="","",V306-W306)</f>
        <v/>
      </c>
      <c r="Y306" s="7">
        <f>IF($D306="","",X306-N306)</f>
        <v/>
      </c>
      <c r="AB306">
        <f>IF($D306="","",IF($AN306=1,0,IF($AM306=1,Settings!$C$6,Settings!$C$7))*100)</f>
        <v/>
      </c>
      <c r="AF306" s="7" t="n"/>
      <c r="AI306" s="11" t="n"/>
      <c r="AK306">
        <f>IF($D306="","",IF(COUNTIF($D$2:$D306,$D306)=1,1,0))</f>
        <v/>
      </c>
      <c r="AL306">
        <f>IF($AK306=1,SUMPRODUCT(--($AO$2:$AO$1501&lt;$AO306))+1,"")</f>
        <v/>
      </c>
      <c r="AM306">
        <f>IF($D306="","",IF(OR($R306=TRUE(),$R306="TRUE"),1,0))</f>
        <v/>
      </c>
      <c r="AN306">
        <f>IF($D306="","",IF($AA306="Yes",1,0))</f>
        <v/>
      </c>
      <c r="AO306">
        <f>IF($AK306=1,IFERROR(IF(VALUE($D306)&lt;100000000,VALUE($D306),1000000000),IFERROR(IF(VALUE(MID($D306,2,20))&lt;100000000,VALUE(MID($D306,2,20)),1000000000),1000000000))+ROW()/100000,"")</f>
        <v/>
      </c>
    </row>
    <row r="307">
      <c r="F307" s="11" t="n"/>
      <c r="N307" s="7">
        <f>IF($D307="","",M307*V307/100)</f>
        <v/>
      </c>
      <c r="O307" s="7" t="n"/>
      <c r="U307" s="7" t="n"/>
      <c r="V307" s="7" t="n"/>
      <c r="W307" s="7">
        <f>IF($D307="","",V307*AB307/100)</f>
        <v/>
      </c>
      <c r="X307" s="7">
        <f>IF($D307="","",V307-W307)</f>
        <v/>
      </c>
      <c r="Y307" s="7">
        <f>IF($D307="","",X307-N307)</f>
        <v/>
      </c>
      <c r="AB307">
        <f>IF($D307="","",IF($AN307=1,0,IF($AM307=1,Settings!$C$6,Settings!$C$7))*100)</f>
        <v/>
      </c>
      <c r="AF307" s="7" t="n"/>
      <c r="AI307" s="11" t="n"/>
      <c r="AK307">
        <f>IF($D307="","",IF(COUNTIF($D$2:$D307,$D307)=1,1,0))</f>
        <v/>
      </c>
      <c r="AL307">
        <f>IF($AK307=1,SUMPRODUCT(--($AO$2:$AO$1501&lt;$AO307))+1,"")</f>
        <v/>
      </c>
      <c r="AM307">
        <f>IF($D307="","",IF(OR($R307=TRUE(),$R307="TRUE"),1,0))</f>
        <v/>
      </c>
      <c r="AN307">
        <f>IF($D307="","",IF($AA307="Yes",1,0))</f>
        <v/>
      </c>
      <c r="AO307">
        <f>IF($AK307=1,IFERROR(IF(VALUE($D307)&lt;100000000,VALUE($D307),1000000000),IFERROR(IF(VALUE(MID($D307,2,20))&lt;100000000,VALUE(MID($D307,2,20)),1000000000),1000000000))+ROW()/100000,"")</f>
        <v/>
      </c>
    </row>
    <row r="308">
      <c r="F308" s="11" t="n"/>
      <c r="N308" s="7">
        <f>IF($D308="","",M308*V308/100)</f>
        <v/>
      </c>
      <c r="O308" s="7" t="n"/>
      <c r="U308" s="7" t="n"/>
      <c r="V308" s="7" t="n"/>
      <c r="W308" s="7">
        <f>IF($D308="","",V308*AB308/100)</f>
        <v/>
      </c>
      <c r="X308" s="7">
        <f>IF($D308="","",V308-W308)</f>
        <v/>
      </c>
      <c r="Y308" s="7">
        <f>IF($D308="","",X308-N308)</f>
        <v/>
      </c>
      <c r="AB308">
        <f>IF($D308="","",IF($AN308=1,0,IF($AM308=1,Settings!$C$6,Settings!$C$7))*100)</f>
        <v/>
      </c>
      <c r="AF308" s="7" t="n"/>
      <c r="AI308" s="11" t="n"/>
      <c r="AK308">
        <f>IF($D308="","",IF(COUNTIF($D$2:$D308,$D308)=1,1,0))</f>
        <v/>
      </c>
      <c r="AL308">
        <f>IF($AK308=1,SUMPRODUCT(--($AO$2:$AO$1501&lt;$AO308))+1,"")</f>
        <v/>
      </c>
      <c r="AM308">
        <f>IF($D308="","",IF(OR($R308=TRUE(),$R308="TRUE"),1,0))</f>
        <v/>
      </c>
      <c r="AN308">
        <f>IF($D308="","",IF($AA308="Yes",1,0))</f>
        <v/>
      </c>
      <c r="AO308">
        <f>IF($AK308=1,IFERROR(IF(VALUE($D308)&lt;100000000,VALUE($D308),1000000000),IFERROR(IF(VALUE(MID($D308,2,20))&lt;100000000,VALUE(MID($D308,2,20)),1000000000),1000000000))+ROW()/100000,"")</f>
        <v/>
      </c>
    </row>
    <row r="309">
      <c r="F309" s="11" t="n"/>
      <c r="N309" s="7">
        <f>IF($D309="","",M309*V309/100)</f>
        <v/>
      </c>
      <c r="O309" s="7" t="n"/>
      <c r="U309" s="7" t="n"/>
      <c r="V309" s="7" t="n"/>
      <c r="W309" s="7">
        <f>IF($D309="","",V309*AB309/100)</f>
        <v/>
      </c>
      <c r="X309" s="7">
        <f>IF($D309="","",V309-W309)</f>
        <v/>
      </c>
      <c r="Y309" s="7">
        <f>IF($D309="","",X309-N309)</f>
        <v/>
      </c>
      <c r="AB309">
        <f>IF($D309="","",IF($AN309=1,0,IF($AM309=1,Settings!$C$6,Settings!$C$7))*100)</f>
        <v/>
      </c>
      <c r="AF309" s="7" t="n"/>
      <c r="AI309" s="11" t="n"/>
      <c r="AK309">
        <f>IF($D309="","",IF(COUNTIF($D$2:$D309,$D309)=1,1,0))</f>
        <v/>
      </c>
      <c r="AL309">
        <f>IF($AK309=1,SUMPRODUCT(--($AO$2:$AO$1501&lt;$AO309))+1,"")</f>
        <v/>
      </c>
      <c r="AM309">
        <f>IF($D309="","",IF(OR($R309=TRUE(),$R309="TRUE"),1,0))</f>
        <v/>
      </c>
      <c r="AN309">
        <f>IF($D309="","",IF($AA309="Yes",1,0))</f>
        <v/>
      </c>
      <c r="AO309">
        <f>IF($AK309=1,IFERROR(IF(VALUE($D309)&lt;100000000,VALUE($D309),1000000000),IFERROR(IF(VALUE(MID($D309,2,20))&lt;100000000,VALUE(MID($D309,2,20)),1000000000),1000000000))+ROW()/100000,"")</f>
        <v/>
      </c>
    </row>
    <row r="310">
      <c r="F310" s="11" t="n"/>
      <c r="N310" s="7">
        <f>IF($D310="","",M310*V310/100)</f>
        <v/>
      </c>
      <c r="O310" s="7" t="n"/>
      <c r="U310" s="7" t="n"/>
      <c r="V310" s="7" t="n"/>
      <c r="W310" s="7">
        <f>IF($D310="","",V310*AB310/100)</f>
        <v/>
      </c>
      <c r="X310" s="7">
        <f>IF($D310="","",V310-W310)</f>
        <v/>
      </c>
      <c r="Y310" s="7">
        <f>IF($D310="","",X310-N310)</f>
        <v/>
      </c>
      <c r="AB310">
        <f>IF($D310="","",IF($AN310=1,0,IF($AM310=1,Settings!$C$6,Settings!$C$7))*100)</f>
        <v/>
      </c>
      <c r="AF310" s="7" t="n"/>
      <c r="AI310" s="11" t="n"/>
      <c r="AK310">
        <f>IF($D310="","",IF(COUNTIF($D$2:$D310,$D310)=1,1,0))</f>
        <v/>
      </c>
      <c r="AL310">
        <f>IF($AK310=1,SUMPRODUCT(--($AO$2:$AO$1501&lt;$AO310))+1,"")</f>
        <v/>
      </c>
      <c r="AM310">
        <f>IF($D310="","",IF(OR($R310=TRUE(),$R310="TRUE"),1,0))</f>
        <v/>
      </c>
      <c r="AN310">
        <f>IF($D310="","",IF($AA310="Yes",1,0))</f>
        <v/>
      </c>
      <c r="AO310">
        <f>IF($AK310=1,IFERROR(IF(VALUE($D310)&lt;100000000,VALUE($D310),1000000000),IFERROR(IF(VALUE(MID($D310,2,20))&lt;100000000,VALUE(MID($D310,2,20)),1000000000),1000000000))+ROW()/100000,"")</f>
        <v/>
      </c>
    </row>
    <row r="311">
      <c r="F311" s="11" t="n"/>
      <c r="N311" s="7">
        <f>IF($D311="","",M311*V311/100)</f>
        <v/>
      </c>
      <c r="O311" s="7" t="n"/>
      <c r="U311" s="7" t="n"/>
      <c r="V311" s="7" t="n"/>
      <c r="W311" s="7">
        <f>IF($D311="","",V311*AB311/100)</f>
        <v/>
      </c>
      <c r="X311" s="7">
        <f>IF($D311="","",V311-W311)</f>
        <v/>
      </c>
      <c r="Y311" s="7">
        <f>IF($D311="","",X311-N311)</f>
        <v/>
      </c>
      <c r="AB311">
        <f>IF($D311="","",IF($AN311=1,0,IF($AM311=1,Settings!$C$6,Settings!$C$7))*100)</f>
        <v/>
      </c>
      <c r="AF311" s="7" t="n"/>
      <c r="AI311" s="11" t="n"/>
      <c r="AK311">
        <f>IF($D311="","",IF(COUNTIF($D$2:$D311,$D311)=1,1,0))</f>
        <v/>
      </c>
      <c r="AL311">
        <f>IF($AK311=1,SUMPRODUCT(--($AO$2:$AO$1501&lt;$AO311))+1,"")</f>
        <v/>
      </c>
      <c r="AM311">
        <f>IF($D311="","",IF(OR($R311=TRUE(),$R311="TRUE"),1,0))</f>
        <v/>
      </c>
      <c r="AN311">
        <f>IF($D311="","",IF($AA311="Yes",1,0))</f>
        <v/>
      </c>
      <c r="AO311">
        <f>IF($AK311=1,IFERROR(IF(VALUE($D311)&lt;100000000,VALUE($D311),1000000000),IFERROR(IF(VALUE(MID($D311,2,20))&lt;100000000,VALUE(MID($D311,2,20)),1000000000),1000000000))+ROW()/100000,"")</f>
        <v/>
      </c>
    </row>
    <row r="312">
      <c r="F312" s="11" t="n"/>
      <c r="N312" s="7">
        <f>IF($D312="","",M312*V312/100)</f>
        <v/>
      </c>
      <c r="O312" s="7" t="n"/>
      <c r="U312" s="7" t="n"/>
      <c r="V312" s="7" t="n"/>
      <c r="W312" s="7">
        <f>IF($D312="","",V312*AB312/100)</f>
        <v/>
      </c>
      <c r="X312" s="7">
        <f>IF($D312="","",V312-W312)</f>
        <v/>
      </c>
      <c r="Y312" s="7">
        <f>IF($D312="","",X312-N312)</f>
        <v/>
      </c>
      <c r="AB312">
        <f>IF($D312="","",IF($AN312=1,0,IF($AM312=1,Settings!$C$6,Settings!$C$7))*100)</f>
        <v/>
      </c>
      <c r="AF312" s="7" t="n"/>
      <c r="AI312" s="11" t="n"/>
      <c r="AK312">
        <f>IF($D312="","",IF(COUNTIF($D$2:$D312,$D312)=1,1,0))</f>
        <v/>
      </c>
      <c r="AL312">
        <f>IF($AK312=1,SUMPRODUCT(--($AO$2:$AO$1501&lt;$AO312))+1,"")</f>
        <v/>
      </c>
      <c r="AM312">
        <f>IF($D312="","",IF(OR($R312=TRUE(),$R312="TRUE"),1,0))</f>
        <v/>
      </c>
      <c r="AN312">
        <f>IF($D312="","",IF($AA312="Yes",1,0))</f>
        <v/>
      </c>
      <c r="AO312">
        <f>IF($AK312=1,IFERROR(IF(VALUE($D312)&lt;100000000,VALUE($D312),1000000000),IFERROR(IF(VALUE(MID($D312,2,20))&lt;100000000,VALUE(MID($D312,2,20)),1000000000),1000000000))+ROW()/100000,"")</f>
        <v/>
      </c>
    </row>
    <row r="313">
      <c r="F313" s="11" t="n"/>
      <c r="N313" s="7">
        <f>IF($D313="","",M313*V313/100)</f>
        <v/>
      </c>
      <c r="O313" s="7" t="n"/>
      <c r="U313" s="7" t="n"/>
      <c r="V313" s="7" t="n"/>
      <c r="W313" s="7">
        <f>IF($D313="","",V313*AB313/100)</f>
        <v/>
      </c>
      <c r="X313" s="7">
        <f>IF($D313="","",V313-W313)</f>
        <v/>
      </c>
      <c r="Y313" s="7">
        <f>IF($D313="","",X313-N313)</f>
        <v/>
      </c>
      <c r="AB313">
        <f>IF($D313="","",IF($AN313=1,0,IF($AM313=1,Settings!$C$6,Settings!$C$7))*100)</f>
        <v/>
      </c>
      <c r="AF313" s="7" t="n"/>
      <c r="AI313" s="11" t="n"/>
      <c r="AK313">
        <f>IF($D313="","",IF(COUNTIF($D$2:$D313,$D313)=1,1,0))</f>
        <v/>
      </c>
      <c r="AL313">
        <f>IF($AK313=1,SUMPRODUCT(--($AO$2:$AO$1501&lt;$AO313))+1,"")</f>
        <v/>
      </c>
      <c r="AM313">
        <f>IF($D313="","",IF(OR($R313=TRUE(),$R313="TRUE"),1,0))</f>
        <v/>
      </c>
      <c r="AN313">
        <f>IF($D313="","",IF($AA313="Yes",1,0))</f>
        <v/>
      </c>
      <c r="AO313">
        <f>IF($AK313=1,IFERROR(IF(VALUE($D313)&lt;100000000,VALUE($D313),1000000000),IFERROR(IF(VALUE(MID($D313,2,20))&lt;100000000,VALUE(MID($D313,2,20)),1000000000),1000000000))+ROW()/100000,"")</f>
        <v/>
      </c>
    </row>
    <row r="314">
      <c r="F314" s="11" t="n"/>
      <c r="N314" s="7">
        <f>IF($D314="","",M314*V314/100)</f>
        <v/>
      </c>
      <c r="O314" s="7" t="n"/>
      <c r="U314" s="7" t="n"/>
      <c r="V314" s="7" t="n"/>
      <c r="W314" s="7">
        <f>IF($D314="","",V314*AB314/100)</f>
        <v/>
      </c>
      <c r="X314" s="7">
        <f>IF($D314="","",V314-W314)</f>
        <v/>
      </c>
      <c r="Y314" s="7">
        <f>IF($D314="","",X314-N314)</f>
        <v/>
      </c>
      <c r="AB314">
        <f>IF($D314="","",IF($AN314=1,0,IF($AM314=1,Settings!$C$6,Settings!$C$7))*100)</f>
        <v/>
      </c>
      <c r="AF314" s="7" t="n"/>
      <c r="AI314" s="11" t="n"/>
      <c r="AK314">
        <f>IF($D314="","",IF(COUNTIF($D$2:$D314,$D314)=1,1,0))</f>
        <v/>
      </c>
      <c r="AL314">
        <f>IF($AK314=1,SUMPRODUCT(--($AO$2:$AO$1501&lt;$AO314))+1,"")</f>
        <v/>
      </c>
      <c r="AM314">
        <f>IF($D314="","",IF(OR($R314=TRUE(),$R314="TRUE"),1,0))</f>
        <v/>
      </c>
      <c r="AN314">
        <f>IF($D314="","",IF($AA314="Yes",1,0))</f>
        <v/>
      </c>
      <c r="AO314">
        <f>IF($AK314=1,IFERROR(IF(VALUE($D314)&lt;100000000,VALUE($D314),1000000000),IFERROR(IF(VALUE(MID($D314,2,20))&lt;100000000,VALUE(MID($D314,2,20)),1000000000),1000000000))+ROW()/100000,"")</f>
        <v/>
      </c>
    </row>
    <row r="315">
      <c r="F315" s="11" t="n"/>
      <c r="N315" s="7">
        <f>IF($D315="","",M315*V315/100)</f>
        <v/>
      </c>
      <c r="O315" s="7" t="n"/>
      <c r="U315" s="7" t="n"/>
      <c r="V315" s="7" t="n"/>
      <c r="W315" s="7">
        <f>IF($D315="","",V315*AB315/100)</f>
        <v/>
      </c>
      <c r="X315" s="7">
        <f>IF($D315="","",V315-W315)</f>
        <v/>
      </c>
      <c r="Y315" s="7">
        <f>IF($D315="","",X315-N315)</f>
        <v/>
      </c>
      <c r="AB315">
        <f>IF($D315="","",IF($AN315=1,0,IF($AM315=1,Settings!$C$6,Settings!$C$7))*100)</f>
        <v/>
      </c>
      <c r="AF315" s="7" t="n"/>
      <c r="AI315" s="11" t="n"/>
      <c r="AK315">
        <f>IF($D315="","",IF(COUNTIF($D$2:$D315,$D315)=1,1,0))</f>
        <v/>
      </c>
      <c r="AL315">
        <f>IF($AK315=1,SUMPRODUCT(--($AO$2:$AO$1501&lt;$AO315))+1,"")</f>
        <v/>
      </c>
      <c r="AM315">
        <f>IF($D315="","",IF(OR($R315=TRUE(),$R315="TRUE"),1,0))</f>
        <v/>
      </c>
      <c r="AN315">
        <f>IF($D315="","",IF($AA315="Yes",1,0))</f>
        <v/>
      </c>
      <c r="AO315">
        <f>IF($AK315=1,IFERROR(IF(VALUE($D315)&lt;100000000,VALUE($D315),1000000000),IFERROR(IF(VALUE(MID($D315,2,20))&lt;100000000,VALUE(MID($D315,2,20)),1000000000),1000000000))+ROW()/100000,"")</f>
        <v/>
      </c>
    </row>
    <row r="316">
      <c r="F316" s="11" t="n"/>
      <c r="N316" s="7">
        <f>IF($D316="","",M316*V316/100)</f>
        <v/>
      </c>
      <c r="O316" s="7" t="n"/>
      <c r="U316" s="7" t="n"/>
      <c r="V316" s="7" t="n"/>
      <c r="W316" s="7">
        <f>IF($D316="","",V316*AB316/100)</f>
        <v/>
      </c>
      <c r="X316" s="7">
        <f>IF($D316="","",V316-W316)</f>
        <v/>
      </c>
      <c r="Y316" s="7">
        <f>IF($D316="","",X316-N316)</f>
        <v/>
      </c>
      <c r="AB316">
        <f>IF($D316="","",IF($AN316=1,0,IF($AM316=1,Settings!$C$6,Settings!$C$7))*100)</f>
        <v/>
      </c>
      <c r="AF316" s="7" t="n"/>
      <c r="AI316" s="11" t="n"/>
      <c r="AK316">
        <f>IF($D316="","",IF(COUNTIF($D$2:$D316,$D316)=1,1,0))</f>
        <v/>
      </c>
      <c r="AL316">
        <f>IF($AK316=1,SUMPRODUCT(--($AO$2:$AO$1501&lt;$AO316))+1,"")</f>
        <v/>
      </c>
      <c r="AM316">
        <f>IF($D316="","",IF(OR($R316=TRUE(),$R316="TRUE"),1,0))</f>
        <v/>
      </c>
      <c r="AN316">
        <f>IF($D316="","",IF($AA316="Yes",1,0))</f>
        <v/>
      </c>
      <c r="AO316">
        <f>IF($AK316=1,IFERROR(IF(VALUE($D316)&lt;100000000,VALUE($D316),1000000000),IFERROR(IF(VALUE(MID($D316,2,20))&lt;100000000,VALUE(MID($D316,2,20)),1000000000),1000000000))+ROW()/100000,"")</f>
        <v/>
      </c>
    </row>
    <row r="317">
      <c r="F317" s="11" t="n"/>
      <c r="N317" s="7">
        <f>IF($D317="","",M317*V317/100)</f>
        <v/>
      </c>
      <c r="O317" s="7" t="n"/>
      <c r="U317" s="7" t="n"/>
      <c r="V317" s="7" t="n"/>
      <c r="W317" s="7">
        <f>IF($D317="","",V317*AB317/100)</f>
        <v/>
      </c>
      <c r="X317" s="7">
        <f>IF($D317="","",V317-W317)</f>
        <v/>
      </c>
      <c r="Y317" s="7">
        <f>IF($D317="","",X317-N317)</f>
        <v/>
      </c>
      <c r="AB317">
        <f>IF($D317="","",IF($AN317=1,0,IF($AM317=1,Settings!$C$6,Settings!$C$7))*100)</f>
        <v/>
      </c>
      <c r="AF317" s="7" t="n"/>
      <c r="AI317" s="11" t="n"/>
      <c r="AK317">
        <f>IF($D317="","",IF(COUNTIF($D$2:$D317,$D317)=1,1,0))</f>
        <v/>
      </c>
      <c r="AL317">
        <f>IF($AK317=1,SUMPRODUCT(--($AO$2:$AO$1501&lt;$AO317))+1,"")</f>
        <v/>
      </c>
      <c r="AM317">
        <f>IF($D317="","",IF(OR($R317=TRUE(),$R317="TRUE"),1,0))</f>
        <v/>
      </c>
      <c r="AN317">
        <f>IF($D317="","",IF($AA317="Yes",1,0))</f>
        <v/>
      </c>
      <c r="AO317">
        <f>IF($AK317=1,IFERROR(IF(VALUE($D317)&lt;100000000,VALUE($D317),1000000000),IFERROR(IF(VALUE(MID($D317,2,20))&lt;100000000,VALUE(MID($D317,2,20)),1000000000),1000000000))+ROW()/100000,"")</f>
        <v/>
      </c>
    </row>
    <row r="318">
      <c r="F318" s="11" t="n"/>
      <c r="N318" s="7">
        <f>IF($D318="","",M318*V318/100)</f>
        <v/>
      </c>
      <c r="O318" s="7" t="n"/>
      <c r="U318" s="7" t="n"/>
      <c r="V318" s="7" t="n"/>
      <c r="W318" s="7">
        <f>IF($D318="","",V318*AB318/100)</f>
        <v/>
      </c>
      <c r="X318" s="7">
        <f>IF($D318="","",V318-W318)</f>
        <v/>
      </c>
      <c r="Y318" s="7">
        <f>IF($D318="","",X318-N318)</f>
        <v/>
      </c>
      <c r="AB318">
        <f>IF($D318="","",IF($AN318=1,0,IF($AM318=1,Settings!$C$6,Settings!$C$7))*100)</f>
        <v/>
      </c>
      <c r="AF318" s="7" t="n"/>
      <c r="AI318" s="11" t="n"/>
      <c r="AK318">
        <f>IF($D318="","",IF(COUNTIF($D$2:$D318,$D318)=1,1,0))</f>
        <v/>
      </c>
      <c r="AL318">
        <f>IF($AK318=1,SUMPRODUCT(--($AO$2:$AO$1501&lt;$AO318))+1,"")</f>
        <v/>
      </c>
      <c r="AM318">
        <f>IF($D318="","",IF(OR($R318=TRUE(),$R318="TRUE"),1,0))</f>
        <v/>
      </c>
      <c r="AN318">
        <f>IF($D318="","",IF($AA318="Yes",1,0))</f>
        <v/>
      </c>
      <c r="AO318">
        <f>IF($AK318=1,IFERROR(IF(VALUE($D318)&lt;100000000,VALUE($D318),1000000000),IFERROR(IF(VALUE(MID($D318,2,20))&lt;100000000,VALUE(MID($D318,2,20)),1000000000),1000000000))+ROW()/100000,"")</f>
        <v/>
      </c>
    </row>
    <row r="319">
      <c r="F319" s="11" t="n"/>
      <c r="N319" s="7">
        <f>IF($D319="","",M319*V319/100)</f>
        <v/>
      </c>
      <c r="O319" s="7" t="n"/>
      <c r="U319" s="7" t="n"/>
      <c r="V319" s="7" t="n"/>
      <c r="W319" s="7">
        <f>IF($D319="","",V319*AB319/100)</f>
        <v/>
      </c>
      <c r="X319" s="7">
        <f>IF($D319="","",V319-W319)</f>
        <v/>
      </c>
      <c r="Y319" s="7">
        <f>IF($D319="","",X319-N319)</f>
        <v/>
      </c>
      <c r="AB319">
        <f>IF($D319="","",IF($AN319=1,0,IF($AM319=1,Settings!$C$6,Settings!$C$7))*100)</f>
        <v/>
      </c>
      <c r="AF319" s="7" t="n"/>
      <c r="AI319" s="11" t="n"/>
      <c r="AK319">
        <f>IF($D319="","",IF(COUNTIF($D$2:$D319,$D319)=1,1,0))</f>
        <v/>
      </c>
      <c r="AL319">
        <f>IF($AK319=1,SUMPRODUCT(--($AO$2:$AO$1501&lt;$AO319))+1,"")</f>
        <v/>
      </c>
      <c r="AM319">
        <f>IF($D319="","",IF(OR($R319=TRUE(),$R319="TRUE"),1,0))</f>
        <v/>
      </c>
      <c r="AN319">
        <f>IF($D319="","",IF($AA319="Yes",1,0))</f>
        <v/>
      </c>
      <c r="AO319">
        <f>IF($AK319=1,IFERROR(IF(VALUE($D319)&lt;100000000,VALUE($D319),1000000000),IFERROR(IF(VALUE(MID($D319,2,20))&lt;100000000,VALUE(MID($D319,2,20)),1000000000),1000000000))+ROW()/100000,"")</f>
        <v/>
      </c>
    </row>
    <row r="320">
      <c r="F320" s="11" t="n"/>
      <c r="N320" s="7">
        <f>IF($D320="","",M320*V320/100)</f>
        <v/>
      </c>
      <c r="O320" s="7" t="n"/>
      <c r="U320" s="7" t="n"/>
      <c r="V320" s="7" t="n"/>
      <c r="W320" s="7">
        <f>IF($D320="","",V320*AB320/100)</f>
        <v/>
      </c>
      <c r="X320" s="7">
        <f>IF($D320="","",V320-W320)</f>
        <v/>
      </c>
      <c r="Y320" s="7">
        <f>IF($D320="","",X320-N320)</f>
        <v/>
      </c>
      <c r="AB320">
        <f>IF($D320="","",IF($AN320=1,0,IF($AM320=1,Settings!$C$6,Settings!$C$7))*100)</f>
        <v/>
      </c>
      <c r="AF320" s="7" t="n"/>
      <c r="AI320" s="11" t="n"/>
      <c r="AK320">
        <f>IF($D320="","",IF(COUNTIF($D$2:$D320,$D320)=1,1,0))</f>
        <v/>
      </c>
      <c r="AL320">
        <f>IF($AK320=1,SUMPRODUCT(--($AO$2:$AO$1501&lt;$AO320))+1,"")</f>
        <v/>
      </c>
      <c r="AM320">
        <f>IF($D320="","",IF(OR($R320=TRUE(),$R320="TRUE"),1,0))</f>
        <v/>
      </c>
      <c r="AN320">
        <f>IF($D320="","",IF($AA320="Yes",1,0))</f>
        <v/>
      </c>
      <c r="AO320">
        <f>IF($AK320=1,IFERROR(IF(VALUE($D320)&lt;100000000,VALUE($D320),1000000000),IFERROR(IF(VALUE(MID($D320,2,20))&lt;100000000,VALUE(MID($D320,2,20)),1000000000),1000000000))+ROW()/100000,"")</f>
        <v/>
      </c>
    </row>
    <row r="321">
      <c r="F321" s="11" t="n"/>
      <c r="N321" s="7">
        <f>IF($D321="","",M321*V321/100)</f>
        <v/>
      </c>
      <c r="O321" s="7" t="n"/>
      <c r="U321" s="7" t="n"/>
      <c r="V321" s="7" t="n"/>
      <c r="W321" s="7">
        <f>IF($D321="","",V321*AB321/100)</f>
        <v/>
      </c>
      <c r="X321" s="7">
        <f>IF($D321="","",V321-W321)</f>
        <v/>
      </c>
      <c r="Y321" s="7">
        <f>IF($D321="","",X321-N321)</f>
        <v/>
      </c>
      <c r="AB321">
        <f>IF($D321="","",IF($AN321=1,0,IF($AM321=1,Settings!$C$6,Settings!$C$7))*100)</f>
        <v/>
      </c>
      <c r="AF321" s="7" t="n"/>
      <c r="AI321" s="11" t="n"/>
      <c r="AK321">
        <f>IF($D321="","",IF(COUNTIF($D$2:$D321,$D321)=1,1,0))</f>
        <v/>
      </c>
      <c r="AL321">
        <f>IF($AK321=1,SUMPRODUCT(--($AO$2:$AO$1501&lt;$AO321))+1,"")</f>
        <v/>
      </c>
      <c r="AM321">
        <f>IF($D321="","",IF(OR($R321=TRUE(),$R321="TRUE"),1,0))</f>
        <v/>
      </c>
      <c r="AN321">
        <f>IF($D321="","",IF($AA321="Yes",1,0))</f>
        <v/>
      </c>
      <c r="AO321">
        <f>IF($AK321=1,IFERROR(IF(VALUE($D321)&lt;100000000,VALUE($D321),1000000000),IFERROR(IF(VALUE(MID($D321,2,20))&lt;100000000,VALUE(MID($D321,2,20)),1000000000),1000000000))+ROW()/100000,"")</f>
        <v/>
      </c>
    </row>
    <row r="322">
      <c r="F322" s="11" t="n"/>
      <c r="N322" s="7">
        <f>IF($D322="","",M322*V322/100)</f>
        <v/>
      </c>
      <c r="O322" s="7" t="n"/>
      <c r="U322" s="7" t="n"/>
      <c r="V322" s="7" t="n"/>
      <c r="W322" s="7">
        <f>IF($D322="","",V322*AB322/100)</f>
        <v/>
      </c>
      <c r="X322" s="7">
        <f>IF($D322="","",V322-W322)</f>
        <v/>
      </c>
      <c r="Y322" s="7">
        <f>IF($D322="","",X322-N322)</f>
        <v/>
      </c>
      <c r="AB322">
        <f>IF($D322="","",IF($AN322=1,0,IF($AM322=1,Settings!$C$6,Settings!$C$7))*100)</f>
        <v/>
      </c>
      <c r="AF322" s="7" t="n"/>
      <c r="AI322" s="11" t="n"/>
      <c r="AK322">
        <f>IF($D322="","",IF(COUNTIF($D$2:$D322,$D322)=1,1,0))</f>
        <v/>
      </c>
      <c r="AL322">
        <f>IF($AK322=1,SUMPRODUCT(--($AO$2:$AO$1501&lt;$AO322))+1,"")</f>
        <v/>
      </c>
      <c r="AM322">
        <f>IF($D322="","",IF(OR($R322=TRUE(),$R322="TRUE"),1,0))</f>
        <v/>
      </c>
      <c r="AN322">
        <f>IF($D322="","",IF($AA322="Yes",1,0))</f>
        <v/>
      </c>
      <c r="AO322">
        <f>IF($AK322=1,IFERROR(IF(VALUE($D322)&lt;100000000,VALUE($D322),1000000000),IFERROR(IF(VALUE(MID($D322,2,20))&lt;100000000,VALUE(MID($D322,2,20)),1000000000),1000000000))+ROW()/100000,"")</f>
        <v/>
      </c>
    </row>
    <row r="323">
      <c r="F323" s="11" t="n"/>
      <c r="N323" s="7">
        <f>IF($D323="","",M323*V323/100)</f>
        <v/>
      </c>
      <c r="O323" s="7" t="n"/>
      <c r="U323" s="7" t="n"/>
      <c r="V323" s="7" t="n"/>
      <c r="W323" s="7">
        <f>IF($D323="","",V323*AB323/100)</f>
        <v/>
      </c>
      <c r="X323" s="7">
        <f>IF($D323="","",V323-W323)</f>
        <v/>
      </c>
      <c r="Y323" s="7">
        <f>IF($D323="","",X323-N323)</f>
        <v/>
      </c>
      <c r="AB323">
        <f>IF($D323="","",IF($AN323=1,0,IF($AM323=1,Settings!$C$6,Settings!$C$7))*100)</f>
        <v/>
      </c>
      <c r="AF323" s="7" t="n"/>
      <c r="AI323" s="11" t="n"/>
      <c r="AK323">
        <f>IF($D323="","",IF(COUNTIF($D$2:$D323,$D323)=1,1,0))</f>
        <v/>
      </c>
      <c r="AL323">
        <f>IF($AK323=1,SUMPRODUCT(--($AO$2:$AO$1501&lt;$AO323))+1,"")</f>
        <v/>
      </c>
      <c r="AM323">
        <f>IF($D323="","",IF(OR($R323=TRUE(),$R323="TRUE"),1,0))</f>
        <v/>
      </c>
      <c r="AN323">
        <f>IF($D323="","",IF($AA323="Yes",1,0))</f>
        <v/>
      </c>
      <c r="AO323">
        <f>IF($AK323=1,IFERROR(IF(VALUE($D323)&lt;100000000,VALUE($D323),1000000000),IFERROR(IF(VALUE(MID($D323,2,20))&lt;100000000,VALUE(MID($D323,2,20)),1000000000),1000000000))+ROW()/100000,"")</f>
        <v/>
      </c>
    </row>
    <row r="324">
      <c r="F324" s="11" t="n"/>
      <c r="N324" s="7">
        <f>IF($D324="","",M324*V324/100)</f>
        <v/>
      </c>
      <c r="O324" s="7" t="n"/>
      <c r="U324" s="7" t="n"/>
      <c r="V324" s="7" t="n"/>
      <c r="W324" s="7">
        <f>IF($D324="","",V324*AB324/100)</f>
        <v/>
      </c>
      <c r="X324" s="7">
        <f>IF($D324="","",V324-W324)</f>
        <v/>
      </c>
      <c r="Y324" s="7">
        <f>IF($D324="","",X324-N324)</f>
        <v/>
      </c>
      <c r="AB324">
        <f>IF($D324="","",IF($AN324=1,0,IF($AM324=1,Settings!$C$6,Settings!$C$7))*100)</f>
        <v/>
      </c>
      <c r="AF324" s="7" t="n"/>
      <c r="AI324" s="11" t="n"/>
      <c r="AK324">
        <f>IF($D324="","",IF(COUNTIF($D$2:$D324,$D324)=1,1,0))</f>
        <v/>
      </c>
      <c r="AL324">
        <f>IF($AK324=1,SUMPRODUCT(--($AO$2:$AO$1501&lt;$AO324))+1,"")</f>
        <v/>
      </c>
      <c r="AM324">
        <f>IF($D324="","",IF(OR($R324=TRUE(),$R324="TRUE"),1,0))</f>
        <v/>
      </c>
      <c r="AN324">
        <f>IF($D324="","",IF($AA324="Yes",1,0))</f>
        <v/>
      </c>
      <c r="AO324">
        <f>IF($AK324=1,IFERROR(IF(VALUE($D324)&lt;100000000,VALUE($D324),1000000000),IFERROR(IF(VALUE(MID($D324,2,20))&lt;100000000,VALUE(MID($D324,2,20)),1000000000),1000000000))+ROW()/100000,"")</f>
        <v/>
      </c>
    </row>
    <row r="325">
      <c r="F325" s="11" t="n"/>
      <c r="N325" s="7">
        <f>IF($D325="","",M325*V325/100)</f>
        <v/>
      </c>
      <c r="O325" s="7" t="n"/>
      <c r="U325" s="7" t="n"/>
      <c r="V325" s="7" t="n"/>
      <c r="W325" s="7">
        <f>IF($D325="","",V325*AB325/100)</f>
        <v/>
      </c>
      <c r="X325" s="7">
        <f>IF($D325="","",V325-W325)</f>
        <v/>
      </c>
      <c r="Y325" s="7">
        <f>IF($D325="","",X325-N325)</f>
        <v/>
      </c>
      <c r="AB325">
        <f>IF($D325="","",IF($AN325=1,0,IF($AM325=1,Settings!$C$6,Settings!$C$7))*100)</f>
        <v/>
      </c>
      <c r="AF325" s="7" t="n"/>
      <c r="AI325" s="11" t="n"/>
      <c r="AK325">
        <f>IF($D325="","",IF(COUNTIF($D$2:$D325,$D325)=1,1,0))</f>
        <v/>
      </c>
      <c r="AL325">
        <f>IF($AK325=1,SUMPRODUCT(--($AO$2:$AO$1501&lt;$AO325))+1,"")</f>
        <v/>
      </c>
      <c r="AM325">
        <f>IF($D325="","",IF(OR($R325=TRUE(),$R325="TRUE"),1,0))</f>
        <v/>
      </c>
      <c r="AN325">
        <f>IF($D325="","",IF($AA325="Yes",1,0))</f>
        <v/>
      </c>
      <c r="AO325">
        <f>IF($AK325=1,IFERROR(IF(VALUE($D325)&lt;100000000,VALUE($D325),1000000000),IFERROR(IF(VALUE(MID($D325,2,20))&lt;100000000,VALUE(MID($D325,2,20)),1000000000),1000000000))+ROW()/100000,"")</f>
        <v/>
      </c>
    </row>
    <row r="326">
      <c r="F326" s="11" t="n"/>
      <c r="N326" s="7">
        <f>IF($D326="","",M326*V326/100)</f>
        <v/>
      </c>
      <c r="O326" s="7" t="n"/>
      <c r="U326" s="7" t="n"/>
      <c r="V326" s="7" t="n"/>
      <c r="W326" s="7">
        <f>IF($D326="","",V326*AB326/100)</f>
        <v/>
      </c>
      <c r="X326" s="7">
        <f>IF($D326="","",V326-W326)</f>
        <v/>
      </c>
      <c r="Y326" s="7">
        <f>IF($D326="","",X326-N326)</f>
        <v/>
      </c>
      <c r="AB326">
        <f>IF($D326="","",IF($AN326=1,0,IF($AM326=1,Settings!$C$6,Settings!$C$7))*100)</f>
        <v/>
      </c>
      <c r="AF326" s="7" t="n"/>
      <c r="AI326" s="11" t="n"/>
      <c r="AK326">
        <f>IF($D326="","",IF(COUNTIF($D$2:$D326,$D326)=1,1,0))</f>
        <v/>
      </c>
      <c r="AL326">
        <f>IF($AK326=1,SUMPRODUCT(--($AO$2:$AO$1501&lt;$AO326))+1,"")</f>
        <v/>
      </c>
      <c r="AM326">
        <f>IF($D326="","",IF(OR($R326=TRUE(),$R326="TRUE"),1,0))</f>
        <v/>
      </c>
      <c r="AN326">
        <f>IF($D326="","",IF($AA326="Yes",1,0))</f>
        <v/>
      </c>
      <c r="AO326">
        <f>IF($AK326=1,IFERROR(IF(VALUE($D326)&lt;100000000,VALUE($D326),1000000000),IFERROR(IF(VALUE(MID($D326,2,20))&lt;100000000,VALUE(MID($D326,2,20)),1000000000),1000000000))+ROW()/100000,"")</f>
        <v/>
      </c>
    </row>
    <row r="327">
      <c r="F327" s="11" t="n"/>
      <c r="N327" s="7">
        <f>IF($D327="","",M327*V327/100)</f>
        <v/>
      </c>
      <c r="O327" s="7" t="n"/>
      <c r="U327" s="7" t="n"/>
      <c r="V327" s="7" t="n"/>
      <c r="W327" s="7">
        <f>IF($D327="","",V327*AB327/100)</f>
        <v/>
      </c>
      <c r="X327" s="7">
        <f>IF($D327="","",V327-W327)</f>
        <v/>
      </c>
      <c r="Y327" s="7">
        <f>IF($D327="","",X327-N327)</f>
        <v/>
      </c>
      <c r="AB327">
        <f>IF($D327="","",IF($AN327=1,0,IF($AM327=1,Settings!$C$6,Settings!$C$7))*100)</f>
        <v/>
      </c>
      <c r="AF327" s="7" t="n"/>
      <c r="AI327" s="11" t="n"/>
      <c r="AK327">
        <f>IF($D327="","",IF(COUNTIF($D$2:$D327,$D327)=1,1,0))</f>
        <v/>
      </c>
      <c r="AL327">
        <f>IF($AK327=1,SUMPRODUCT(--($AO$2:$AO$1501&lt;$AO327))+1,"")</f>
        <v/>
      </c>
      <c r="AM327">
        <f>IF($D327="","",IF(OR($R327=TRUE(),$R327="TRUE"),1,0))</f>
        <v/>
      </c>
      <c r="AN327">
        <f>IF($D327="","",IF($AA327="Yes",1,0))</f>
        <v/>
      </c>
      <c r="AO327">
        <f>IF($AK327=1,IFERROR(IF(VALUE($D327)&lt;100000000,VALUE($D327),1000000000),IFERROR(IF(VALUE(MID($D327,2,20))&lt;100000000,VALUE(MID($D327,2,20)),1000000000),1000000000))+ROW()/100000,"")</f>
        <v/>
      </c>
    </row>
    <row r="328">
      <c r="F328" s="11" t="n"/>
      <c r="N328" s="7">
        <f>IF($D328="","",M328*V328/100)</f>
        <v/>
      </c>
      <c r="O328" s="7" t="n"/>
      <c r="U328" s="7" t="n"/>
      <c r="V328" s="7" t="n"/>
      <c r="W328" s="7">
        <f>IF($D328="","",V328*AB328/100)</f>
        <v/>
      </c>
      <c r="X328" s="7">
        <f>IF($D328="","",V328-W328)</f>
        <v/>
      </c>
      <c r="Y328" s="7">
        <f>IF($D328="","",X328-N328)</f>
        <v/>
      </c>
      <c r="AB328">
        <f>IF($D328="","",IF($AN328=1,0,IF($AM328=1,Settings!$C$6,Settings!$C$7))*100)</f>
        <v/>
      </c>
      <c r="AF328" s="7" t="n"/>
      <c r="AI328" s="11" t="n"/>
      <c r="AK328">
        <f>IF($D328="","",IF(COUNTIF($D$2:$D328,$D328)=1,1,0))</f>
        <v/>
      </c>
      <c r="AL328">
        <f>IF($AK328=1,SUMPRODUCT(--($AO$2:$AO$1501&lt;$AO328))+1,"")</f>
        <v/>
      </c>
      <c r="AM328">
        <f>IF($D328="","",IF(OR($R328=TRUE(),$R328="TRUE"),1,0))</f>
        <v/>
      </c>
      <c r="AN328">
        <f>IF($D328="","",IF($AA328="Yes",1,0))</f>
        <v/>
      </c>
      <c r="AO328">
        <f>IF($AK328=1,IFERROR(IF(VALUE($D328)&lt;100000000,VALUE($D328),1000000000),IFERROR(IF(VALUE(MID($D328,2,20))&lt;100000000,VALUE(MID($D328,2,20)),1000000000),1000000000))+ROW()/100000,"")</f>
        <v/>
      </c>
    </row>
    <row r="329">
      <c r="F329" s="11" t="n"/>
      <c r="N329" s="7">
        <f>IF($D329="","",M329*V329/100)</f>
        <v/>
      </c>
      <c r="O329" s="7" t="n"/>
      <c r="U329" s="7" t="n"/>
      <c r="V329" s="7" t="n"/>
      <c r="W329" s="7">
        <f>IF($D329="","",V329*AB329/100)</f>
        <v/>
      </c>
      <c r="X329" s="7">
        <f>IF($D329="","",V329-W329)</f>
        <v/>
      </c>
      <c r="Y329" s="7">
        <f>IF($D329="","",X329-N329)</f>
        <v/>
      </c>
      <c r="AB329">
        <f>IF($D329="","",IF($AN329=1,0,IF($AM329=1,Settings!$C$6,Settings!$C$7))*100)</f>
        <v/>
      </c>
      <c r="AF329" s="7" t="n"/>
      <c r="AI329" s="11" t="n"/>
      <c r="AK329">
        <f>IF($D329="","",IF(COUNTIF($D$2:$D329,$D329)=1,1,0))</f>
        <v/>
      </c>
      <c r="AL329">
        <f>IF($AK329=1,SUMPRODUCT(--($AO$2:$AO$1501&lt;$AO329))+1,"")</f>
        <v/>
      </c>
      <c r="AM329">
        <f>IF($D329="","",IF(OR($R329=TRUE(),$R329="TRUE"),1,0))</f>
        <v/>
      </c>
      <c r="AN329">
        <f>IF($D329="","",IF($AA329="Yes",1,0))</f>
        <v/>
      </c>
      <c r="AO329">
        <f>IF($AK329=1,IFERROR(IF(VALUE($D329)&lt;100000000,VALUE($D329),1000000000),IFERROR(IF(VALUE(MID($D329,2,20))&lt;100000000,VALUE(MID($D329,2,20)),1000000000),1000000000))+ROW()/100000,"")</f>
        <v/>
      </c>
    </row>
    <row r="330">
      <c r="F330" s="11" t="n"/>
      <c r="N330" s="7">
        <f>IF($D330="","",M330*V330/100)</f>
        <v/>
      </c>
      <c r="O330" s="7" t="n"/>
      <c r="U330" s="7" t="n"/>
      <c r="V330" s="7" t="n"/>
      <c r="W330" s="7">
        <f>IF($D330="","",V330*AB330/100)</f>
        <v/>
      </c>
      <c r="X330" s="7">
        <f>IF($D330="","",V330-W330)</f>
        <v/>
      </c>
      <c r="Y330" s="7">
        <f>IF($D330="","",X330-N330)</f>
        <v/>
      </c>
      <c r="AB330">
        <f>IF($D330="","",IF($AN330=1,0,IF($AM330=1,Settings!$C$6,Settings!$C$7))*100)</f>
        <v/>
      </c>
      <c r="AF330" s="7" t="n"/>
      <c r="AI330" s="11" t="n"/>
      <c r="AK330">
        <f>IF($D330="","",IF(COUNTIF($D$2:$D330,$D330)=1,1,0))</f>
        <v/>
      </c>
      <c r="AL330">
        <f>IF($AK330=1,SUMPRODUCT(--($AO$2:$AO$1501&lt;$AO330))+1,"")</f>
        <v/>
      </c>
      <c r="AM330">
        <f>IF($D330="","",IF(OR($R330=TRUE(),$R330="TRUE"),1,0))</f>
        <v/>
      </c>
      <c r="AN330">
        <f>IF($D330="","",IF($AA330="Yes",1,0))</f>
        <v/>
      </c>
      <c r="AO330">
        <f>IF($AK330=1,IFERROR(IF(VALUE($D330)&lt;100000000,VALUE($D330),1000000000),IFERROR(IF(VALUE(MID($D330,2,20))&lt;100000000,VALUE(MID($D330,2,20)),1000000000),1000000000))+ROW()/100000,"")</f>
        <v/>
      </c>
    </row>
    <row r="331">
      <c r="F331" s="11" t="n"/>
      <c r="N331" s="7">
        <f>IF($D331="","",M331*V331/100)</f>
        <v/>
      </c>
      <c r="O331" s="7" t="n"/>
      <c r="U331" s="7" t="n"/>
      <c r="V331" s="7" t="n"/>
      <c r="W331" s="7">
        <f>IF($D331="","",V331*AB331/100)</f>
        <v/>
      </c>
      <c r="X331" s="7">
        <f>IF($D331="","",V331-W331)</f>
        <v/>
      </c>
      <c r="Y331" s="7">
        <f>IF($D331="","",X331-N331)</f>
        <v/>
      </c>
      <c r="AB331">
        <f>IF($D331="","",IF($AN331=1,0,IF($AM331=1,Settings!$C$6,Settings!$C$7))*100)</f>
        <v/>
      </c>
      <c r="AF331" s="7" t="n"/>
      <c r="AI331" s="11" t="n"/>
      <c r="AK331">
        <f>IF($D331="","",IF(COUNTIF($D$2:$D331,$D331)=1,1,0))</f>
        <v/>
      </c>
      <c r="AL331">
        <f>IF($AK331=1,SUMPRODUCT(--($AO$2:$AO$1501&lt;$AO331))+1,"")</f>
        <v/>
      </c>
      <c r="AM331">
        <f>IF($D331="","",IF(OR($R331=TRUE(),$R331="TRUE"),1,0))</f>
        <v/>
      </c>
      <c r="AN331">
        <f>IF($D331="","",IF($AA331="Yes",1,0))</f>
        <v/>
      </c>
      <c r="AO331">
        <f>IF($AK331=1,IFERROR(IF(VALUE($D331)&lt;100000000,VALUE($D331),1000000000),IFERROR(IF(VALUE(MID($D331,2,20))&lt;100000000,VALUE(MID($D331,2,20)),1000000000),1000000000))+ROW()/100000,"")</f>
        <v/>
      </c>
    </row>
    <row r="332">
      <c r="F332" s="11" t="n"/>
      <c r="N332" s="7">
        <f>IF($D332="","",M332*V332/100)</f>
        <v/>
      </c>
      <c r="O332" s="7" t="n"/>
      <c r="U332" s="7" t="n"/>
      <c r="V332" s="7" t="n"/>
      <c r="W332" s="7">
        <f>IF($D332="","",V332*AB332/100)</f>
        <v/>
      </c>
      <c r="X332" s="7">
        <f>IF($D332="","",V332-W332)</f>
        <v/>
      </c>
      <c r="Y332" s="7">
        <f>IF($D332="","",X332-N332)</f>
        <v/>
      </c>
      <c r="AB332">
        <f>IF($D332="","",IF($AN332=1,0,IF($AM332=1,Settings!$C$6,Settings!$C$7))*100)</f>
        <v/>
      </c>
      <c r="AF332" s="7" t="n"/>
      <c r="AI332" s="11" t="n"/>
      <c r="AK332">
        <f>IF($D332="","",IF(COUNTIF($D$2:$D332,$D332)=1,1,0))</f>
        <v/>
      </c>
      <c r="AL332">
        <f>IF($AK332=1,SUMPRODUCT(--($AO$2:$AO$1501&lt;$AO332))+1,"")</f>
        <v/>
      </c>
      <c r="AM332">
        <f>IF($D332="","",IF(OR($R332=TRUE(),$R332="TRUE"),1,0))</f>
        <v/>
      </c>
      <c r="AN332">
        <f>IF($D332="","",IF($AA332="Yes",1,0))</f>
        <v/>
      </c>
      <c r="AO332">
        <f>IF($AK332=1,IFERROR(IF(VALUE($D332)&lt;100000000,VALUE($D332),1000000000),IFERROR(IF(VALUE(MID($D332,2,20))&lt;100000000,VALUE(MID($D332,2,20)),1000000000),1000000000))+ROW()/100000,"")</f>
        <v/>
      </c>
    </row>
    <row r="333">
      <c r="F333" s="11" t="n"/>
      <c r="N333" s="7">
        <f>IF($D333="","",M333*V333/100)</f>
        <v/>
      </c>
      <c r="O333" s="7" t="n"/>
      <c r="U333" s="7" t="n"/>
      <c r="V333" s="7" t="n"/>
      <c r="W333" s="7">
        <f>IF($D333="","",V333*AB333/100)</f>
        <v/>
      </c>
      <c r="X333" s="7">
        <f>IF($D333="","",V333-W333)</f>
        <v/>
      </c>
      <c r="Y333" s="7">
        <f>IF($D333="","",X333-N333)</f>
        <v/>
      </c>
      <c r="AB333">
        <f>IF($D333="","",IF($AN333=1,0,IF($AM333=1,Settings!$C$6,Settings!$C$7))*100)</f>
        <v/>
      </c>
      <c r="AF333" s="7" t="n"/>
      <c r="AI333" s="11" t="n"/>
      <c r="AK333">
        <f>IF($D333="","",IF(COUNTIF($D$2:$D333,$D333)=1,1,0))</f>
        <v/>
      </c>
      <c r="AL333">
        <f>IF($AK333=1,SUMPRODUCT(--($AO$2:$AO$1501&lt;$AO333))+1,"")</f>
        <v/>
      </c>
      <c r="AM333">
        <f>IF($D333="","",IF(OR($R333=TRUE(),$R333="TRUE"),1,0))</f>
        <v/>
      </c>
      <c r="AN333">
        <f>IF($D333="","",IF($AA333="Yes",1,0))</f>
        <v/>
      </c>
      <c r="AO333">
        <f>IF($AK333=1,IFERROR(IF(VALUE($D333)&lt;100000000,VALUE($D333),1000000000),IFERROR(IF(VALUE(MID($D333,2,20))&lt;100000000,VALUE(MID($D333,2,20)),1000000000),1000000000))+ROW()/100000,"")</f>
        <v/>
      </c>
    </row>
    <row r="334">
      <c r="F334" s="11" t="n"/>
      <c r="N334" s="7">
        <f>IF($D334="","",M334*V334/100)</f>
        <v/>
      </c>
      <c r="O334" s="7" t="n"/>
      <c r="U334" s="7" t="n"/>
      <c r="V334" s="7" t="n"/>
      <c r="W334" s="7">
        <f>IF($D334="","",V334*AB334/100)</f>
        <v/>
      </c>
      <c r="X334" s="7">
        <f>IF($D334="","",V334-W334)</f>
        <v/>
      </c>
      <c r="Y334" s="7">
        <f>IF($D334="","",X334-N334)</f>
        <v/>
      </c>
      <c r="AB334">
        <f>IF($D334="","",IF($AN334=1,0,IF($AM334=1,Settings!$C$6,Settings!$C$7))*100)</f>
        <v/>
      </c>
      <c r="AF334" s="7" t="n"/>
      <c r="AI334" s="11" t="n"/>
      <c r="AK334">
        <f>IF($D334="","",IF(COUNTIF($D$2:$D334,$D334)=1,1,0))</f>
        <v/>
      </c>
      <c r="AL334">
        <f>IF($AK334=1,SUMPRODUCT(--($AO$2:$AO$1501&lt;$AO334))+1,"")</f>
        <v/>
      </c>
      <c r="AM334">
        <f>IF($D334="","",IF(OR($R334=TRUE(),$R334="TRUE"),1,0))</f>
        <v/>
      </c>
      <c r="AN334">
        <f>IF($D334="","",IF($AA334="Yes",1,0))</f>
        <v/>
      </c>
      <c r="AO334">
        <f>IF($AK334=1,IFERROR(IF(VALUE($D334)&lt;100000000,VALUE($D334),1000000000),IFERROR(IF(VALUE(MID($D334,2,20))&lt;100000000,VALUE(MID($D334,2,20)),1000000000),1000000000))+ROW()/100000,"")</f>
        <v/>
      </c>
    </row>
    <row r="335">
      <c r="F335" s="11" t="n"/>
      <c r="N335" s="7">
        <f>IF($D335="","",M335*V335/100)</f>
        <v/>
      </c>
      <c r="O335" s="7" t="n"/>
      <c r="U335" s="7" t="n"/>
      <c r="V335" s="7" t="n"/>
      <c r="W335" s="7">
        <f>IF($D335="","",V335*AB335/100)</f>
        <v/>
      </c>
      <c r="X335" s="7">
        <f>IF($D335="","",V335-W335)</f>
        <v/>
      </c>
      <c r="Y335" s="7">
        <f>IF($D335="","",X335-N335)</f>
        <v/>
      </c>
      <c r="AB335">
        <f>IF($D335="","",IF($AN335=1,0,IF($AM335=1,Settings!$C$6,Settings!$C$7))*100)</f>
        <v/>
      </c>
      <c r="AF335" s="7" t="n"/>
      <c r="AI335" s="11" t="n"/>
      <c r="AK335">
        <f>IF($D335="","",IF(COUNTIF($D$2:$D335,$D335)=1,1,0))</f>
        <v/>
      </c>
      <c r="AL335">
        <f>IF($AK335=1,SUMPRODUCT(--($AO$2:$AO$1501&lt;$AO335))+1,"")</f>
        <v/>
      </c>
      <c r="AM335">
        <f>IF($D335="","",IF(OR($R335=TRUE(),$R335="TRUE"),1,0))</f>
        <v/>
      </c>
      <c r="AN335">
        <f>IF($D335="","",IF($AA335="Yes",1,0))</f>
        <v/>
      </c>
      <c r="AO335">
        <f>IF($AK335=1,IFERROR(IF(VALUE($D335)&lt;100000000,VALUE($D335),1000000000),IFERROR(IF(VALUE(MID($D335,2,20))&lt;100000000,VALUE(MID($D335,2,20)),1000000000),1000000000))+ROW()/100000,"")</f>
        <v/>
      </c>
    </row>
    <row r="336">
      <c r="F336" s="11" t="n"/>
      <c r="N336" s="7">
        <f>IF($D336="","",M336*V336/100)</f>
        <v/>
      </c>
      <c r="O336" s="7" t="n"/>
      <c r="U336" s="7" t="n"/>
      <c r="V336" s="7" t="n"/>
      <c r="W336" s="7">
        <f>IF($D336="","",V336*AB336/100)</f>
        <v/>
      </c>
      <c r="X336" s="7">
        <f>IF($D336="","",V336-W336)</f>
        <v/>
      </c>
      <c r="Y336" s="7">
        <f>IF($D336="","",X336-N336)</f>
        <v/>
      </c>
      <c r="AB336">
        <f>IF($D336="","",IF($AN336=1,0,IF($AM336=1,Settings!$C$6,Settings!$C$7))*100)</f>
        <v/>
      </c>
      <c r="AF336" s="7" t="n"/>
      <c r="AI336" s="11" t="n"/>
      <c r="AK336">
        <f>IF($D336="","",IF(COUNTIF($D$2:$D336,$D336)=1,1,0))</f>
        <v/>
      </c>
      <c r="AL336">
        <f>IF($AK336=1,SUMPRODUCT(--($AO$2:$AO$1501&lt;$AO336))+1,"")</f>
        <v/>
      </c>
      <c r="AM336">
        <f>IF($D336="","",IF(OR($R336=TRUE(),$R336="TRUE"),1,0))</f>
        <v/>
      </c>
      <c r="AN336">
        <f>IF($D336="","",IF($AA336="Yes",1,0))</f>
        <v/>
      </c>
      <c r="AO336">
        <f>IF($AK336=1,IFERROR(IF(VALUE($D336)&lt;100000000,VALUE($D336),1000000000),IFERROR(IF(VALUE(MID($D336,2,20))&lt;100000000,VALUE(MID($D336,2,20)),1000000000),1000000000))+ROW()/100000,"")</f>
        <v/>
      </c>
    </row>
    <row r="337">
      <c r="F337" s="11" t="n"/>
      <c r="N337" s="7">
        <f>IF($D337="","",M337*V337/100)</f>
        <v/>
      </c>
      <c r="O337" s="7" t="n"/>
      <c r="U337" s="7" t="n"/>
      <c r="V337" s="7" t="n"/>
      <c r="W337" s="7">
        <f>IF($D337="","",V337*AB337/100)</f>
        <v/>
      </c>
      <c r="X337" s="7">
        <f>IF($D337="","",V337-W337)</f>
        <v/>
      </c>
      <c r="Y337" s="7">
        <f>IF($D337="","",X337-N337)</f>
        <v/>
      </c>
      <c r="AB337">
        <f>IF($D337="","",IF($AN337=1,0,IF($AM337=1,Settings!$C$6,Settings!$C$7))*100)</f>
        <v/>
      </c>
      <c r="AF337" s="7" t="n"/>
      <c r="AI337" s="11" t="n"/>
      <c r="AK337">
        <f>IF($D337="","",IF(COUNTIF($D$2:$D337,$D337)=1,1,0))</f>
        <v/>
      </c>
      <c r="AL337">
        <f>IF($AK337=1,SUMPRODUCT(--($AO$2:$AO$1501&lt;$AO337))+1,"")</f>
        <v/>
      </c>
      <c r="AM337">
        <f>IF($D337="","",IF(OR($R337=TRUE(),$R337="TRUE"),1,0))</f>
        <v/>
      </c>
      <c r="AN337">
        <f>IF($D337="","",IF($AA337="Yes",1,0))</f>
        <v/>
      </c>
      <c r="AO337">
        <f>IF($AK337=1,IFERROR(IF(VALUE($D337)&lt;100000000,VALUE($D337),1000000000),IFERROR(IF(VALUE(MID($D337,2,20))&lt;100000000,VALUE(MID($D337,2,20)),1000000000),1000000000))+ROW()/100000,"")</f>
        <v/>
      </c>
    </row>
    <row r="338">
      <c r="F338" s="11" t="n"/>
      <c r="N338" s="7">
        <f>IF($D338="","",M338*V338/100)</f>
        <v/>
      </c>
      <c r="O338" s="7" t="n"/>
      <c r="U338" s="7" t="n"/>
      <c r="V338" s="7" t="n"/>
      <c r="W338" s="7">
        <f>IF($D338="","",V338*AB338/100)</f>
        <v/>
      </c>
      <c r="X338" s="7">
        <f>IF($D338="","",V338-W338)</f>
        <v/>
      </c>
      <c r="Y338" s="7">
        <f>IF($D338="","",X338-N338)</f>
        <v/>
      </c>
      <c r="AB338">
        <f>IF($D338="","",IF($AN338=1,0,IF($AM338=1,Settings!$C$6,Settings!$C$7))*100)</f>
        <v/>
      </c>
      <c r="AF338" s="7" t="n"/>
      <c r="AI338" s="11" t="n"/>
      <c r="AK338">
        <f>IF($D338="","",IF(COUNTIF($D$2:$D338,$D338)=1,1,0))</f>
        <v/>
      </c>
      <c r="AL338">
        <f>IF($AK338=1,SUMPRODUCT(--($AO$2:$AO$1501&lt;$AO338))+1,"")</f>
        <v/>
      </c>
      <c r="AM338">
        <f>IF($D338="","",IF(OR($R338=TRUE(),$R338="TRUE"),1,0))</f>
        <v/>
      </c>
      <c r="AN338">
        <f>IF($D338="","",IF($AA338="Yes",1,0))</f>
        <v/>
      </c>
      <c r="AO338">
        <f>IF($AK338=1,IFERROR(IF(VALUE($D338)&lt;100000000,VALUE($D338),1000000000),IFERROR(IF(VALUE(MID($D338,2,20))&lt;100000000,VALUE(MID($D338,2,20)),1000000000),1000000000))+ROW()/100000,"")</f>
        <v/>
      </c>
    </row>
    <row r="339">
      <c r="F339" s="11" t="n"/>
      <c r="N339" s="7">
        <f>IF($D339="","",M339*V339/100)</f>
        <v/>
      </c>
      <c r="O339" s="7" t="n"/>
      <c r="U339" s="7" t="n"/>
      <c r="V339" s="7" t="n"/>
      <c r="W339" s="7">
        <f>IF($D339="","",V339*AB339/100)</f>
        <v/>
      </c>
      <c r="X339" s="7">
        <f>IF($D339="","",V339-W339)</f>
        <v/>
      </c>
      <c r="Y339" s="7">
        <f>IF($D339="","",X339-N339)</f>
        <v/>
      </c>
      <c r="AB339">
        <f>IF($D339="","",IF($AN339=1,0,IF($AM339=1,Settings!$C$6,Settings!$C$7))*100)</f>
        <v/>
      </c>
      <c r="AF339" s="7" t="n"/>
      <c r="AI339" s="11" t="n"/>
      <c r="AK339">
        <f>IF($D339="","",IF(COUNTIF($D$2:$D339,$D339)=1,1,0))</f>
        <v/>
      </c>
      <c r="AL339">
        <f>IF($AK339=1,SUMPRODUCT(--($AO$2:$AO$1501&lt;$AO339))+1,"")</f>
        <v/>
      </c>
      <c r="AM339">
        <f>IF($D339="","",IF(OR($R339=TRUE(),$R339="TRUE"),1,0))</f>
        <v/>
      </c>
      <c r="AN339">
        <f>IF($D339="","",IF($AA339="Yes",1,0))</f>
        <v/>
      </c>
      <c r="AO339">
        <f>IF($AK339=1,IFERROR(IF(VALUE($D339)&lt;100000000,VALUE($D339),1000000000),IFERROR(IF(VALUE(MID($D339,2,20))&lt;100000000,VALUE(MID($D339,2,20)),1000000000),1000000000))+ROW()/100000,"")</f>
        <v/>
      </c>
    </row>
    <row r="340">
      <c r="F340" s="11" t="n"/>
      <c r="N340" s="7">
        <f>IF($D340="","",M340*V340/100)</f>
        <v/>
      </c>
      <c r="O340" s="7" t="n"/>
      <c r="U340" s="7" t="n"/>
      <c r="V340" s="7" t="n"/>
      <c r="W340" s="7">
        <f>IF($D340="","",V340*AB340/100)</f>
        <v/>
      </c>
      <c r="X340" s="7">
        <f>IF($D340="","",V340-W340)</f>
        <v/>
      </c>
      <c r="Y340" s="7">
        <f>IF($D340="","",X340-N340)</f>
        <v/>
      </c>
      <c r="AB340">
        <f>IF($D340="","",IF($AN340=1,0,IF($AM340=1,Settings!$C$6,Settings!$C$7))*100)</f>
        <v/>
      </c>
      <c r="AF340" s="7" t="n"/>
      <c r="AI340" s="11" t="n"/>
      <c r="AK340">
        <f>IF($D340="","",IF(COUNTIF($D$2:$D340,$D340)=1,1,0))</f>
        <v/>
      </c>
      <c r="AL340">
        <f>IF($AK340=1,SUMPRODUCT(--($AO$2:$AO$1501&lt;$AO340))+1,"")</f>
        <v/>
      </c>
      <c r="AM340">
        <f>IF($D340="","",IF(OR($R340=TRUE(),$R340="TRUE"),1,0))</f>
        <v/>
      </c>
      <c r="AN340">
        <f>IF($D340="","",IF($AA340="Yes",1,0))</f>
        <v/>
      </c>
      <c r="AO340">
        <f>IF($AK340=1,IFERROR(IF(VALUE($D340)&lt;100000000,VALUE($D340),1000000000),IFERROR(IF(VALUE(MID($D340,2,20))&lt;100000000,VALUE(MID($D340,2,20)),1000000000),1000000000))+ROW()/100000,"")</f>
        <v/>
      </c>
    </row>
    <row r="341">
      <c r="F341" s="11" t="n"/>
      <c r="N341" s="7">
        <f>IF($D341="","",M341*V341/100)</f>
        <v/>
      </c>
      <c r="O341" s="7" t="n"/>
      <c r="U341" s="7" t="n"/>
      <c r="V341" s="7" t="n"/>
      <c r="W341" s="7">
        <f>IF($D341="","",V341*AB341/100)</f>
        <v/>
      </c>
      <c r="X341" s="7">
        <f>IF($D341="","",V341-W341)</f>
        <v/>
      </c>
      <c r="Y341" s="7">
        <f>IF($D341="","",X341-N341)</f>
        <v/>
      </c>
      <c r="AB341">
        <f>IF($D341="","",IF($AN341=1,0,IF($AM341=1,Settings!$C$6,Settings!$C$7))*100)</f>
        <v/>
      </c>
      <c r="AF341" s="7" t="n"/>
      <c r="AI341" s="11" t="n"/>
      <c r="AK341">
        <f>IF($D341="","",IF(COUNTIF($D$2:$D341,$D341)=1,1,0))</f>
        <v/>
      </c>
      <c r="AL341">
        <f>IF($AK341=1,SUMPRODUCT(--($AO$2:$AO$1501&lt;$AO341))+1,"")</f>
        <v/>
      </c>
      <c r="AM341">
        <f>IF($D341="","",IF(OR($R341=TRUE(),$R341="TRUE"),1,0))</f>
        <v/>
      </c>
      <c r="AN341">
        <f>IF($D341="","",IF($AA341="Yes",1,0))</f>
        <v/>
      </c>
      <c r="AO341">
        <f>IF($AK341=1,IFERROR(IF(VALUE($D341)&lt;100000000,VALUE($D341),1000000000),IFERROR(IF(VALUE(MID($D341,2,20))&lt;100000000,VALUE(MID($D341,2,20)),1000000000),1000000000))+ROW()/100000,"")</f>
        <v/>
      </c>
    </row>
    <row r="342">
      <c r="F342" s="11" t="n"/>
      <c r="N342" s="7">
        <f>IF($D342="","",M342*V342/100)</f>
        <v/>
      </c>
      <c r="O342" s="7" t="n"/>
      <c r="U342" s="7" t="n"/>
      <c r="V342" s="7" t="n"/>
      <c r="W342" s="7">
        <f>IF($D342="","",V342*AB342/100)</f>
        <v/>
      </c>
      <c r="X342" s="7">
        <f>IF($D342="","",V342-W342)</f>
        <v/>
      </c>
      <c r="Y342" s="7">
        <f>IF($D342="","",X342-N342)</f>
        <v/>
      </c>
      <c r="AB342">
        <f>IF($D342="","",IF($AN342=1,0,IF($AM342=1,Settings!$C$6,Settings!$C$7))*100)</f>
        <v/>
      </c>
      <c r="AF342" s="7" t="n"/>
      <c r="AI342" s="11" t="n"/>
      <c r="AK342">
        <f>IF($D342="","",IF(COUNTIF($D$2:$D342,$D342)=1,1,0))</f>
        <v/>
      </c>
      <c r="AL342">
        <f>IF($AK342=1,SUMPRODUCT(--($AO$2:$AO$1501&lt;$AO342))+1,"")</f>
        <v/>
      </c>
      <c r="AM342">
        <f>IF($D342="","",IF(OR($R342=TRUE(),$R342="TRUE"),1,0))</f>
        <v/>
      </c>
      <c r="AN342">
        <f>IF($D342="","",IF($AA342="Yes",1,0))</f>
        <v/>
      </c>
      <c r="AO342">
        <f>IF($AK342=1,IFERROR(IF(VALUE($D342)&lt;100000000,VALUE($D342),1000000000),IFERROR(IF(VALUE(MID($D342,2,20))&lt;100000000,VALUE(MID($D342,2,20)),1000000000),1000000000))+ROW()/100000,"")</f>
        <v/>
      </c>
    </row>
    <row r="343">
      <c r="F343" s="11" t="n"/>
      <c r="N343" s="7">
        <f>IF($D343="","",M343*V343/100)</f>
        <v/>
      </c>
      <c r="O343" s="7" t="n"/>
      <c r="U343" s="7" t="n"/>
      <c r="V343" s="7" t="n"/>
      <c r="W343" s="7">
        <f>IF($D343="","",V343*AB343/100)</f>
        <v/>
      </c>
      <c r="X343" s="7">
        <f>IF($D343="","",V343-W343)</f>
        <v/>
      </c>
      <c r="Y343" s="7">
        <f>IF($D343="","",X343-N343)</f>
        <v/>
      </c>
      <c r="AB343">
        <f>IF($D343="","",IF($AN343=1,0,IF($AM343=1,Settings!$C$6,Settings!$C$7))*100)</f>
        <v/>
      </c>
      <c r="AF343" s="7" t="n"/>
      <c r="AI343" s="11" t="n"/>
      <c r="AK343">
        <f>IF($D343="","",IF(COUNTIF($D$2:$D343,$D343)=1,1,0))</f>
        <v/>
      </c>
      <c r="AL343">
        <f>IF($AK343=1,SUMPRODUCT(--($AO$2:$AO$1501&lt;$AO343))+1,"")</f>
        <v/>
      </c>
      <c r="AM343">
        <f>IF($D343="","",IF(OR($R343=TRUE(),$R343="TRUE"),1,0))</f>
        <v/>
      </c>
      <c r="AN343">
        <f>IF($D343="","",IF($AA343="Yes",1,0))</f>
        <v/>
      </c>
      <c r="AO343">
        <f>IF($AK343=1,IFERROR(IF(VALUE($D343)&lt;100000000,VALUE($D343),1000000000),IFERROR(IF(VALUE(MID($D343,2,20))&lt;100000000,VALUE(MID($D343,2,20)),1000000000),1000000000))+ROW()/100000,"")</f>
        <v/>
      </c>
    </row>
    <row r="344">
      <c r="F344" s="11" t="n"/>
      <c r="N344" s="7">
        <f>IF($D344="","",M344*V344/100)</f>
        <v/>
      </c>
      <c r="O344" s="7" t="n"/>
      <c r="U344" s="7" t="n"/>
      <c r="V344" s="7" t="n"/>
      <c r="W344" s="7">
        <f>IF($D344="","",V344*AB344/100)</f>
        <v/>
      </c>
      <c r="X344" s="7">
        <f>IF($D344="","",V344-W344)</f>
        <v/>
      </c>
      <c r="Y344" s="7">
        <f>IF($D344="","",X344-N344)</f>
        <v/>
      </c>
      <c r="AB344">
        <f>IF($D344="","",IF($AN344=1,0,IF($AM344=1,Settings!$C$6,Settings!$C$7))*100)</f>
        <v/>
      </c>
      <c r="AF344" s="7" t="n"/>
      <c r="AI344" s="11" t="n"/>
      <c r="AK344">
        <f>IF($D344="","",IF(COUNTIF($D$2:$D344,$D344)=1,1,0))</f>
        <v/>
      </c>
      <c r="AL344">
        <f>IF($AK344=1,SUMPRODUCT(--($AO$2:$AO$1501&lt;$AO344))+1,"")</f>
        <v/>
      </c>
      <c r="AM344">
        <f>IF($D344="","",IF(OR($R344=TRUE(),$R344="TRUE"),1,0))</f>
        <v/>
      </c>
      <c r="AN344">
        <f>IF($D344="","",IF($AA344="Yes",1,0))</f>
        <v/>
      </c>
      <c r="AO344">
        <f>IF($AK344=1,IFERROR(IF(VALUE($D344)&lt;100000000,VALUE($D344),1000000000),IFERROR(IF(VALUE(MID($D344,2,20))&lt;100000000,VALUE(MID($D344,2,20)),1000000000),1000000000))+ROW()/100000,"")</f>
        <v/>
      </c>
    </row>
    <row r="345">
      <c r="F345" s="11" t="n"/>
      <c r="N345" s="7">
        <f>IF($D345="","",M345*V345/100)</f>
        <v/>
      </c>
      <c r="O345" s="7" t="n"/>
      <c r="U345" s="7" t="n"/>
      <c r="V345" s="7" t="n"/>
      <c r="W345" s="7">
        <f>IF($D345="","",V345*AB345/100)</f>
        <v/>
      </c>
      <c r="X345" s="7">
        <f>IF($D345="","",V345-W345)</f>
        <v/>
      </c>
      <c r="Y345" s="7">
        <f>IF($D345="","",X345-N345)</f>
        <v/>
      </c>
      <c r="AB345">
        <f>IF($D345="","",IF($AN345=1,0,IF($AM345=1,Settings!$C$6,Settings!$C$7))*100)</f>
        <v/>
      </c>
      <c r="AF345" s="7" t="n"/>
      <c r="AI345" s="11" t="n"/>
      <c r="AK345">
        <f>IF($D345="","",IF(COUNTIF($D$2:$D345,$D345)=1,1,0))</f>
        <v/>
      </c>
      <c r="AL345">
        <f>IF($AK345=1,SUMPRODUCT(--($AO$2:$AO$1501&lt;$AO345))+1,"")</f>
        <v/>
      </c>
      <c r="AM345">
        <f>IF($D345="","",IF(OR($R345=TRUE(),$R345="TRUE"),1,0))</f>
        <v/>
      </c>
      <c r="AN345">
        <f>IF($D345="","",IF($AA345="Yes",1,0))</f>
        <v/>
      </c>
      <c r="AO345">
        <f>IF($AK345=1,IFERROR(IF(VALUE($D345)&lt;100000000,VALUE($D345),1000000000),IFERROR(IF(VALUE(MID($D345,2,20))&lt;100000000,VALUE(MID($D345,2,20)),1000000000),1000000000))+ROW()/100000,"")</f>
        <v/>
      </c>
    </row>
    <row r="346">
      <c r="F346" s="11" t="n"/>
      <c r="N346" s="7">
        <f>IF($D346="","",M346*V346/100)</f>
        <v/>
      </c>
      <c r="O346" s="7" t="n"/>
      <c r="U346" s="7" t="n"/>
      <c r="V346" s="7" t="n"/>
      <c r="W346" s="7">
        <f>IF($D346="","",V346*AB346/100)</f>
        <v/>
      </c>
      <c r="X346" s="7">
        <f>IF($D346="","",V346-W346)</f>
        <v/>
      </c>
      <c r="Y346" s="7">
        <f>IF($D346="","",X346-N346)</f>
        <v/>
      </c>
      <c r="AB346">
        <f>IF($D346="","",IF($AN346=1,0,IF($AM346=1,Settings!$C$6,Settings!$C$7))*100)</f>
        <v/>
      </c>
      <c r="AF346" s="7" t="n"/>
      <c r="AI346" s="11" t="n"/>
      <c r="AK346">
        <f>IF($D346="","",IF(COUNTIF($D$2:$D346,$D346)=1,1,0))</f>
        <v/>
      </c>
      <c r="AL346">
        <f>IF($AK346=1,SUMPRODUCT(--($AO$2:$AO$1501&lt;$AO346))+1,"")</f>
        <v/>
      </c>
      <c r="AM346">
        <f>IF($D346="","",IF(OR($R346=TRUE(),$R346="TRUE"),1,0))</f>
        <v/>
      </c>
      <c r="AN346">
        <f>IF($D346="","",IF($AA346="Yes",1,0))</f>
        <v/>
      </c>
      <c r="AO346">
        <f>IF($AK346=1,IFERROR(IF(VALUE($D346)&lt;100000000,VALUE($D346),1000000000),IFERROR(IF(VALUE(MID($D346,2,20))&lt;100000000,VALUE(MID($D346,2,20)),1000000000),1000000000))+ROW()/100000,"")</f>
        <v/>
      </c>
    </row>
    <row r="347">
      <c r="F347" s="11" t="n"/>
      <c r="N347" s="7">
        <f>IF($D347="","",M347*V347/100)</f>
        <v/>
      </c>
      <c r="O347" s="7" t="n"/>
      <c r="U347" s="7" t="n"/>
      <c r="V347" s="7" t="n"/>
      <c r="W347" s="7">
        <f>IF($D347="","",V347*AB347/100)</f>
        <v/>
      </c>
      <c r="X347" s="7">
        <f>IF($D347="","",V347-W347)</f>
        <v/>
      </c>
      <c r="Y347" s="7">
        <f>IF($D347="","",X347-N347)</f>
        <v/>
      </c>
      <c r="AB347">
        <f>IF($D347="","",IF($AN347=1,0,IF($AM347=1,Settings!$C$6,Settings!$C$7))*100)</f>
        <v/>
      </c>
      <c r="AF347" s="7" t="n"/>
      <c r="AI347" s="11" t="n"/>
      <c r="AK347">
        <f>IF($D347="","",IF(COUNTIF($D$2:$D347,$D347)=1,1,0))</f>
        <v/>
      </c>
      <c r="AL347">
        <f>IF($AK347=1,SUMPRODUCT(--($AO$2:$AO$1501&lt;$AO347))+1,"")</f>
        <v/>
      </c>
      <c r="AM347">
        <f>IF($D347="","",IF(OR($R347=TRUE(),$R347="TRUE"),1,0))</f>
        <v/>
      </c>
      <c r="AN347">
        <f>IF($D347="","",IF($AA347="Yes",1,0))</f>
        <v/>
      </c>
      <c r="AO347">
        <f>IF($AK347=1,IFERROR(IF(VALUE($D347)&lt;100000000,VALUE($D347),1000000000),IFERROR(IF(VALUE(MID($D347,2,20))&lt;100000000,VALUE(MID($D347,2,20)),1000000000),1000000000))+ROW()/100000,"")</f>
        <v/>
      </c>
    </row>
    <row r="348">
      <c r="F348" s="11" t="n"/>
      <c r="N348" s="7">
        <f>IF($D348="","",M348*V348/100)</f>
        <v/>
      </c>
      <c r="O348" s="7" t="n"/>
      <c r="U348" s="7" t="n"/>
      <c r="V348" s="7" t="n"/>
      <c r="W348" s="7">
        <f>IF($D348="","",V348*AB348/100)</f>
        <v/>
      </c>
      <c r="X348" s="7">
        <f>IF($D348="","",V348-W348)</f>
        <v/>
      </c>
      <c r="Y348" s="7">
        <f>IF($D348="","",X348-N348)</f>
        <v/>
      </c>
      <c r="AB348">
        <f>IF($D348="","",IF($AN348=1,0,IF($AM348=1,Settings!$C$6,Settings!$C$7))*100)</f>
        <v/>
      </c>
      <c r="AF348" s="7" t="n"/>
      <c r="AI348" s="11" t="n"/>
      <c r="AK348">
        <f>IF($D348="","",IF(COUNTIF($D$2:$D348,$D348)=1,1,0))</f>
        <v/>
      </c>
      <c r="AL348">
        <f>IF($AK348=1,SUMPRODUCT(--($AO$2:$AO$1501&lt;$AO348))+1,"")</f>
        <v/>
      </c>
      <c r="AM348">
        <f>IF($D348="","",IF(OR($R348=TRUE(),$R348="TRUE"),1,0))</f>
        <v/>
      </c>
      <c r="AN348">
        <f>IF($D348="","",IF($AA348="Yes",1,0))</f>
        <v/>
      </c>
      <c r="AO348">
        <f>IF($AK348=1,IFERROR(IF(VALUE($D348)&lt;100000000,VALUE($D348),1000000000),IFERROR(IF(VALUE(MID($D348,2,20))&lt;100000000,VALUE(MID($D348,2,20)),1000000000),1000000000))+ROW()/100000,"")</f>
        <v/>
      </c>
    </row>
    <row r="349">
      <c r="F349" s="11" t="n"/>
      <c r="N349" s="7">
        <f>IF($D349="","",M349*V349/100)</f>
        <v/>
      </c>
      <c r="O349" s="7" t="n"/>
      <c r="U349" s="7" t="n"/>
      <c r="V349" s="7" t="n"/>
      <c r="W349" s="7">
        <f>IF($D349="","",V349*AB349/100)</f>
        <v/>
      </c>
      <c r="X349" s="7">
        <f>IF($D349="","",V349-W349)</f>
        <v/>
      </c>
      <c r="Y349" s="7">
        <f>IF($D349="","",X349-N349)</f>
        <v/>
      </c>
      <c r="AB349">
        <f>IF($D349="","",IF($AN349=1,0,IF($AM349=1,Settings!$C$6,Settings!$C$7))*100)</f>
        <v/>
      </c>
      <c r="AF349" s="7" t="n"/>
      <c r="AI349" s="11" t="n"/>
      <c r="AK349">
        <f>IF($D349="","",IF(COUNTIF($D$2:$D349,$D349)=1,1,0))</f>
        <v/>
      </c>
      <c r="AL349">
        <f>IF($AK349=1,SUMPRODUCT(--($AO$2:$AO$1501&lt;$AO349))+1,"")</f>
        <v/>
      </c>
      <c r="AM349">
        <f>IF($D349="","",IF(OR($R349=TRUE(),$R349="TRUE"),1,0))</f>
        <v/>
      </c>
      <c r="AN349">
        <f>IF($D349="","",IF($AA349="Yes",1,0))</f>
        <v/>
      </c>
      <c r="AO349">
        <f>IF($AK349=1,IFERROR(IF(VALUE($D349)&lt;100000000,VALUE($D349),1000000000),IFERROR(IF(VALUE(MID($D349,2,20))&lt;100000000,VALUE(MID($D349,2,20)),1000000000),1000000000))+ROW()/100000,"")</f>
        <v/>
      </c>
    </row>
    <row r="350">
      <c r="F350" s="11" t="n"/>
      <c r="N350" s="7">
        <f>IF($D350="","",M350*V350/100)</f>
        <v/>
      </c>
      <c r="O350" s="7" t="n"/>
      <c r="U350" s="7" t="n"/>
      <c r="V350" s="7" t="n"/>
      <c r="W350" s="7">
        <f>IF($D350="","",V350*AB350/100)</f>
        <v/>
      </c>
      <c r="X350" s="7">
        <f>IF($D350="","",V350-W350)</f>
        <v/>
      </c>
      <c r="Y350" s="7">
        <f>IF($D350="","",X350-N350)</f>
        <v/>
      </c>
      <c r="AB350">
        <f>IF($D350="","",IF($AN350=1,0,IF($AM350=1,Settings!$C$6,Settings!$C$7))*100)</f>
        <v/>
      </c>
      <c r="AF350" s="7" t="n"/>
      <c r="AI350" s="11" t="n"/>
      <c r="AK350">
        <f>IF($D350="","",IF(COUNTIF($D$2:$D350,$D350)=1,1,0))</f>
        <v/>
      </c>
      <c r="AL350">
        <f>IF($AK350=1,SUMPRODUCT(--($AO$2:$AO$1501&lt;$AO350))+1,"")</f>
        <v/>
      </c>
      <c r="AM350">
        <f>IF($D350="","",IF(OR($R350=TRUE(),$R350="TRUE"),1,0))</f>
        <v/>
      </c>
      <c r="AN350">
        <f>IF($D350="","",IF($AA350="Yes",1,0))</f>
        <v/>
      </c>
      <c r="AO350">
        <f>IF($AK350=1,IFERROR(IF(VALUE($D350)&lt;100000000,VALUE($D350),1000000000),IFERROR(IF(VALUE(MID($D350,2,20))&lt;100000000,VALUE(MID($D350,2,20)),1000000000),1000000000))+ROW()/100000,"")</f>
        <v/>
      </c>
    </row>
    <row r="351">
      <c r="F351" s="11" t="n"/>
      <c r="N351" s="7">
        <f>IF($D351="","",M351*V351/100)</f>
        <v/>
      </c>
      <c r="O351" s="7" t="n"/>
      <c r="U351" s="7" t="n"/>
      <c r="V351" s="7" t="n"/>
      <c r="W351" s="7">
        <f>IF($D351="","",V351*AB351/100)</f>
        <v/>
      </c>
      <c r="X351" s="7">
        <f>IF($D351="","",V351-W351)</f>
        <v/>
      </c>
      <c r="Y351" s="7">
        <f>IF($D351="","",X351-N351)</f>
        <v/>
      </c>
      <c r="AB351">
        <f>IF($D351="","",IF($AN351=1,0,IF($AM351=1,Settings!$C$6,Settings!$C$7))*100)</f>
        <v/>
      </c>
      <c r="AF351" s="7" t="n"/>
      <c r="AI351" s="11" t="n"/>
      <c r="AK351">
        <f>IF($D351="","",IF(COUNTIF($D$2:$D351,$D351)=1,1,0))</f>
        <v/>
      </c>
      <c r="AL351">
        <f>IF($AK351=1,SUMPRODUCT(--($AO$2:$AO$1501&lt;$AO351))+1,"")</f>
        <v/>
      </c>
      <c r="AM351">
        <f>IF($D351="","",IF(OR($R351=TRUE(),$R351="TRUE"),1,0))</f>
        <v/>
      </c>
      <c r="AN351">
        <f>IF($D351="","",IF($AA351="Yes",1,0))</f>
        <v/>
      </c>
      <c r="AO351">
        <f>IF($AK351=1,IFERROR(IF(VALUE($D351)&lt;100000000,VALUE($D351),1000000000),IFERROR(IF(VALUE(MID($D351,2,20))&lt;100000000,VALUE(MID($D351,2,20)),1000000000),1000000000))+ROW()/100000,"")</f>
        <v/>
      </c>
    </row>
    <row r="352">
      <c r="F352" s="11" t="n"/>
      <c r="N352" s="7">
        <f>IF($D352="","",M352*V352/100)</f>
        <v/>
      </c>
      <c r="O352" s="7" t="n"/>
      <c r="U352" s="7" t="n"/>
      <c r="V352" s="7" t="n"/>
      <c r="W352" s="7">
        <f>IF($D352="","",V352*AB352/100)</f>
        <v/>
      </c>
      <c r="X352" s="7">
        <f>IF($D352="","",V352-W352)</f>
        <v/>
      </c>
      <c r="Y352" s="7">
        <f>IF($D352="","",X352-N352)</f>
        <v/>
      </c>
      <c r="AB352">
        <f>IF($D352="","",IF($AN352=1,0,IF($AM352=1,Settings!$C$6,Settings!$C$7))*100)</f>
        <v/>
      </c>
      <c r="AF352" s="7" t="n"/>
      <c r="AI352" s="11" t="n"/>
      <c r="AK352">
        <f>IF($D352="","",IF(COUNTIF($D$2:$D352,$D352)=1,1,0))</f>
        <v/>
      </c>
      <c r="AL352">
        <f>IF($AK352=1,SUMPRODUCT(--($AO$2:$AO$1501&lt;$AO352))+1,"")</f>
        <v/>
      </c>
      <c r="AM352">
        <f>IF($D352="","",IF(OR($R352=TRUE(),$R352="TRUE"),1,0))</f>
        <v/>
      </c>
      <c r="AN352">
        <f>IF($D352="","",IF($AA352="Yes",1,0))</f>
        <v/>
      </c>
      <c r="AO352">
        <f>IF($AK352=1,IFERROR(IF(VALUE($D352)&lt;100000000,VALUE($D352),1000000000),IFERROR(IF(VALUE(MID($D352,2,20))&lt;100000000,VALUE(MID($D352,2,20)),1000000000),1000000000))+ROW()/100000,"")</f>
        <v/>
      </c>
    </row>
    <row r="353">
      <c r="F353" s="11" t="n"/>
      <c r="N353" s="7">
        <f>IF($D353="","",M353*V353/100)</f>
        <v/>
      </c>
      <c r="O353" s="7" t="n"/>
      <c r="U353" s="7" t="n"/>
      <c r="V353" s="7" t="n"/>
      <c r="W353" s="7">
        <f>IF($D353="","",V353*AB353/100)</f>
        <v/>
      </c>
      <c r="X353" s="7">
        <f>IF($D353="","",V353-W353)</f>
        <v/>
      </c>
      <c r="Y353" s="7">
        <f>IF($D353="","",X353-N353)</f>
        <v/>
      </c>
      <c r="AB353">
        <f>IF($D353="","",IF($AN353=1,0,IF($AM353=1,Settings!$C$6,Settings!$C$7))*100)</f>
        <v/>
      </c>
      <c r="AF353" s="7" t="n"/>
      <c r="AI353" s="11" t="n"/>
      <c r="AK353">
        <f>IF($D353="","",IF(COUNTIF($D$2:$D353,$D353)=1,1,0))</f>
        <v/>
      </c>
      <c r="AL353">
        <f>IF($AK353=1,SUMPRODUCT(--($AO$2:$AO$1501&lt;$AO353))+1,"")</f>
        <v/>
      </c>
      <c r="AM353">
        <f>IF($D353="","",IF(OR($R353=TRUE(),$R353="TRUE"),1,0))</f>
        <v/>
      </c>
      <c r="AN353">
        <f>IF($D353="","",IF($AA353="Yes",1,0))</f>
        <v/>
      </c>
      <c r="AO353">
        <f>IF($AK353=1,IFERROR(IF(VALUE($D353)&lt;100000000,VALUE($D353),1000000000),IFERROR(IF(VALUE(MID($D353,2,20))&lt;100000000,VALUE(MID($D353,2,20)),1000000000),1000000000))+ROW()/100000,"")</f>
        <v/>
      </c>
    </row>
    <row r="354">
      <c r="F354" s="11" t="n"/>
      <c r="N354" s="7">
        <f>IF($D354="","",M354*V354/100)</f>
        <v/>
      </c>
      <c r="O354" s="7" t="n"/>
      <c r="U354" s="7" t="n"/>
      <c r="V354" s="7" t="n"/>
      <c r="W354" s="7">
        <f>IF($D354="","",V354*AB354/100)</f>
        <v/>
      </c>
      <c r="X354" s="7">
        <f>IF($D354="","",V354-W354)</f>
        <v/>
      </c>
      <c r="Y354" s="7">
        <f>IF($D354="","",X354-N354)</f>
        <v/>
      </c>
      <c r="AB354">
        <f>IF($D354="","",IF($AN354=1,0,IF($AM354=1,Settings!$C$6,Settings!$C$7))*100)</f>
        <v/>
      </c>
      <c r="AF354" s="7" t="n"/>
      <c r="AI354" s="11" t="n"/>
      <c r="AK354">
        <f>IF($D354="","",IF(COUNTIF($D$2:$D354,$D354)=1,1,0))</f>
        <v/>
      </c>
      <c r="AL354">
        <f>IF($AK354=1,SUMPRODUCT(--($AO$2:$AO$1501&lt;$AO354))+1,"")</f>
        <v/>
      </c>
      <c r="AM354">
        <f>IF($D354="","",IF(OR($R354=TRUE(),$R354="TRUE"),1,0))</f>
        <v/>
      </c>
      <c r="AN354">
        <f>IF($D354="","",IF($AA354="Yes",1,0))</f>
        <v/>
      </c>
      <c r="AO354">
        <f>IF($AK354=1,IFERROR(IF(VALUE($D354)&lt;100000000,VALUE($D354),1000000000),IFERROR(IF(VALUE(MID($D354,2,20))&lt;100000000,VALUE(MID($D354,2,20)),1000000000),1000000000))+ROW()/100000,"")</f>
        <v/>
      </c>
    </row>
    <row r="355">
      <c r="F355" s="11" t="n"/>
      <c r="N355" s="7">
        <f>IF($D355="","",M355*V355/100)</f>
        <v/>
      </c>
      <c r="O355" s="7" t="n"/>
      <c r="U355" s="7" t="n"/>
      <c r="V355" s="7" t="n"/>
      <c r="W355" s="7">
        <f>IF($D355="","",V355*AB355/100)</f>
        <v/>
      </c>
      <c r="X355" s="7">
        <f>IF($D355="","",V355-W355)</f>
        <v/>
      </c>
      <c r="Y355" s="7">
        <f>IF($D355="","",X355-N355)</f>
        <v/>
      </c>
      <c r="AB355">
        <f>IF($D355="","",IF($AN355=1,0,IF($AM355=1,Settings!$C$6,Settings!$C$7))*100)</f>
        <v/>
      </c>
      <c r="AF355" s="7" t="n"/>
      <c r="AI355" s="11" t="n"/>
      <c r="AK355">
        <f>IF($D355="","",IF(COUNTIF($D$2:$D355,$D355)=1,1,0))</f>
        <v/>
      </c>
      <c r="AL355">
        <f>IF($AK355=1,SUMPRODUCT(--($AO$2:$AO$1501&lt;$AO355))+1,"")</f>
        <v/>
      </c>
      <c r="AM355">
        <f>IF($D355="","",IF(OR($R355=TRUE(),$R355="TRUE"),1,0))</f>
        <v/>
      </c>
      <c r="AN355">
        <f>IF($D355="","",IF($AA355="Yes",1,0))</f>
        <v/>
      </c>
      <c r="AO355">
        <f>IF($AK355=1,IFERROR(IF(VALUE($D355)&lt;100000000,VALUE($D355),1000000000),IFERROR(IF(VALUE(MID($D355,2,20))&lt;100000000,VALUE(MID($D355,2,20)),1000000000),1000000000))+ROW()/100000,"")</f>
        <v/>
      </c>
    </row>
    <row r="356">
      <c r="F356" s="11" t="n"/>
      <c r="N356" s="7">
        <f>IF($D356="","",M356*V356/100)</f>
        <v/>
      </c>
      <c r="O356" s="7" t="n"/>
      <c r="U356" s="7" t="n"/>
      <c r="V356" s="7" t="n"/>
      <c r="W356" s="7">
        <f>IF($D356="","",V356*AB356/100)</f>
        <v/>
      </c>
      <c r="X356" s="7">
        <f>IF($D356="","",V356-W356)</f>
        <v/>
      </c>
      <c r="Y356" s="7">
        <f>IF($D356="","",X356-N356)</f>
        <v/>
      </c>
      <c r="AB356">
        <f>IF($D356="","",IF($AN356=1,0,IF($AM356=1,Settings!$C$6,Settings!$C$7))*100)</f>
        <v/>
      </c>
      <c r="AF356" s="7" t="n"/>
      <c r="AI356" s="11" t="n"/>
      <c r="AK356">
        <f>IF($D356="","",IF(COUNTIF($D$2:$D356,$D356)=1,1,0))</f>
        <v/>
      </c>
      <c r="AL356">
        <f>IF($AK356=1,SUMPRODUCT(--($AO$2:$AO$1501&lt;$AO356))+1,"")</f>
        <v/>
      </c>
      <c r="AM356">
        <f>IF($D356="","",IF(OR($R356=TRUE(),$R356="TRUE"),1,0))</f>
        <v/>
      </c>
      <c r="AN356">
        <f>IF($D356="","",IF($AA356="Yes",1,0))</f>
        <v/>
      </c>
      <c r="AO356">
        <f>IF($AK356=1,IFERROR(IF(VALUE($D356)&lt;100000000,VALUE($D356),1000000000),IFERROR(IF(VALUE(MID($D356,2,20))&lt;100000000,VALUE(MID($D356,2,20)),1000000000),1000000000))+ROW()/100000,"")</f>
        <v/>
      </c>
    </row>
    <row r="357">
      <c r="F357" s="11" t="n"/>
      <c r="N357" s="7">
        <f>IF($D357="","",M357*V357/100)</f>
        <v/>
      </c>
      <c r="O357" s="7" t="n"/>
      <c r="U357" s="7" t="n"/>
      <c r="V357" s="7" t="n"/>
      <c r="W357" s="7">
        <f>IF($D357="","",V357*AB357/100)</f>
        <v/>
      </c>
      <c r="X357" s="7">
        <f>IF($D357="","",V357-W357)</f>
        <v/>
      </c>
      <c r="Y357" s="7">
        <f>IF($D357="","",X357-N357)</f>
        <v/>
      </c>
      <c r="AB357">
        <f>IF($D357="","",IF($AN357=1,0,IF($AM357=1,Settings!$C$6,Settings!$C$7))*100)</f>
        <v/>
      </c>
      <c r="AF357" s="7" t="n"/>
      <c r="AI357" s="11" t="n"/>
      <c r="AK357">
        <f>IF($D357="","",IF(COUNTIF($D$2:$D357,$D357)=1,1,0))</f>
        <v/>
      </c>
      <c r="AL357">
        <f>IF($AK357=1,SUMPRODUCT(--($AO$2:$AO$1501&lt;$AO357))+1,"")</f>
        <v/>
      </c>
      <c r="AM357">
        <f>IF($D357="","",IF(OR($R357=TRUE(),$R357="TRUE"),1,0))</f>
        <v/>
      </c>
      <c r="AN357">
        <f>IF($D357="","",IF($AA357="Yes",1,0))</f>
        <v/>
      </c>
      <c r="AO357">
        <f>IF($AK357=1,IFERROR(IF(VALUE($D357)&lt;100000000,VALUE($D357),1000000000),IFERROR(IF(VALUE(MID($D357,2,20))&lt;100000000,VALUE(MID($D357,2,20)),1000000000),1000000000))+ROW()/100000,"")</f>
        <v/>
      </c>
    </row>
    <row r="358">
      <c r="F358" s="11" t="n"/>
      <c r="N358" s="7">
        <f>IF($D358="","",M358*V358/100)</f>
        <v/>
      </c>
      <c r="O358" s="7" t="n"/>
      <c r="U358" s="7" t="n"/>
      <c r="V358" s="7" t="n"/>
      <c r="W358" s="7">
        <f>IF($D358="","",V358*AB358/100)</f>
        <v/>
      </c>
      <c r="X358" s="7">
        <f>IF($D358="","",V358-W358)</f>
        <v/>
      </c>
      <c r="Y358" s="7">
        <f>IF($D358="","",X358-N358)</f>
        <v/>
      </c>
      <c r="AB358">
        <f>IF($D358="","",IF($AN358=1,0,IF($AM358=1,Settings!$C$6,Settings!$C$7))*100)</f>
        <v/>
      </c>
      <c r="AF358" s="7" t="n"/>
      <c r="AI358" s="11" t="n"/>
      <c r="AK358">
        <f>IF($D358="","",IF(COUNTIF($D$2:$D358,$D358)=1,1,0))</f>
        <v/>
      </c>
      <c r="AL358">
        <f>IF($AK358=1,SUMPRODUCT(--($AO$2:$AO$1501&lt;$AO358))+1,"")</f>
        <v/>
      </c>
      <c r="AM358">
        <f>IF($D358="","",IF(OR($R358=TRUE(),$R358="TRUE"),1,0))</f>
        <v/>
      </c>
      <c r="AN358">
        <f>IF($D358="","",IF($AA358="Yes",1,0))</f>
        <v/>
      </c>
      <c r="AO358">
        <f>IF($AK358=1,IFERROR(IF(VALUE($D358)&lt;100000000,VALUE($D358),1000000000),IFERROR(IF(VALUE(MID($D358,2,20))&lt;100000000,VALUE(MID($D358,2,20)),1000000000),1000000000))+ROW()/100000,"")</f>
        <v/>
      </c>
    </row>
    <row r="359">
      <c r="F359" s="11" t="n"/>
      <c r="N359" s="7">
        <f>IF($D359="","",M359*V359/100)</f>
        <v/>
      </c>
      <c r="O359" s="7" t="n"/>
      <c r="U359" s="7" t="n"/>
      <c r="V359" s="7" t="n"/>
      <c r="W359" s="7">
        <f>IF($D359="","",V359*AB359/100)</f>
        <v/>
      </c>
      <c r="X359" s="7">
        <f>IF($D359="","",V359-W359)</f>
        <v/>
      </c>
      <c r="Y359" s="7">
        <f>IF($D359="","",X359-N359)</f>
        <v/>
      </c>
      <c r="AB359">
        <f>IF($D359="","",IF($AN359=1,0,IF($AM359=1,Settings!$C$6,Settings!$C$7))*100)</f>
        <v/>
      </c>
      <c r="AF359" s="7" t="n"/>
      <c r="AI359" s="11" t="n"/>
      <c r="AK359">
        <f>IF($D359="","",IF(COUNTIF($D$2:$D359,$D359)=1,1,0))</f>
        <v/>
      </c>
      <c r="AL359">
        <f>IF($AK359=1,SUMPRODUCT(--($AO$2:$AO$1501&lt;$AO359))+1,"")</f>
        <v/>
      </c>
      <c r="AM359">
        <f>IF($D359="","",IF(OR($R359=TRUE(),$R359="TRUE"),1,0))</f>
        <v/>
      </c>
      <c r="AN359">
        <f>IF($D359="","",IF($AA359="Yes",1,0))</f>
        <v/>
      </c>
      <c r="AO359">
        <f>IF($AK359=1,IFERROR(IF(VALUE($D359)&lt;100000000,VALUE($D359),1000000000),IFERROR(IF(VALUE(MID($D359,2,20))&lt;100000000,VALUE(MID($D359,2,20)),1000000000),1000000000))+ROW()/100000,"")</f>
        <v/>
      </c>
    </row>
    <row r="360">
      <c r="F360" s="11" t="n"/>
      <c r="N360" s="7">
        <f>IF($D360="","",M360*V360/100)</f>
        <v/>
      </c>
      <c r="O360" s="7" t="n"/>
      <c r="U360" s="7" t="n"/>
      <c r="V360" s="7" t="n"/>
      <c r="W360" s="7">
        <f>IF($D360="","",V360*AB360/100)</f>
        <v/>
      </c>
      <c r="X360" s="7">
        <f>IF($D360="","",V360-W360)</f>
        <v/>
      </c>
      <c r="Y360" s="7">
        <f>IF($D360="","",X360-N360)</f>
        <v/>
      </c>
      <c r="AB360">
        <f>IF($D360="","",IF($AN360=1,0,IF($AM360=1,Settings!$C$6,Settings!$C$7))*100)</f>
        <v/>
      </c>
      <c r="AF360" s="7" t="n"/>
      <c r="AI360" s="11" t="n"/>
      <c r="AK360">
        <f>IF($D360="","",IF(COUNTIF($D$2:$D360,$D360)=1,1,0))</f>
        <v/>
      </c>
      <c r="AL360">
        <f>IF($AK360=1,SUMPRODUCT(--($AO$2:$AO$1501&lt;$AO360))+1,"")</f>
        <v/>
      </c>
      <c r="AM360">
        <f>IF($D360="","",IF(OR($R360=TRUE(),$R360="TRUE"),1,0))</f>
        <v/>
      </c>
      <c r="AN360">
        <f>IF($D360="","",IF($AA360="Yes",1,0))</f>
        <v/>
      </c>
      <c r="AO360">
        <f>IF($AK360=1,IFERROR(IF(VALUE($D360)&lt;100000000,VALUE($D360),1000000000),IFERROR(IF(VALUE(MID($D360,2,20))&lt;100000000,VALUE(MID($D360,2,20)),1000000000),1000000000))+ROW()/100000,"")</f>
        <v/>
      </c>
    </row>
    <row r="361">
      <c r="F361" s="11" t="n"/>
      <c r="N361" s="7">
        <f>IF($D361="","",M361*V361/100)</f>
        <v/>
      </c>
      <c r="O361" s="7" t="n"/>
      <c r="U361" s="7" t="n"/>
      <c r="V361" s="7" t="n"/>
      <c r="W361" s="7">
        <f>IF($D361="","",V361*AB361/100)</f>
        <v/>
      </c>
      <c r="X361" s="7">
        <f>IF($D361="","",V361-W361)</f>
        <v/>
      </c>
      <c r="Y361" s="7">
        <f>IF($D361="","",X361-N361)</f>
        <v/>
      </c>
      <c r="AB361">
        <f>IF($D361="","",IF($AN361=1,0,IF($AM361=1,Settings!$C$6,Settings!$C$7))*100)</f>
        <v/>
      </c>
      <c r="AF361" s="7" t="n"/>
      <c r="AI361" s="11" t="n"/>
      <c r="AK361">
        <f>IF($D361="","",IF(COUNTIF($D$2:$D361,$D361)=1,1,0))</f>
        <v/>
      </c>
      <c r="AL361">
        <f>IF($AK361=1,SUMPRODUCT(--($AO$2:$AO$1501&lt;$AO361))+1,"")</f>
        <v/>
      </c>
      <c r="AM361">
        <f>IF($D361="","",IF(OR($R361=TRUE(),$R361="TRUE"),1,0))</f>
        <v/>
      </c>
      <c r="AN361">
        <f>IF($D361="","",IF($AA361="Yes",1,0))</f>
        <v/>
      </c>
      <c r="AO361">
        <f>IF($AK361=1,IFERROR(IF(VALUE($D361)&lt;100000000,VALUE($D361),1000000000),IFERROR(IF(VALUE(MID($D361,2,20))&lt;100000000,VALUE(MID($D361,2,20)),1000000000),1000000000))+ROW()/100000,"")</f>
        <v/>
      </c>
    </row>
    <row r="362">
      <c r="F362" s="11" t="n"/>
      <c r="N362" s="7">
        <f>IF($D362="","",M362*V362/100)</f>
        <v/>
      </c>
      <c r="O362" s="7" t="n"/>
      <c r="U362" s="7" t="n"/>
      <c r="V362" s="7" t="n"/>
      <c r="W362" s="7">
        <f>IF($D362="","",V362*AB362/100)</f>
        <v/>
      </c>
      <c r="X362" s="7">
        <f>IF($D362="","",V362-W362)</f>
        <v/>
      </c>
      <c r="Y362" s="7">
        <f>IF($D362="","",X362-N362)</f>
        <v/>
      </c>
      <c r="AB362">
        <f>IF($D362="","",IF($AN362=1,0,IF($AM362=1,Settings!$C$6,Settings!$C$7))*100)</f>
        <v/>
      </c>
      <c r="AF362" s="7" t="n"/>
      <c r="AI362" s="11" t="n"/>
      <c r="AK362">
        <f>IF($D362="","",IF(COUNTIF($D$2:$D362,$D362)=1,1,0))</f>
        <v/>
      </c>
      <c r="AL362">
        <f>IF($AK362=1,SUMPRODUCT(--($AO$2:$AO$1501&lt;$AO362))+1,"")</f>
        <v/>
      </c>
      <c r="AM362">
        <f>IF($D362="","",IF(OR($R362=TRUE(),$R362="TRUE"),1,0))</f>
        <v/>
      </c>
      <c r="AN362">
        <f>IF($D362="","",IF($AA362="Yes",1,0))</f>
        <v/>
      </c>
      <c r="AO362">
        <f>IF($AK362=1,IFERROR(IF(VALUE($D362)&lt;100000000,VALUE($D362),1000000000),IFERROR(IF(VALUE(MID($D362,2,20))&lt;100000000,VALUE(MID($D362,2,20)),1000000000),1000000000))+ROW()/100000,"")</f>
        <v/>
      </c>
    </row>
    <row r="363">
      <c r="F363" s="11" t="n"/>
      <c r="N363" s="7">
        <f>IF($D363="","",M363*V363/100)</f>
        <v/>
      </c>
      <c r="O363" s="7" t="n"/>
      <c r="U363" s="7" t="n"/>
      <c r="V363" s="7" t="n"/>
      <c r="W363" s="7">
        <f>IF($D363="","",V363*AB363/100)</f>
        <v/>
      </c>
      <c r="X363" s="7">
        <f>IF($D363="","",V363-W363)</f>
        <v/>
      </c>
      <c r="Y363" s="7">
        <f>IF($D363="","",X363-N363)</f>
        <v/>
      </c>
      <c r="AB363">
        <f>IF($D363="","",IF($AN363=1,0,IF($AM363=1,Settings!$C$6,Settings!$C$7))*100)</f>
        <v/>
      </c>
      <c r="AF363" s="7" t="n"/>
      <c r="AI363" s="11" t="n"/>
      <c r="AK363">
        <f>IF($D363="","",IF(COUNTIF($D$2:$D363,$D363)=1,1,0))</f>
        <v/>
      </c>
      <c r="AL363">
        <f>IF($AK363=1,SUMPRODUCT(--($AO$2:$AO$1501&lt;$AO363))+1,"")</f>
        <v/>
      </c>
      <c r="AM363">
        <f>IF($D363="","",IF(OR($R363=TRUE(),$R363="TRUE"),1,0))</f>
        <v/>
      </c>
      <c r="AN363">
        <f>IF($D363="","",IF($AA363="Yes",1,0))</f>
        <v/>
      </c>
      <c r="AO363">
        <f>IF($AK363=1,IFERROR(IF(VALUE($D363)&lt;100000000,VALUE($D363),1000000000),IFERROR(IF(VALUE(MID($D363,2,20))&lt;100000000,VALUE(MID($D363,2,20)),1000000000),1000000000))+ROW()/100000,"")</f>
        <v/>
      </c>
    </row>
    <row r="364">
      <c r="F364" s="11" t="n"/>
      <c r="N364" s="7">
        <f>IF($D364="","",M364*V364/100)</f>
        <v/>
      </c>
      <c r="O364" s="7" t="n"/>
      <c r="U364" s="7" t="n"/>
      <c r="V364" s="7" t="n"/>
      <c r="W364" s="7">
        <f>IF($D364="","",V364*AB364/100)</f>
        <v/>
      </c>
      <c r="X364" s="7">
        <f>IF($D364="","",V364-W364)</f>
        <v/>
      </c>
      <c r="Y364" s="7">
        <f>IF($D364="","",X364-N364)</f>
        <v/>
      </c>
      <c r="AB364">
        <f>IF($D364="","",IF($AN364=1,0,IF($AM364=1,Settings!$C$6,Settings!$C$7))*100)</f>
        <v/>
      </c>
      <c r="AF364" s="7" t="n"/>
      <c r="AI364" s="11" t="n"/>
      <c r="AK364">
        <f>IF($D364="","",IF(COUNTIF($D$2:$D364,$D364)=1,1,0))</f>
        <v/>
      </c>
      <c r="AL364">
        <f>IF($AK364=1,SUMPRODUCT(--($AO$2:$AO$1501&lt;$AO364))+1,"")</f>
        <v/>
      </c>
      <c r="AM364">
        <f>IF($D364="","",IF(OR($R364=TRUE(),$R364="TRUE"),1,0))</f>
        <v/>
      </c>
      <c r="AN364">
        <f>IF($D364="","",IF($AA364="Yes",1,0))</f>
        <v/>
      </c>
      <c r="AO364">
        <f>IF($AK364=1,IFERROR(IF(VALUE($D364)&lt;100000000,VALUE($D364),1000000000),IFERROR(IF(VALUE(MID($D364,2,20))&lt;100000000,VALUE(MID($D364,2,20)),1000000000),1000000000))+ROW()/100000,"")</f>
        <v/>
      </c>
    </row>
    <row r="365">
      <c r="F365" s="11" t="n"/>
      <c r="N365" s="7">
        <f>IF($D365="","",M365*V365/100)</f>
        <v/>
      </c>
      <c r="O365" s="7" t="n"/>
      <c r="U365" s="7" t="n"/>
      <c r="V365" s="7" t="n"/>
      <c r="W365" s="7">
        <f>IF($D365="","",V365*AB365/100)</f>
        <v/>
      </c>
      <c r="X365" s="7">
        <f>IF($D365="","",V365-W365)</f>
        <v/>
      </c>
      <c r="Y365" s="7">
        <f>IF($D365="","",X365-N365)</f>
        <v/>
      </c>
      <c r="AB365">
        <f>IF($D365="","",IF($AN365=1,0,IF($AM365=1,Settings!$C$6,Settings!$C$7))*100)</f>
        <v/>
      </c>
      <c r="AF365" s="7" t="n"/>
      <c r="AI365" s="11" t="n"/>
      <c r="AK365">
        <f>IF($D365="","",IF(COUNTIF($D$2:$D365,$D365)=1,1,0))</f>
        <v/>
      </c>
      <c r="AL365">
        <f>IF($AK365=1,SUMPRODUCT(--($AO$2:$AO$1501&lt;$AO365))+1,"")</f>
        <v/>
      </c>
      <c r="AM365">
        <f>IF($D365="","",IF(OR($R365=TRUE(),$R365="TRUE"),1,0))</f>
        <v/>
      </c>
      <c r="AN365">
        <f>IF($D365="","",IF($AA365="Yes",1,0))</f>
        <v/>
      </c>
      <c r="AO365">
        <f>IF($AK365=1,IFERROR(IF(VALUE($D365)&lt;100000000,VALUE($D365),1000000000),IFERROR(IF(VALUE(MID($D365,2,20))&lt;100000000,VALUE(MID($D365,2,20)),1000000000),1000000000))+ROW()/100000,"")</f>
        <v/>
      </c>
    </row>
    <row r="366">
      <c r="F366" s="11" t="n"/>
      <c r="N366" s="7">
        <f>IF($D366="","",M366*V366/100)</f>
        <v/>
      </c>
      <c r="O366" s="7" t="n"/>
      <c r="U366" s="7" t="n"/>
      <c r="V366" s="7" t="n"/>
      <c r="W366" s="7">
        <f>IF($D366="","",V366*AB366/100)</f>
        <v/>
      </c>
      <c r="X366" s="7">
        <f>IF($D366="","",V366-W366)</f>
        <v/>
      </c>
      <c r="Y366" s="7">
        <f>IF($D366="","",X366-N366)</f>
        <v/>
      </c>
      <c r="AB366">
        <f>IF($D366="","",IF($AN366=1,0,IF($AM366=1,Settings!$C$6,Settings!$C$7))*100)</f>
        <v/>
      </c>
      <c r="AF366" s="7" t="n"/>
      <c r="AI366" s="11" t="n"/>
      <c r="AK366">
        <f>IF($D366="","",IF(COUNTIF($D$2:$D366,$D366)=1,1,0))</f>
        <v/>
      </c>
      <c r="AL366">
        <f>IF($AK366=1,SUMPRODUCT(--($AO$2:$AO$1501&lt;$AO366))+1,"")</f>
        <v/>
      </c>
      <c r="AM366">
        <f>IF($D366="","",IF(OR($R366=TRUE(),$R366="TRUE"),1,0))</f>
        <v/>
      </c>
      <c r="AN366">
        <f>IF($D366="","",IF($AA366="Yes",1,0))</f>
        <v/>
      </c>
      <c r="AO366">
        <f>IF($AK366=1,IFERROR(IF(VALUE($D366)&lt;100000000,VALUE($D366),1000000000),IFERROR(IF(VALUE(MID($D366,2,20))&lt;100000000,VALUE(MID($D366,2,20)),1000000000),1000000000))+ROW()/100000,"")</f>
        <v/>
      </c>
    </row>
    <row r="367">
      <c r="F367" s="11" t="n"/>
      <c r="N367" s="7">
        <f>IF($D367="","",M367*V367/100)</f>
        <v/>
      </c>
      <c r="O367" s="7" t="n"/>
      <c r="U367" s="7" t="n"/>
      <c r="V367" s="7" t="n"/>
      <c r="W367" s="7">
        <f>IF($D367="","",V367*AB367/100)</f>
        <v/>
      </c>
      <c r="X367" s="7">
        <f>IF($D367="","",V367-W367)</f>
        <v/>
      </c>
      <c r="Y367" s="7">
        <f>IF($D367="","",X367-N367)</f>
        <v/>
      </c>
      <c r="AB367">
        <f>IF($D367="","",IF($AN367=1,0,IF($AM367=1,Settings!$C$6,Settings!$C$7))*100)</f>
        <v/>
      </c>
      <c r="AF367" s="7" t="n"/>
      <c r="AI367" s="11" t="n"/>
      <c r="AK367">
        <f>IF($D367="","",IF(COUNTIF($D$2:$D367,$D367)=1,1,0))</f>
        <v/>
      </c>
      <c r="AL367">
        <f>IF($AK367=1,SUMPRODUCT(--($AO$2:$AO$1501&lt;$AO367))+1,"")</f>
        <v/>
      </c>
      <c r="AM367">
        <f>IF($D367="","",IF(OR($R367=TRUE(),$R367="TRUE"),1,0))</f>
        <v/>
      </c>
      <c r="AN367">
        <f>IF($D367="","",IF($AA367="Yes",1,0))</f>
        <v/>
      </c>
      <c r="AO367">
        <f>IF($AK367=1,IFERROR(IF(VALUE($D367)&lt;100000000,VALUE($D367),1000000000),IFERROR(IF(VALUE(MID($D367,2,20))&lt;100000000,VALUE(MID($D367,2,20)),1000000000),1000000000))+ROW()/100000,"")</f>
        <v/>
      </c>
    </row>
    <row r="368">
      <c r="F368" s="11" t="n"/>
      <c r="N368" s="7">
        <f>IF($D368="","",M368*V368/100)</f>
        <v/>
      </c>
      <c r="O368" s="7" t="n"/>
      <c r="U368" s="7" t="n"/>
      <c r="V368" s="7" t="n"/>
      <c r="W368" s="7">
        <f>IF($D368="","",V368*AB368/100)</f>
        <v/>
      </c>
      <c r="X368" s="7">
        <f>IF($D368="","",V368-W368)</f>
        <v/>
      </c>
      <c r="Y368" s="7">
        <f>IF($D368="","",X368-N368)</f>
        <v/>
      </c>
      <c r="AB368">
        <f>IF($D368="","",IF($AN368=1,0,IF($AM368=1,Settings!$C$6,Settings!$C$7))*100)</f>
        <v/>
      </c>
      <c r="AF368" s="7" t="n"/>
      <c r="AI368" s="11" t="n"/>
      <c r="AK368">
        <f>IF($D368="","",IF(COUNTIF($D$2:$D368,$D368)=1,1,0))</f>
        <v/>
      </c>
      <c r="AL368">
        <f>IF($AK368=1,SUMPRODUCT(--($AO$2:$AO$1501&lt;$AO368))+1,"")</f>
        <v/>
      </c>
      <c r="AM368">
        <f>IF($D368="","",IF(OR($R368=TRUE(),$R368="TRUE"),1,0))</f>
        <v/>
      </c>
      <c r="AN368">
        <f>IF($D368="","",IF($AA368="Yes",1,0))</f>
        <v/>
      </c>
      <c r="AO368">
        <f>IF($AK368=1,IFERROR(IF(VALUE($D368)&lt;100000000,VALUE($D368),1000000000),IFERROR(IF(VALUE(MID($D368,2,20))&lt;100000000,VALUE(MID($D368,2,20)),1000000000),1000000000))+ROW()/100000,"")</f>
        <v/>
      </c>
    </row>
    <row r="369">
      <c r="F369" s="11" t="n"/>
      <c r="N369" s="7">
        <f>IF($D369="","",M369*V369/100)</f>
        <v/>
      </c>
      <c r="O369" s="7" t="n"/>
      <c r="U369" s="7" t="n"/>
      <c r="V369" s="7" t="n"/>
      <c r="W369" s="7">
        <f>IF($D369="","",V369*AB369/100)</f>
        <v/>
      </c>
      <c r="X369" s="7">
        <f>IF($D369="","",V369-W369)</f>
        <v/>
      </c>
      <c r="Y369" s="7">
        <f>IF($D369="","",X369-N369)</f>
        <v/>
      </c>
      <c r="AB369">
        <f>IF($D369="","",IF($AN369=1,0,IF($AM369=1,Settings!$C$6,Settings!$C$7))*100)</f>
        <v/>
      </c>
      <c r="AF369" s="7" t="n"/>
      <c r="AI369" s="11" t="n"/>
      <c r="AK369">
        <f>IF($D369="","",IF(COUNTIF($D$2:$D369,$D369)=1,1,0))</f>
        <v/>
      </c>
      <c r="AL369">
        <f>IF($AK369=1,SUMPRODUCT(--($AO$2:$AO$1501&lt;$AO369))+1,"")</f>
        <v/>
      </c>
      <c r="AM369">
        <f>IF($D369="","",IF(OR($R369=TRUE(),$R369="TRUE"),1,0))</f>
        <v/>
      </c>
      <c r="AN369">
        <f>IF($D369="","",IF($AA369="Yes",1,0))</f>
        <v/>
      </c>
      <c r="AO369">
        <f>IF($AK369=1,IFERROR(IF(VALUE($D369)&lt;100000000,VALUE($D369),1000000000),IFERROR(IF(VALUE(MID($D369,2,20))&lt;100000000,VALUE(MID($D369,2,20)),1000000000),1000000000))+ROW()/100000,"")</f>
        <v/>
      </c>
    </row>
    <row r="370">
      <c r="F370" s="11" t="n"/>
      <c r="N370" s="7">
        <f>IF($D370="","",M370*V370/100)</f>
        <v/>
      </c>
      <c r="O370" s="7" t="n"/>
      <c r="U370" s="7" t="n"/>
      <c r="V370" s="7" t="n"/>
      <c r="W370" s="7">
        <f>IF($D370="","",V370*AB370/100)</f>
        <v/>
      </c>
      <c r="X370" s="7">
        <f>IF($D370="","",V370-W370)</f>
        <v/>
      </c>
      <c r="Y370" s="7">
        <f>IF($D370="","",X370-N370)</f>
        <v/>
      </c>
      <c r="AB370">
        <f>IF($D370="","",IF($AN370=1,0,IF($AM370=1,Settings!$C$6,Settings!$C$7))*100)</f>
        <v/>
      </c>
      <c r="AF370" s="7" t="n"/>
      <c r="AI370" s="11" t="n"/>
      <c r="AK370">
        <f>IF($D370="","",IF(COUNTIF($D$2:$D370,$D370)=1,1,0))</f>
        <v/>
      </c>
      <c r="AL370">
        <f>IF($AK370=1,SUMPRODUCT(--($AO$2:$AO$1501&lt;$AO370))+1,"")</f>
        <v/>
      </c>
      <c r="AM370">
        <f>IF($D370="","",IF(OR($R370=TRUE(),$R370="TRUE"),1,0))</f>
        <v/>
      </c>
      <c r="AN370">
        <f>IF($D370="","",IF($AA370="Yes",1,0))</f>
        <v/>
      </c>
      <c r="AO370">
        <f>IF($AK370=1,IFERROR(IF(VALUE($D370)&lt;100000000,VALUE($D370),1000000000),IFERROR(IF(VALUE(MID($D370,2,20))&lt;100000000,VALUE(MID($D370,2,20)),1000000000),1000000000))+ROW()/100000,"")</f>
        <v/>
      </c>
    </row>
    <row r="371">
      <c r="F371" s="11" t="n"/>
      <c r="N371" s="7">
        <f>IF($D371="","",M371*V371/100)</f>
        <v/>
      </c>
      <c r="O371" s="7" t="n"/>
      <c r="U371" s="7" t="n"/>
      <c r="V371" s="7" t="n"/>
      <c r="W371" s="7">
        <f>IF($D371="","",V371*AB371/100)</f>
        <v/>
      </c>
      <c r="X371" s="7">
        <f>IF($D371="","",V371-W371)</f>
        <v/>
      </c>
      <c r="Y371" s="7">
        <f>IF($D371="","",X371-N371)</f>
        <v/>
      </c>
      <c r="AB371">
        <f>IF($D371="","",IF($AN371=1,0,IF($AM371=1,Settings!$C$6,Settings!$C$7))*100)</f>
        <v/>
      </c>
      <c r="AF371" s="7" t="n"/>
      <c r="AI371" s="11" t="n"/>
      <c r="AK371">
        <f>IF($D371="","",IF(COUNTIF($D$2:$D371,$D371)=1,1,0))</f>
        <v/>
      </c>
      <c r="AL371">
        <f>IF($AK371=1,SUMPRODUCT(--($AO$2:$AO$1501&lt;$AO371))+1,"")</f>
        <v/>
      </c>
      <c r="AM371">
        <f>IF($D371="","",IF(OR($R371=TRUE(),$R371="TRUE"),1,0))</f>
        <v/>
      </c>
      <c r="AN371">
        <f>IF($D371="","",IF($AA371="Yes",1,0))</f>
        <v/>
      </c>
      <c r="AO371">
        <f>IF($AK371=1,IFERROR(IF(VALUE($D371)&lt;100000000,VALUE($D371),1000000000),IFERROR(IF(VALUE(MID($D371,2,20))&lt;100000000,VALUE(MID($D371,2,20)),1000000000),1000000000))+ROW()/100000,"")</f>
        <v/>
      </c>
    </row>
    <row r="372">
      <c r="F372" s="11" t="n"/>
      <c r="N372" s="7">
        <f>IF($D372="","",M372*V372/100)</f>
        <v/>
      </c>
      <c r="O372" s="7" t="n"/>
      <c r="U372" s="7" t="n"/>
      <c r="V372" s="7" t="n"/>
      <c r="W372" s="7">
        <f>IF($D372="","",V372*AB372/100)</f>
        <v/>
      </c>
      <c r="X372" s="7">
        <f>IF($D372="","",V372-W372)</f>
        <v/>
      </c>
      <c r="Y372" s="7">
        <f>IF($D372="","",X372-N372)</f>
        <v/>
      </c>
      <c r="AB372">
        <f>IF($D372="","",IF($AN372=1,0,IF($AM372=1,Settings!$C$6,Settings!$C$7))*100)</f>
        <v/>
      </c>
      <c r="AF372" s="7" t="n"/>
      <c r="AI372" s="11" t="n"/>
      <c r="AK372">
        <f>IF($D372="","",IF(COUNTIF($D$2:$D372,$D372)=1,1,0))</f>
        <v/>
      </c>
      <c r="AL372">
        <f>IF($AK372=1,SUMPRODUCT(--($AO$2:$AO$1501&lt;$AO372))+1,"")</f>
        <v/>
      </c>
      <c r="AM372">
        <f>IF($D372="","",IF(OR($R372=TRUE(),$R372="TRUE"),1,0))</f>
        <v/>
      </c>
      <c r="AN372">
        <f>IF($D372="","",IF($AA372="Yes",1,0))</f>
        <v/>
      </c>
      <c r="AO372">
        <f>IF($AK372=1,IFERROR(IF(VALUE($D372)&lt;100000000,VALUE($D372),1000000000),IFERROR(IF(VALUE(MID($D372,2,20))&lt;100000000,VALUE(MID($D372,2,20)),1000000000),1000000000))+ROW()/100000,"")</f>
        <v/>
      </c>
    </row>
    <row r="373">
      <c r="F373" s="11" t="n"/>
      <c r="N373" s="7">
        <f>IF($D373="","",M373*V373/100)</f>
        <v/>
      </c>
      <c r="O373" s="7" t="n"/>
      <c r="U373" s="7" t="n"/>
      <c r="V373" s="7" t="n"/>
      <c r="W373" s="7">
        <f>IF($D373="","",V373*AB373/100)</f>
        <v/>
      </c>
      <c r="X373" s="7">
        <f>IF($D373="","",V373-W373)</f>
        <v/>
      </c>
      <c r="Y373" s="7">
        <f>IF($D373="","",X373-N373)</f>
        <v/>
      </c>
      <c r="AB373">
        <f>IF($D373="","",IF($AN373=1,0,IF($AM373=1,Settings!$C$6,Settings!$C$7))*100)</f>
        <v/>
      </c>
      <c r="AF373" s="7" t="n"/>
      <c r="AI373" s="11" t="n"/>
      <c r="AK373">
        <f>IF($D373="","",IF(COUNTIF($D$2:$D373,$D373)=1,1,0))</f>
        <v/>
      </c>
      <c r="AL373">
        <f>IF($AK373=1,SUMPRODUCT(--($AO$2:$AO$1501&lt;$AO373))+1,"")</f>
        <v/>
      </c>
      <c r="AM373">
        <f>IF($D373="","",IF(OR($R373=TRUE(),$R373="TRUE"),1,0))</f>
        <v/>
      </c>
      <c r="AN373">
        <f>IF($D373="","",IF($AA373="Yes",1,0))</f>
        <v/>
      </c>
      <c r="AO373">
        <f>IF($AK373=1,IFERROR(IF(VALUE($D373)&lt;100000000,VALUE($D373),1000000000),IFERROR(IF(VALUE(MID($D373,2,20))&lt;100000000,VALUE(MID($D373,2,20)),1000000000),1000000000))+ROW()/100000,"")</f>
        <v/>
      </c>
    </row>
    <row r="374">
      <c r="F374" s="11" t="n"/>
      <c r="N374" s="7">
        <f>IF($D374="","",M374*V374/100)</f>
        <v/>
      </c>
      <c r="O374" s="7" t="n"/>
      <c r="U374" s="7" t="n"/>
      <c r="V374" s="7" t="n"/>
      <c r="W374" s="7">
        <f>IF($D374="","",V374*AB374/100)</f>
        <v/>
      </c>
      <c r="X374" s="7">
        <f>IF($D374="","",V374-W374)</f>
        <v/>
      </c>
      <c r="Y374" s="7">
        <f>IF($D374="","",X374-N374)</f>
        <v/>
      </c>
      <c r="AB374">
        <f>IF($D374="","",IF($AN374=1,0,IF($AM374=1,Settings!$C$6,Settings!$C$7))*100)</f>
        <v/>
      </c>
      <c r="AF374" s="7" t="n"/>
      <c r="AI374" s="11" t="n"/>
      <c r="AK374">
        <f>IF($D374="","",IF(COUNTIF($D$2:$D374,$D374)=1,1,0))</f>
        <v/>
      </c>
      <c r="AL374">
        <f>IF($AK374=1,SUMPRODUCT(--($AO$2:$AO$1501&lt;$AO374))+1,"")</f>
        <v/>
      </c>
      <c r="AM374">
        <f>IF($D374="","",IF(OR($R374=TRUE(),$R374="TRUE"),1,0))</f>
        <v/>
      </c>
      <c r="AN374">
        <f>IF($D374="","",IF($AA374="Yes",1,0))</f>
        <v/>
      </c>
      <c r="AO374">
        <f>IF($AK374=1,IFERROR(IF(VALUE($D374)&lt;100000000,VALUE($D374),1000000000),IFERROR(IF(VALUE(MID($D374,2,20))&lt;100000000,VALUE(MID($D374,2,20)),1000000000),1000000000))+ROW()/100000,"")</f>
        <v/>
      </c>
    </row>
    <row r="375">
      <c r="F375" s="11" t="n"/>
      <c r="N375" s="7">
        <f>IF($D375="","",M375*V375/100)</f>
        <v/>
      </c>
      <c r="O375" s="7" t="n"/>
      <c r="U375" s="7" t="n"/>
      <c r="V375" s="7" t="n"/>
      <c r="W375" s="7">
        <f>IF($D375="","",V375*AB375/100)</f>
        <v/>
      </c>
      <c r="X375" s="7">
        <f>IF($D375="","",V375-W375)</f>
        <v/>
      </c>
      <c r="Y375" s="7">
        <f>IF($D375="","",X375-N375)</f>
        <v/>
      </c>
      <c r="AB375">
        <f>IF($D375="","",IF($AN375=1,0,IF($AM375=1,Settings!$C$6,Settings!$C$7))*100)</f>
        <v/>
      </c>
      <c r="AF375" s="7" t="n"/>
      <c r="AI375" s="11" t="n"/>
      <c r="AK375">
        <f>IF($D375="","",IF(COUNTIF($D$2:$D375,$D375)=1,1,0))</f>
        <v/>
      </c>
      <c r="AL375">
        <f>IF($AK375=1,SUMPRODUCT(--($AO$2:$AO$1501&lt;$AO375))+1,"")</f>
        <v/>
      </c>
      <c r="AM375">
        <f>IF($D375="","",IF(OR($R375=TRUE(),$R375="TRUE"),1,0))</f>
        <v/>
      </c>
      <c r="AN375">
        <f>IF($D375="","",IF($AA375="Yes",1,0))</f>
        <v/>
      </c>
      <c r="AO375">
        <f>IF($AK375=1,IFERROR(IF(VALUE($D375)&lt;100000000,VALUE($D375),1000000000),IFERROR(IF(VALUE(MID($D375,2,20))&lt;100000000,VALUE(MID($D375,2,20)),1000000000),1000000000))+ROW()/100000,"")</f>
        <v/>
      </c>
    </row>
    <row r="376">
      <c r="F376" s="11" t="n"/>
      <c r="N376" s="7">
        <f>IF($D376="","",M376*V376/100)</f>
        <v/>
      </c>
      <c r="O376" s="7" t="n"/>
      <c r="U376" s="7" t="n"/>
      <c r="V376" s="7" t="n"/>
      <c r="W376" s="7">
        <f>IF($D376="","",V376*AB376/100)</f>
        <v/>
      </c>
      <c r="X376" s="7">
        <f>IF($D376="","",V376-W376)</f>
        <v/>
      </c>
      <c r="Y376" s="7">
        <f>IF($D376="","",X376-N376)</f>
        <v/>
      </c>
      <c r="AB376">
        <f>IF($D376="","",IF($AN376=1,0,IF($AM376=1,Settings!$C$6,Settings!$C$7))*100)</f>
        <v/>
      </c>
      <c r="AF376" s="7" t="n"/>
      <c r="AI376" s="11" t="n"/>
      <c r="AK376">
        <f>IF($D376="","",IF(COUNTIF($D$2:$D376,$D376)=1,1,0))</f>
        <v/>
      </c>
      <c r="AL376">
        <f>IF($AK376=1,SUMPRODUCT(--($AO$2:$AO$1501&lt;$AO376))+1,"")</f>
        <v/>
      </c>
      <c r="AM376">
        <f>IF($D376="","",IF(OR($R376=TRUE(),$R376="TRUE"),1,0))</f>
        <v/>
      </c>
      <c r="AN376">
        <f>IF($D376="","",IF($AA376="Yes",1,0))</f>
        <v/>
      </c>
      <c r="AO376">
        <f>IF($AK376=1,IFERROR(IF(VALUE($D376)&lt;100000000,VALUE($D376),1000000000),IFERROR(IF(VALUE(MID($D376,2,20))&lt;100000000,VALUE(MID($D376,2,20)),1000000000),1000000000))+ROW()/100000,"")</f>
        <v/>
      </c>
    </row>
    <row r="377">
      <c r="F377" s="11" t="n"/>
      <c r="N377" s="7">
        <f>IF($D377="","",M377*V377/100)</f>
        <v/>
      </c>
      <c r="O377" s="7" t="n"/>
      <c r="U377" s="7" t="n"/>
      <c r="V377" s="7" t="n"/>
      <c r="W377" s="7">
        <f>IF($D377="","",V377*AB377/100)</f>
        <v/>
      </c>
      <c r="X377" s="7">
        <f>IF($D377="","",V377-W377)</f>
        <v/>
      </c>
      <c r="Y377" s="7">
        <f>IF($D377="","",X377-N377)</f>
        <v/>
      </c>
      <c r="AB377">
        <f>IF($D377="","",IF($AN377=1,0,IF($AM377=1,Settings!$C$6,Settings!$C$7))*100)</f>
        <v/>
      </c>
      <c r="AF377" s="7" t="n"/>
      <c r="AI377" s="11" t="n"/>
      <c r="AK377">
        <f>IF($D377="","",IF(COUNTIF($D$2:$D377,$D377)=1,1,0))</f>
        <v/>
      </c>
      <c r="AL377">
        <f>IF($AK377=1,SUMPRODUCT(--($AO$2:$AO$1501&lt;$AO377))+1,"")</f>
        <v/>
      </c>
      <c r="AM377">
        <f>IF($D377="","",IF(OR($R377=TRUE(),$R377="TRUE"),1,0))</f>
        <v/>
      </c>
      <c r="AN377">
        <f>IF($D377="","",IF($AA377="Yes",1,0))</f>
        <v/>
      </c>
      <c r="AO377">
        <f>IF($AK377=1,IFERROR(IF(VALUE($D377)&lt;100000000,VALUE($D377),1000000000),IFERROR(IF(VALUE(MID($D377,2,20))&lt;100000000,VALUE(MID($D377,2,20)),1000000000),1000000000))+ROW()/100000,"")</f>
        <v/>
      </c>
    </row>
    <row r="378">
      <c r="F378" s="11" t="n"/>
      <c r="N378" s="7">
        <f>IF($D378="","",M378*V378/100)</f>
        <v/>
      </c>
      <c r="O378" s="7" t="n"/>
      <c r="U378" s="7" t="n"/>
      <c r="V378" s="7" t="n"/>
      <c r="W378" s="7">
        <f>IF($D378="","",V378*AB378/100)</f>
        <v/>
      </c>
      <c r="X378" s="7">
        <f>IF($D378="","",V378-W378)</f>
        <v/>
      </c>
      <c r="Y378" s="7">
        <f>IF($D378="","",X378-N378)</f>
        <v/>
      </c>
      <c r="AB378">
        <f>IF($D378="","",IF($AN378=1,0,IF($AM378=1,Settings!$C$6,Settings!$C$7))*100)</f>
        <v/>
      </c>
      <c r="AF378" s="7" t="n"/>
      <c r="AI378" s="11" t="n"/>
      <c r="AK378">
        <f>IF($D378="","",IF(COUNTIF($D$2:$D378,$D378)=1,1,0))</f>
        <v/>
      </c>
      <c r="AL378">
        <f>IF($AK378=1,SUMPRODUCT(--($AO$2:$AO$1501&lt;$AO378))+1,"")</f>
        <v/>
      </c>
      <c r="AM378">
        <f>IF($D378="","",IF(OR($R378=TRUE(),$R378="TRUE"),1,0))</f>
        <v/>
      </c>
      <c r="AN378">
        <f>IF($D378="","",IF($AA378="Yes",1,0))</f>
        <v/>
      </c>
      <c r="AO378">
        <f>IF($AK378=1,IFERROR(IF(VALUE($D378)&lt;100000000,VALUE($D378),1000000000),IFERROR(IF(VALUE(MID($D378,2,20))&lt;100000000,VALUE(MID($D378,2,20)),1000000000),1000000000))+ROW()/100000,"")</f>
        <v/>
      </c>
    </row>
    <row r="379">
      <c r="F379" s="11" t="n"/>
      <c r="N379" s="7">
        <f>IF($D379="","",M379*V379/100)</f>
        <v/>
      </c>
      <c r="O379" s="7" t="n"/>
      <c r="U379" s="7" t="n"/>
      <c r="V379" s="7" t="n"/>
      <c r="W379" s="7">
        <f>IF($D379="","",V379*AB379/100)</f>
        <v/>
      </c>
      <c r="X379" s="7">
        <f>IF($D379="","",V379-W379)</f>
        <v/>
      </c>
      <c r="Y379" s="7">
        <f>IF($D379="","",X379-N379)</f>
        <v/>
      </c>
      <c r="AB379">
        <f>IF($D379="","",IF($AN379=1,0,IF($AM379=1,Settings!$C$6,Settings!$C$7))*100)</f>
        <v/>
      </c>
      <c r="AF379" s="7" t="n"/>
      <c r="AI379" s="11" t="n"/>
      <c r="AK379">
        <f>IF($D379="","",IF(COUNTIF($D$2:$D379,$D379)=1,1,0))</f>
        <v/>
      </c>
      <c r="AL379">
        <f>IF($AK379=1,SUMPRODUCT(--($AO$2:$AO$1501&lt;$AO379))+1,"")</f>
        <v/>
      </c>
      <c r="AM379">
        <f>IF($D379="","",IF(OR($R379=TRUE(),$R379="TRUE"),1,0))</f>
        <v/>
      </c>
      <c r="AN379">
        <f>IF($D379="","",IF($AA379="Yes",1,0))</f>
        <v/>
      </c>
      <c r="AO379">
        <f>IF($AK379=1,IFERROR(IF(VALUE($D379)&lt;100000000,VALUE($D379),1000000000),IFERROR(IF(VALUE(MID($D379,2,20))&lt;100000000,VALUE(MID($D379,2,20)),1000000000),1000000000))+ROW()/100000,"")</f>
        <v/>
      </c>
    </row>
    <row r="380">
      <c r="F380" s="11" t="n"/>
      <c r="N380" s="7">
        <f>IF($D380="","",M380*V380/100)</f>
        <v/>
      </c>
      <c r="O380" s="7" t="n"/>
      <c r="U380" s="7" t="n"/>
      <c r="V380" s="7" t="n"/>
      <c r="W380" s="7">
        <f>IF($D380="","",V380*AB380/100)</f>
        <v/>
      </c>
      <c r="X380" s="7">
        <f>IF($D380="","",V380-W380)</f>
        <v/>
      </c>
      <c r="Y380" s="7">
        <f>IF($D380="","",X380-N380)</f>
        <v/>
      </c>
      <c r="AB380">
        <f>IF($D380="","",IF($AN380=1,0,IF($AM380=1,Settings!$C$6,Settings!$C$7))*100)</f>
        <v/>
      </c>
      <c r="AF380" s="7" t="n"/>
      <c r="AI380" s="11" t="n"/>
      <c r="AK380">
        <f>IF($D380="","",IF(COUNTIF($D$2:$D380,$D380)=1,1,0))</f>
        <v/>
      </c>
      <c r="AL380">
        <f>IF($AK380=1,SUMPRODUCT(--($AO$2:$AO$1501&lt;$AO380))+1,"")</f>
        <v/>
      </c>
      <c r="AM380">
        <f>IF($D380="","",IF(OR($R380=TRUE(),$R380="TRUE"),1,0))</f>
        <v/>
      </c>
      <c r="AN380">
        <f>IF($D380="","",IF($AA380="Yes",1,0))</f>
        <v/>
      </c>
      <c r="AO380">
        <f>IF($AK380=1,IFERROR(IF(VALUE($D380)&lt;100000000,VALUE($D380),1000000000),IFERROR(IF(VALUE(MID($D380,2,20))&lt;100000000,VALUE(MID($D380,2,20)),1000000000),1000000000))+ROW()/100000,"")</f>
        <v/>
      </c>
    </row>
    <row r="381">
      <c r="F381" s="11" t="n"/>
      <c r="N381" s="7">
        <f>IF($D381="","",M381*V381/100)</f>
        <v/>
      </c>
      <c r="O381" s="7" t="n"/>
      <c r="U381" s="7" t="n"/>
      <c r="V381" s="7" t="n"/>
      <c r="W381" s="7">
        <f>IF($D381="","",V381*AB381/100)</f>
        <v/>
      </c>
      <c r="X381" s="7">
        <f>IF($D381="","",V381-W381)</f>
        <v/>
      </c>
      <c r="Y381" s="7">
        <f>IF($D381="","",X381-N381)</f>
        <v/>
      </c>
      <c r="AB381">
        <f>IF($D381="","",IF($AN381=1,0,IF($AM381=1,Settings!$C$6,Settings!$C$7))*100)</f>
        <v/>
      </c>
      <c r="AF381" s="7" t="n"/>
      <c r="AI381" s="11" t="n"/>
      <c r="AK381">
        <f>IF($D381="","",IF(COUNTIF($D$2:$D381,$D381)=1,1,0))</f>
        <v/>
      </c>
      <c r="AL381">
        <f>IF($AK381=1,SUMPRODUCT(--($AO$2:$AO$1501&lt;$AO381))+1,"")</f>
        <v/>
      </c>
      <c r="AM381">
        <f>IF($D381="","",IF(OR($R381=TRUE(),$R381="TRUE"),1,0))</f>
        <v/>
      </c>
      <c r="AN381">
        <f>IF($D381="","",IF($AA381="Yes",1,0))</f>
        <v/>
      </c>
      <c r="AO381">
        <f>IF($AK381=1,IFERROR(IF(VALUE($D381)&lt;100000000,VALUE($D381),1000000000),IFERROR(IF(VALUE(MID($D381,2,20))&lt;100000000,VALUE(MID($D381,2,20)),1000000000),1000000000))+ROW()/100000,"")</f>
        <v/>
      </c>
    </row>
    <row r="382">
      <c r="F382" s="11" t="n"/>
      <c r="N382" s="7">
        <f>IF($D382="","",M382*V382/100)</f>
        <v/>
      </c>
      <c r="O382" s="7" t="n"/>
      <c r="U382" s="7" t="n"/>
      <c r="V382" s="7" t="n"/>
      <c r="W382" s="7">
        <f>IF($D382="","",V382*AB382/100)</f>
        <v/>
      </c>
      <c r="X382" s="7">
        <f>IF($D382="","",V382-W382)</f>
        <v/>
      </c>
      <c r="Y382" s="7">
        <f>IF($D382="","",X382-N382)</f>
        <v/>
      </c>
      <c r="AB382">
        <f>IF($D382="","",IF($AN382=1,0,IF($AM382=1,Settings!$C$6,Settings!$C$7))*100)</f>
        <v/>
      </c>
      <c r="AF382" s="7" t="n"/>
      <c r="AI382" s="11" t="n"/>
      <c r="AK382">
        <f>IF($D382="","",IF(COUNTIF($D$2:$D382,$D382)=1,1,0))</f>
        <v/>
      </c>
      <c r="AL382">
        <f>IF($AK382=1,SUMPRODUCT(--($AO$2:$AO$1501&lt;$AO382))+1,"")</f>
        <v/>
      </c>
      <c r="AM382">
        <f>IF($D382="","",IF(OR($R382=TRUE(),$R382="TRUE"),1,0))</f>
        <v/>
      </c>
      <c r="AN382">
        <f>IF($D382="","",IF($AA382="Yes",1,0))</f>
        <v/>
      </c>
      <c r="AO382">
        <f>IF($AK382=1,IFERROR(IF(VALUE($D382)&lt;100000000,VALUE($D382),1000000000),IFERROR(IF(VALUE(MID($D382,2,20))&lt;100000000,VALUE(MID($D382,2,20)),1000000000),1000000000))+ROW()/100000,"")</f>
        <v/>
      </c>
    </row>
    <row r="383">
      <c r="F383" s="11" t="n"/>
      <c r="N383" s="7">
        <f>IF($D383="","",M383*V383/100)</f>
        <v/>
      </c>
      <c r="O383" s="7" t="n"/>
      <c r="U383" s="7" t="n"/>
      <c r="V383" s="7" t="n"/>
      <c r="W383" s="7">
        <f>IF($D383="","",V383*AB383/100)</f>
        <v/>
      </c>
      <c r="X383" s="7">
        <f>IF($D383="","",V383-W383)</f>
        <v/>
      </c>
      <c r="Y383" s="7">
        <f>IF($D383="","",X383-N383)</f>
        <v/>
      </c>
      <c r="AB383">
        <f>IF($D383="","",IF($AN383=1,0,IF($AM383=1,Settings!$C$6,Settings!$C$7))*100)</f>
        <v/>
      </c>
      <c r="AF383" s="7" t="n"/>
      <c r="AI383" s="11" t="n"/>
      <c r="AK383">
        <f>IF($D383="","",IF(COUNTIF($D$2:$D383,$D383)=1,1,0))</f>
        <v/>
      </c>
      <c r="AL383">
        <f>IF($AK383=1,SUMPRODUCT(--($AO$2:$AO$1501&lt;$AO383))+1,"")</f>
        <v/>
      </c>
      <c r="AM383">
        <f>IF($D383="","",IF(OR($R383=TRUE(),$R383="TRUE"),1,0))</f>
        <v/>
      </c>
      <c r="AN383">
        <f>IF($D383="","",IF($AA383="Yes",1,0))</f>
        <v/>
      </c>
      <c r="AO383">
        <f>IF($AK383=1,IFERROR(IF(VALUE($D383)&lt;100000000,VALUE($D383),1000000000),IFERROR(IF(VALUE(MID($D383,2,20))&lt;100000000,VALUE(MID($D383,2,20)),1000000000),1000000000))+ROW()/100000,"")</f>
        <v/>
      </c>
    </row>
    <row r="384">
      <c r="F384" s="11" t="n"/>
      <c r="N384" s="7">
        <f>IF($D384="","",M384*V384/100)</f>
        <v/>
      </c>
      <c r="O384" s="7" t="n"/>
      <c r="U384" s="7" t="n"/>
      <c r="V384" s="7" t="n"/>
      <c r="W384" s="7">
        <f>IF($D384="","",V384*AB384/100)</f>
        <v/>
      </c>
      <c r="X384" s="7">
        <f>IF($D384="","",V384-W384)</f>
        <v/>
      </c>
      <c r="Y384" s="7">
        <f>IF($D384="","",X384-N384)</f>
        <v/>
      </c>
      <c r="AB384">
        <f>IF($D384="","",IF($AN384=1,0,IF($AM384=1,Settings!$C$6,Settings!$C$7))*100)</f>
        <v/>
      </c>
      <c r="AF384" s="7" t="n"/>
      <c r="AI384" s="11" t="n"/>
      <c r="AK384">
        <f>IF($D384="","",IF(COUNTIF($D$2:$D384,$D384)=1,1,0))</f>
        <v/>
      </c>
      <c r="AL384">
        <f>IF($AK384=1,SUMPRODUCT(--($AO$2:$AO$1501&lt;$AO384))+1,"")</f>
        <v/>
      </c>
      <c r="AM384">
        <f>IF($D384="","",IF(OR($R384=TRUE(),$R384="TRUE"),1,0))</f>
        <v/>
      </c>
      <c r="AN384">
        <f>IF($D384="","",IF($AA384="Yes",1,0))</f>
        <v/>
      </c>
      <c r="AO384">
        <f>IF($AK384=1,IFERROR(IF(VALUE($D384)&lt;100000000,VALUE($D384),1000000000),IFERROR(IF(VALUE(MID($D384,2,20))&lt;100000000,VALUE(MID($D384,2,20)),1000000000),1000000000))+ROW()/100000,"")</f>
        <v/>
      </c>
    </row>
    <row r="385">
      <c r="F385" s="11" t="n"/>
      <c r="N385" s="7">
        <f>IF($D385="","",M385*V385/100)</f>
        <v/>
      </c>
      <c r="O385" s="7" t="n"/>
      <c r="U385" s="7" t="n"/>
      <c r="V385" s="7" t="n"/>
      <c r="W385" s="7">
        <f>IF($D385="","",V385*AB385/100)</f>
        <v/>
      </c>
      <c r="X385" s="7">
        <f>IF($D385="","",V385-W385)</f>
        <v/>
      </c>
      <c r="Y385" s="7">
        <f>IF($D385="","",X385-N385)</f>
        <v/>
      </c>
      <c r="AB385">
        <f>IF($D385="","",IF($AN385=1,0,IF($AM385=1,Settings!$C$6,Settings!$C$7))*100)</f>
        <v/>
      </c>
      <c r="AF385" s="7" t="n"/>
      <c r="AI385" s="11" t="n"/>
      <c r="AK385">
        <f>IF($D385="","",IF(COUNTIF($D$2:$D385,$D385)=1,1,0))</f>
        <v/>
      </c>
      <c r="AL385">
        <f>IF($AK385=1,SUMPRODUCT(--($AO$2:$AO$1501&lt;$AO385))+1,"")</f>
        <v/>
      </c>
      <c r="AM385">
        <f>IF($D385="","",IF(OR($R385=TRUE(),$R385="TRUE"),1,0))</f>
        <v/>
      </c>
      <c r="AN385">
        <f>IF($D385="","",IF($AA385="Yes",1,0))</f>
        <v/>
      </c>
      <c r="AO385">
        <f>IF($AK385=1,IFERROR(IF(VALUE($D385)&lt;100000000,VALUE($D385),1000000000),IFERROR(IF(VALUE(MID($D385,2,20))&lt;100000000,VALUE(MID($D385,2,20)),1000000000),1000000000))+ROW()/100000,"")</f>
        <v/>
      </c>
    </row>
    <row r="386">
      <c r="F386" s="11" t="n"/>
      <c r="N386" s="7">
        <f>IF($D386="","",M386*V386/100)</f>
        <v/>
      </c>
      <c r="O386" s="7" t="n"/>
      <c r="U386" s="7" t="n"/>
      <c r="V386" s="7" t="n"/>
      <c r="W386" s="7">
        <f>IF($D386="","",V386*AB386/100)</f>
        <v/>
      </c>
      <c r="X386" s="7">
        <f>IF($D386="","",V386-W386)</f>
        <v/>
      </c>
      <c r="Y386" s="7">
        <f>IF($D386="","",X386-N386)</f>
        <v/>
      </c>
      <c r="AB386">
        <f>IF($D386="","",IF($AN386=1,0,IF($AM386=1,Settings!$C$6,Settings!$C$7))*100)</f>
        <v/>
      </c>
      <c r="AF386" s="7" t="n"/>
      <c r="AI386" s="11" t="n"/>
      <c r="AK386">
        <f>IF($D386="","",IF(COUNTIF($D$2:$D386,$D386)=1,1,0))</f>
        <v/>
      </c>
      <c r="AL386">
        <f>IF($AK386=1,SUMPRODUCT(--($AO$2:$AO$1501&lt;$AO386))+1,"")</f>
        <v/>
      </c>
      <c r="AM386">
        <f>IF($D386="","",IF(OR($R386=TRUE(),$R386="TRUE"),1,0))</f>
        <v/>
      </c>
      <c r="AN386">
        <f>IF($D386="","",IF($AA386="Yes",1,0))</f>
        <v/>
      </c>
      <c r="AO386">
        <f>IF($AK386=1,IFERROR(IF(VALUE($D386)&lt;100000000,VALUE($D386),1000000000),IFERROR(IF(VALUE(MID($D386,2,20))&lt;100000000,VALUE(MID($D386,2,20)),1000000000),1000000000))+ROW()/100000,"")</f>
        <v/>
      </c>
    </row>
    <row r="387">
      <c r="F387" s="11" t="n"/>
      <c r="N387" s="7">
        <f>IF($D387="","",M387*V387/100)</f>
        <v/>
      </c>
      <c r="O387" s="7" t="n"/>
      <c r="U387" s="7" t="n"/>
      <c r="V387" s="7" t="n"/>
      <c r="W387" s="7">
        <f>IF($D387="","",V387*AB387/100)</f>
        <v/>
      </c>
      <c r="X387" s="7">
        <f>IF($D387="","",V387-W387)</f>
        <v/>
      </c>
      <c r="Y387" s="7">
        <f>IF($D387="","",X387-N387)</f>
        <v/>
      </c>
      <c r="AB387">
        <f>IF($D387="","",IF($AN387=1,0,IF($AM387=1,Settings!$C$6,Settings!$C$7))*100)</f>
        <v/>
      </c>
      <c r="AF387" s="7" t="n"/>
      <c r="AI387" s="11" t="n"/>
      <c r="AK387">
        <f>IF($D387="","",IF(COUNTIF($D$2:$D387,$D387)=1,1,0))</f>
        <v/>
      </c>
      <c r="AL387">
        <f>IF($AK387=1,SUMPRODUCT(--($AO$2:$AO$1501&lt;$AO387))+1,"")</f>
        <v/>
      </c>
      <c r="AM387">
        <f>IF($D387="","",IF(OR($R387=TRUE(),$R387="TRUE"),1,0))</f>
        <v/>
      </c>
      <c r="AN387">
        <f>IF($D387="","",IF($AA387="Yes",1,0))</f>
        <v/>
      </c>
      <c r="AO387">
        <f>IF($AK387=1,IFERROR(IF(VALUE($D387)&lt;100000000,VALUE($D387),1000000000),IFERROR(IF(VALUE(MID($D387,2,20))&lt;100000000,VALUE(MID($D387,2,20)),1000000000),1000000000))+ROW()/100000,"")</f>
        <v/>
      </c>
    </row>
    <row r="388">
      <c r="F388" s="11" t="n"/>
      <c r="N388" s="7">
        <f>IF($D388="","",M388*V388/100)</f>
        <v/>
      </c>
      <c r="O388" s="7" t="n"/>
      <c r="U388" s="7" t="n"/>
      <c r="V388" s="7" t="n"/>
      <c r="W388" s="7">
        <f>IF($D388="","",V388*AB388/100)</f>
        <v/>
      </c>
      <c r="X388" s="7">
        <f>IF($D388="","",V388-W388)</f>
        <v/>
      </c>
      <c r="Y388" s="7">
        <f>IF($D388="","",X388-N388)</f>
        <v/>
      </c>
      <c r="AB388">
        <f>IF($D388="","",IF($AN388=1,0,IF($AM388=1,Settings!$C$6,Settings!$C$7))*100)</f>
        <v/>
      </c>
      <c r="AF388" s="7" t="n"/>
      <c r="AI388" s="11" t="n"/>
      <c r="AK388">
        <f>IF($D388="","",IF(COUNTIF($D$2:$D388,$D388)=1,1,0))</f>
        <v/>
      </c>
      <c r="AL388">
        <f>IF($AK388=1,SUMPRODUCT(--($AO$2:$AO$1501&lt;$AO388))+1,"")</f>
        <v/>
      </c>
      <c r="AM388">
        <f>IF($D388="","",IF(OR($R388=TRUE(),$R388="TRUE"),1,0))</f>
        <v/>
      </c>
      <c r="AN388">
        <f>IF($D388="","",IF($AA388="Yes",1,0))</f>
        <v/>
      </c>
      <c r="AO388">
        <f>IF($AK388=1,IFERROR(IF(VALUE($D388)&lt;100000000,VALUE($D388),1000000000),IFERROR(IF(VALUE(MID($D388,2,20))&lt;100000000,VALUE(MID($D388,2,20)),1000000000),1000000000))+ROW()/100000,"")</f>
        <v/>
      </c>
    </row>
    <row r="389">
      <c r="F389" s="11" t="n"/>
      <c r="N389" s="7">
        <f>IF($D389="","",M389*V389/100)</f>
        <v/>
      </c>
      <c r="O389" s="7" t="n"/>
      <c r="U389" s="7" t="n"/>
      <c r="V389" s="7" t="n"/>
      <c r="W389" s="7">
        <f>IF($D389="","",V389*AB389/100)</f>
        <v/>
      </c>
      <c r="X389" s="7">
        <f>IF($D389="","",V389-W389)</f>
        <v/>
      </c>
      <c r="Y389" s="7">
        <f>IF($D389="","",X389-N389)</f>
        <v/>
      </c>
      <c r="AB389">
        <f>IF($D389="","",IF($AN389=1,0,IF($AM389=1,Settings!$C$6,Settings!$C$7))*100)</f>
        <v/>
      </c>
      <c r="AF389" s="7" t="n"/>
      <c r="AI389" s="11" t="n"/>
      <c r="AK389">
        <f>IF($D389="","",IF(COUNTIF($D$2:$D389,$D389)=1,1,0))</f>
        <v/>
      </c>
      <c r="AL389">
        <f>IF($AK389=1,SUMPRODUCT(--($AO$2:$AO$1501&lt;$AO389))+1,"")</f>
        <v/>
      </c>
      <c r="AM389">
        <f>IF($D389="","",IF(OR($R389=TRUE(),$R389="TRUE"),1,0))</f>
        <v/>
      </c>
      <c r="AN389">
        <f>IF($D389="","",IF($AA389="Yes",1,0))</f>
        <v/>
      </c>
      <c r="AO389">
        <f>IF($AK389=1,IFERROR(IF(VALUE($D389)&lt;100000000,VALUE($D389),1000000000),IFERROR(IF(VALUE(MID($D389,2,20))&lt;100000000,VALUE(MID($D389,2,20)),1000000000),1000000000))+ROW()/100000,"")</f>
        <v/>
      </c>
    </row>
    <row r="390">
      <c r="F390" s="11" t="n"/>
      <c r="N390" s="7">
        <f>IF($D390="","",M390*V390/100)</f>
        <v/>
      </c>
      <c r="O390" s="7" t="n"/>
      <c r="U390" s="7" t="n"/>
      <c r="V390" s="7" t="n"/>
      <c r="W390" s="7">
        <f>IF($D390="","",V390*AB390/100)</f>
        <v/>
      </c>
      <c r="X390" s="7">
        <f>IF($D390="","",V390-W390)</f>
        <v/>
      </c>
      <c r="Y390" s="7">
        <f>IF($D390="","",X390-N390)</f>
        <v/>
      </c>
      <c r="AB390">
        <f>IF($D390="","",IF($AN390=1,0,IF($AM390=1,Settings!$C$6,Settings!$C$7))*100)</f>
        <v/>
      </c>
      <c r="AF390" s="7" t="n"/>
      <c r="AI390" s="11" t="n"/>
      <c r="AK390">
        <f>IF($D390="","",IF(COUNTIF($D$2:$D390,$D390)=1,1,0))</f>
        <v/>
      </c>
      <c r="AL390">
        <f>IF($AK390=1,SUMPRODUCT(--($AO$2:$AO$1501&lt;$AO390))+1,"")</f>
        <v/>
      </c>
      <c r="AM390">
        <f>IF($D390="","",IF(OR($R390=TRUE(),$R390="TRUE"),1,0))</f>
        <v/>
      </c>
      <c r="AN390">
        <f>IF($D390="","",IF($AA390="Yes",1,0))</f>
        <v/>
      </c>
      <c r="AO390">
        <f>IF($AK390=1,IFERROR(IF(VALUE($D390)&lt;100000000,VALUE($D390),1000000000),IFERROR(IF(VALUE(MID($D390,2,20))&lt;100000000,VALUE(MID($D390,2,20)),1000000000),1000000000))+ROW()/100000,"")</f>
        <v/>
      </c>
    </row>
    <row r="391">
      <c r="F391" s="11" t="n"/>
      <c r="N391" s="7">
        <f>IF($D391="","",M391*V391/100)</f>
        <v/>
      </c>
      <c r="O391" s="7" t="n"/>
      <c r="U391" s="7" t="n"/>
      <c r="V391" s="7" t="n"/>
      <c r="W391" s="7">
        <f>IF($D391="","",V391*AB391/100)</f>
        <v/>
      </c>
      <c r="X391" s="7">
        <f>IF($D391="","",V391-W391)</f>
        <v/>
      </c>
      <c r="Y391" s="7">
        <f>IF($D391="","",X391-N391)</f>
        <v/>
      </c>
      <c r="AB391">
        <f>IF($D391="","",IF($AN391=1,0,IF($AM391=1,Settings!$C$6,Settings!$C$7))*100)</f>
        <v/>
      </c>
      <c r="AF391" s="7" t="n"/>
      <c r="AI391" s="11" t="n"/>
      <c r="AK391">
        <f>IF($D391="","",IF(COUNTIF($D$2:$D391,$D391)=1,1,0))</f>
        <v/>
      </c>
      <c r="AL391">
        <f>IF($AK391=1,SUMPRODUCT(--($AO$2:$AO$1501&lt;$AO391))+1,"")</f>
        <v/>
      </c>
      <c r="AM391">
        <f>IF($D391="","",IF(OR($R391=TRUE(),$R391="TRUE"),1,0))</f>
        <v/>
      </c>
      <c r="AN391">
        <f>IF($D391="","",IF($AA391="Yes",1,0))</f>
        <v/>
      </c>
      <c r="AO391">
        <f>IF($AK391=1,IFERROR(IF(VALUE($D391)&lt;100000000,VALUE($D391),1000000000),IFERROR(IF(VALUE(MID($D391,2,20))&lt;100000000,VALUE(MID($D391,2,20)),1000000000),1000000000))+ROW()/100000,"")</f>
        <v/>
      </c>
    </row>
    <row r="392">
      <c r="F392" s="11" t="n"/>
      <c r="N392" s="7">
        <f>IF($D392="","",M392*V392/100)</f>
        <v/>
      </c>
      <c r="O392" s="7" t="n"/>
      <c r="U392" s="7" t="n"/>
      <c r="V392" s="7" t="n"/>
      <c r="W392" s="7">
        <f>IF($D392="","",V392*AB392/100)</f>
        <v/>
      </c>
      <c r="X392" s="7">
        <f>IF($D392="","",V392-W392)</f>
        <v/>
      </c>
      <c r="Y392" s="7">
        <f>IF($D392="","",X392-N392)</f>
        <v/>
      </c>
      <c r="AB392">
        <f>IF($D392="","",IF($AN392=1,0,IF($AM392=1,Settings!$C$6,Settings!$C$7))*100)</f>
        <v/>
      </c>
      <c r="AF392" s="7" t="n"/>
      <c r="AI392" s="11" t="n"/>
      <c r="AK392">
        <f>IF($D392="","",IF(COUNTIF($D$2:$D392,$D392)=1,1,0))</f>
        <v/>
      </c>
      <c r="AL392">
        <f>IF($AK392=1,SUMPRODUCT(--($AO$2:$AO$1501&lt;$AO392))+1,"")</f>
        <v/>
      </c>
      <c r="AM392">
        <f>IF($D392="","",IF(OR($R392=TRUE(),$R392="TRUE"),1,0))</f>
        <v/>
      </c>
      <c r="AN392">
        <f>IF($D392="","",IF($AA392="Yes",1,0))</f>
        <v/>
      </c>
      <c r="AO392">
        <f>IF($AK392=1,IFERROR(IF(VALUE($D392)&lt;100000000,VALUE($D392),1000000000),IFERROR(IF(VALUE(MID($D392,2,20))&lt;100000000,VALUE(MID($D392,2,20)),1000000000),1000000000))+ROW()/100000,"")</f>
        <v/>
      </c>
    </row>
    <row r="393">
      <c r="F393" s="11" t="n"/>
      <c r="N393" s="7">
        <f>IF($D393="","",M393*V393/100)</f>
        <v/>
      </c>
      <c r="O393" s="7" t="n"/>
      <c r="U393" s="7" t="n"/>
      <c r="V393" s="7" t="n"/>
      <c r="W393" s="7">
        <f>IF($D393="","",V393*AB393/100)</f>
        <v/>
      </c>
      <c r="X393" s="7">
        <f>IF($D393="","",V393-W393)</f>
        <v/>
      </c>
      <c r="Y393" s="7">
        <f>IF($D393="","",X393-N393)</f>
        <v/>
      </c>
      <c r="AB393">
        <f>IF($D393="","",IF($AN393=1,0,IF($AM393=1,Settings!$C$6,Settings!$C$7))*100)</f>
        <v/>
      </c>
      <c r="AF393" s="7" t="n"/>
      <c r="AI393" s="11" t="n"/>
      <c r="AK393">
        <f>IF($D393="","",IF(COUNTIF($D$2:$D393,$D393)=1,1,0))</f>
        <v/>
      </c>
      <c r="AL393">
        <f>IF($AK393=1,SUMPRODUCT(--($AO$2:$AO$1501&lt;$AO393))+1,"")</f>
        <v/>
      </c>
      <c r="AM393">
        <f>IF($D393="","",IF(OR($R393=TRUE(),$R393="TRUE"),1,0))</f>
        <v/>
      </c>
      <c r="AN393">
        <f>IF($D393="","",IF($AA393="Yes",1,0))</f>
        <v/>
      </c>
      <c r="AO393">
        <f>IF($AK393=1,IFERROR(IF(VALUE($D393)&lt;100000000,VALUE($D393),1000000000),IFERROR(IF(VALUE(MID($D393,2,20))&lt;100000000,VALUE(MID($D393,2,20)),1000000000),1000000000))+ROW()/100000,"")</f>
        <v/>
      </c>
    </row>
    <row r="394">
      <c r="F394" s="11" t="n"/>
      <c r="N394" s="7">
        <f>IF($D394="","",M394*V394/100)</f>
        <v/>
      </c>
      <c r="O394" s="7" t="n"/>
      <c r="U394" s="7" t="n"/>
      <c r="V394" s="7" t="n"/>
      <c r="W394" s="7">
        <f>IF($D394="","",V394*AB394/100)</f>
        <v/>
      </c>
      <c r="X394" s="7">
        <f>IF($D394="","",V394-W394)</f>
        <v/>
      </c>
      <c r="Y394" s="7">
        <f>IF($D394="","",X394-N394)</f>
        <v/>
      </c>
      <c r="AB394">
        <f>IF($D394="","",IF($AN394=1,0,IF($AM394=1,Settings!$C$6,Settings!$C$7))*100)</f>
        <v/>
      </c>
      <c r="AF394" s="7" t="n"/>
      <c r="AI394" s="11" t="n"/>
      <c r="AK394">
        <f>IF($D394="","",IF(COUNTIF($D$2:$D394,$D394)=1,1,0))</f>
        <v/>
      </c>
      <c r="AL394">
        <f>IF($AK394=1,SUMPRODUCT(--($AO$2:$AO$1501&lt;$AO394))+1,"")</f>
        <v/>
      </c>
      <c r="AM394">
        <f>IF($D394="","",IF(OR($R394=TRUE(),$R394="TRUE"),1,0))</f>
        <v/>
      </c>
      <c r="AN394">
        <f>IF($D394="","",IF($AA394="Yes",1,0))</f>
        <v/>
      </c>
      <c r="AO394">
        <f>IF($AK394=1,IFERROR(IF(VALUE($D394)&lt;100000000,VALUE($D394),1000000000),IFERROR(IF(VALUE(MID($D394,2,20))&lt;100000000,VALUE(MID($D394,2,20)),1000000000),1000000000))+ROW()/100000,"")</f>
        <v/>
      </c>
    </row>
    <row r="395">
      <c r="F395" s="11" t="n"/>
      <c r="N395" s="7">
        <f>IF($D395="","",M395*V395/100)</f>
        <v/>
      </c>
      <c r="O395" s="7" t="n"/>
      <c r="U395" s="7" t="n"/>
      <c r="V395" s="7" t="n"/>
      <c r="W395" s="7">
        <f>IF($D395="","",V395*AB395/100)</f>
        <v/>
      </c>
      <c r="X395" s="7">
        <f>IF($D395="","",V395-W395)</f>
        <v/>
      </c>
      <c r="Y395" s="7">
        <f>IF($D395="","",X395-N395)</f>
        <v/>
      </c>
      <c r="AB395">
        <f>IF($D395="","",IF($AN395=1,0,IF($AM395=1,Settings!$C$6,Settings!$C$7))*100)</f>
        <v/>
      </c>
      <c r="AF395" s="7" t="n"/>
      <c r="AI395" s="11" t="n"/>
      <c r="AK395">
        <f>IF($D395="","",IF(COUNTIF($D$2:$D395,$D395)=1,1,0))</f>
        <v/>
      </c>
      <c r="AL395">
        <f>IF($AK395=1,SUMPRODUCT(--($AO$2:$AO$1501&lt;$AO395))+1,"")</f>
        <v/>
      </c>
      <c r="AM395">
        <f>IF($D395="","",IF(OR($R395=TRUE(),$R395="TRUE"),1,0))</f>
        <v/>
      </c>
      <c r="AN395">
        <f>IF($D395="","",IF($AA395="Yes",1,0))</f>
        <v/>
      </c>
      <c r="AO395">
        <f>IF($AK395=1,IFERROR(IF(VALUE($D395)&lt;100000000,VALUE($D395),1000000000),IFERROR(IF(VALUE(MID($D395,2,20))&lt;100000000,VALUE(MID($D395,2,20)),1000000000),1000000000))+ROW()/100000,"")</f>
        <v/>
      </c>
    </row>
    <row r="396">
      <c r="F396" s="11" t="n"/>
      <c r="N396" s="7">
        <f>IF($D396="","",M396*V396/100)</f>
        <v/>
      </c>
      <c r="O396" s="7" t="n"/>
      <c r="U396" s="7" t="n"/>
      <c r="V396" s="7" t="n"/>
      <c r="W396" s="7">
        <f>IF($D396="","",V396*AB396/100)</f>
        <v/>
      </c>
      <c r="X396" s="7">
        <f>IF($D396="","",V396-W396)</f>
        <v/>
      </c>
      <c r="Y396" s="7">
        <f>IF($D396="","",X396-N396)</f>
        <v/>
      </c>
      <c r="AB396">
        <f>IF($D396="","",IF($AN396=1,0,IF($AM396=1,Settings!$C$6,Settings!$C$7))*100)</f>
        <v/>
      </c>
      <c r="AF396" s="7" t="n"/>
      <c r="AI396" s="11" t="n"/>
      <c r="AK396">
        <f>IF($D396="","",IF(COUNTIF($D$2:$D396,$D396)=1,1,0))</f>
        <v/>
      </c>
      <c r="AL396">
        <f>IF($AK396=1,SUMPRODUCT(--($AO$2:$AO$1501&lt;$AO396))+1,"")</f>
        <v/>
      </c>
      <c r="AM396">
        <f>IF($D396="","",IF(OR($R396=TRUE(),$R396="TRUE"),1,0))</f>
        <v/>
      </c>
      <c r="AN396">
        <f>IF($D396="","",IF($AA396="Yes",1,0))</f>
        <v/>
      </c>
      <c r="AO396">
        <f>IF($AK396=1,IFERROR(IF(VALUE($D396)&lt;100000000,VALUE($D396),1000000000),IFERROR(IF(VALUE(MID($D396,2,20))&lt;100000000,VALUE(MID($D396,2,20)),1000000000),1000000000))+ROW()/100000,"")</f>
        <v/>
      </c>
    </row>
    <row r="397">
      <c r="F397" s="11" t="n"/>
      <c r="N397" s="7">
        <f>IF($D397="","",M397*V397/100)</f>
        <v/>
      </c>
      <c r="O397" s="7" t="n"/>
      <c r="U397" s="7" t="n"/>
      <c r="V397" s="7" t="n"/>
      <c r="W397" s="7">
        <f>IF($D397="","",V397*AB397/100)</f>
        <v/>
      </c>
      <c r="X397" s="7">
        <f>IF($D397="","",V397-W397)</f>
        <v/>
      </c>
      <c r="Y397" s="7">
        <f>IF($D397="","",X397-N397)</f>
        <v/>
      </c>
      <c r="AB397">
        <f>IF($D397="","",IF($AN397=1,0,IF($AM397=1,Settings!$C$6,Settings!$C$7))*100)</f>
        <v/>
      </c>
      <c r="AF397" s="7" t="n"/>
      <c r="AI397" s="11" t="n"/>
      <c r="AK397">
        <f>IF($D397="","",IF(COUNTIF($D$2:$D397,$D397)=1,1,0))</f>
        <v/>
      </c>
      <c r="AL397">
        <f>IF($AK397=1,SUMPRODUCT(--($AO$2:$AO$1501&lt;$AO397))+1,"")</f>
        <v/>
      </c>
      <c r="AM397">
        <f>IF($D397="","",IF(OR($R397=TRUE(),$R397="TRUE"),1,0))</f>
        <v/>
      </c>
      <c r="AN397">
        <f>IF($D397="","",IF($AA397="Yes",1,0))</f>
        <v/>
      </c>
      <c r="AO397">
        <f>IF($AK397=1,IFERROR(IF(VALUE($D397)&lt;100000000,VALUE($D397),1000000000),IFERROR(IF(VALUE(MID($D397,2,20))&lt;100000000,VALUE(MID($D397,2,20)),1000000000),1000000000))+ROW()/100000,"")</f>
        <v/>
      </c>
    </row>
    <row r="398">
      <c r="F398" s="11" t="n"/>
      <c r="N398" s="7">
        <f>IF($D398="","",M398*V398/100)</f>
        <v/>
      </c>
      <c r="O398" s="7" t="n"/>
      <c r="U398" s="7" t="n"/>
      <c r="V398" s="7" t="n"/>
      <c r="W398" s="7">
        <f>IF($D398="","",V398*AB398/100)</f>
        <v/>
      </c>
      <c r="X398" s="7">
        <f>IF($D398="","",V398-W398)</f>
        <v/>
      </c>
      <c r="Y398" s="7">
        <f>IF($D398="","",X398-N398)</f>
        <v/>
      </c>
      <c r="AB398">
        <f>IF($D398="","",IF($AN398=1,0,IF($AM398=1,Settings!$C$6,Settings!$C$7))*100)</f>
        <v/>
      </c>
      <c r="AF398" s="7" t="n"/>
      <c r="AI398" s="11" t="n"/>
      <c r="AK398">
        <f>IF($D398="","",IF(COUNTIF($D$2:$D398,$D398)=1,1,0))</f>
        <v/>
      </c>
      <c r="AL398">
        <f>IF($AK398=1,SUMPRODUCT(--($AO$2:$AO$1501&lt;$AO398))+1,"")</f>
        <v/>
      </c>
      <c r="AM398">
        <f>IF($D398="","",IF(OR($R398=TRUE(),$R398="TRUE"),1,0))</f>
        <v/>
      </c>
      <c r="AN398">
        <f>IF($D398="","",IF($AA398="Yes",1,0))</f>
        <v/>
      </c>
      <c r="AO398">
        <f>IF($AK398=1,IFERROR(IF(VALUE($D398)&lt;100000000,VALUE($D398),1000000000),IFERROR(IF(VALUE(MID($D398,2,20))&lt;100000000,VALUE(MID($D398,2,20)),1000000000),1000000000))+ROW()/100000,"")</f>
        <v/>
      </c>
    </row>
    <row r="399">
      <c r="F399" s="11" t="n"/>
      <c r="N399" s="7">
        <f>IF($D399="","",M399*V399/100)</f>
        <v/>
      </c>
      <c r="O399" s="7" t="n"/>
      <c r="U399" s="7" t="n"/>
      <c r="V399" s="7" t="n"/>
      <c r="W399" s="7">
        <f>IF($D399="","",V399*AB399/100)</f>
        <v/>
      </c>
      <c r="X399" s="7">
        <f>IF($D399="","",V399-W399)</f>
        <v/>
      </c>
      <c r="Y399" s="7">
        <f>IF($D399="","",X399-N399)</f>
        <v/>
      </c>
      <c r="AB399">
        <f>IF($D399="","",IF($AN399=1,0,IF($AM399=1,Settings!$C$6,Settings!$C$7))*100)</f>
        <v/>
      </c>
      <c r="AF399" s="7" t="n"/>
      <c r="AI399" s="11" t="n"/>
      <c r="AK399">
        <f>IF($D399="","",IF(COUNTIF($D$2:$D399,$D399)=1,1,0))</f>
        <v/>
      </c>
      <c r="AL399">
        <f>IF($AK399=1,SUMPRODUCT(--($AO$2:$AO$1501&lt;$AO399))+1,"")</f>
        <v/>
      </c>
      <c r="AM399">
        <f>IF($D399="","",IF(OR($R399=TRUE(),$R399="TRUE"),1,0))</f>
        <v/>
      </c>
      <c r="AN399">
        <f>IF($D399="","",IF($AA399="Yes",1,0))</f>
        <v/>
      </c>
      <c r="AO399">
        <f>IF($AK399=1,IFERROR(IF(VALUE($D399)&lt;100000000,VALUE($D399),1000000000),IFERROR(IF(VALUE(MID($D399,2,20))&lt;100000000,VALUE(MID($D399,2,20)),1000000000),1000000000))+ROW()/100000,"")</f>
        <v/>
      </c>
    </row>
    <row r="400">
      <c r="F400" s="11" t="n"/>
      <c r="N400" s="7">
        <f>IF($D400="","",M400*V400/100)</f>
        <v/>
      </c>
      <c r="O400" s="7" t="n"/>
      <c r="U400" s="7" t="n"/>
      <c r="V400" s="7" t="n"/>
      <c r="W400" s="7">
        <f>IF($D400="","",V400*AB400/100)</f>
        <v/>
      </c>
      <c r="X400" s="7">
        <f>IF($D400="","",V400-W400)</f>
        <v/>
      </c>
      <c r="Y400" s="7">
        <f>IF($D400="","",X400-N400)</f>
        <v/>
      </c>
      <c r="AB400">
        <f>IF($D400="","",IF($AN400=1,0,IF($AM400=1,Settings!$C$6,Settings!$C$7))*100)</f>
        <v/>
      </c>
      <c r="AF400" s="7" t="n"/>
      <c r="AI400" s="11" t="n"/>
      <c r="AK400">
        <f>IF($D400="","",IF(COUNTIF($D$2:$D400,$D400)=1,1,0))</f>
        <v/>
      </c>
      <c r="AL400">
        <f>IF($AK400=1,SUMPRODUCT(--($AO$2:$AO$1501&lt;$AO400))+1,"")</f>
        <v/>
      </c>
      <c r="AM400">
        <f>IF($D400="","",IF(OR($R400=TRUE(),$R400="TRUE"),1,0))</f>
        <v/>
      </c>
      <c r="AN400">
        <f>IF($D400="","",IF($AA400="Yes",1,0))</f>
        <v/>
      </c>
      <c r="AO400">
        <f>IF($AK400=1,IFERROR(IF(VALUE($D400)&lt;100000000,VALUE($D400),1000000000),IFERROR(IF(VALUE(MID($D400,2,20))&lt;100000000,VALUE(MID($D400,2,20)),1000000000),1000000000))+ROW()/100000,"")</f>
        <v/>
      </c>
    </row>
    <row r="401">
      <c r="F401" s="11" t="n"/>
      <c r="N401" s="7">
        <f>IF($D401="","",M401*V401/100)</f>
        <v/>
      </c>
      <c r="O401" s="7" t="n"/>
      <c r="U401" s="7" t="n"/>
      <c r="V401" s="7" t="n"/>
      <c r="W401" s="7">
        <f>IF($D401="","",V401*AB401/100)</f>
        <v/>
      </c>
      <c r="X401" s="7">
        <f>IF($D401="","",V401-W401)</f>
        <v/>
      </c>
      <c r="Y401" s="7">
        <f>IF($D401="","",X401-N401)</f>
        <v/>
      </c>
      <c r="AB401">
        <f>IF($D401="","",IF($AN401=1,0,IF($AM401=1,Settings!$C$6,Settings!$C$7))*100)</f>
        <v/>
      </c>
      <c r="AF401" s="7" t="n"/>
      <c r="AI401" s="11" t="n"/>
      <c r="AK401">
        <f>IF($D401="","",IF(COUNTIF($D$2:$D401,$D401)=1,1,0))</f>
        <v/>
      </c>
      <c r="AL401">
        <f>IF($AK401=1,SUMPRODUCT(--($AO$2:$AO$1501&lt;$AO401))+1,"")</f>
        <v/>
      </c>
      <c r="AM401">
        <f>IF($D401="","",IF(OR($R401=TRUE(),$R401="TRUE"),1,0))</f>
        <v/>
      </c>
      <c r="AN401">
        <f>IF($D401="","",IF($AA401="Yes",1,0))</f>
        <v/>
      </c>
      <c r="AO401">
        <f>IF($AK401=1,IFERROR(IF(VALUE($D401)&lt;100000000,VALUE($D401),1000000000),IFERROR(IF(VALUE(MID($D401,2,20))&lt;100000000,VALUE(MID($D401,2,20)),1000000000),1000000000))+ROW()/100000,"")</f>
        <v/>
      </c>
    </row>
    <row r="402">
      <c r="F402" s="11" t="n"/>
      <c r="N402" s="7">
        <f>IF($D402="","",M402*V402/100)</f>
        <v/>
      </c>
      <c r="O402" s="7" t="n"/>
      <c r="U402" s="7" t="n"/>
      <c r="V402" s="7" t="n"/>
      <c r="W402" s="7">
        <f>IF($D402="","",V402*AB402/100)</f>
        <v/>
      </c>
      <c r="X402" s="7">
        <f>IF($D402="","",V402-W402)</f>
        <v/>
      </c>
      <c r="Y402" s="7">
        <f>IF($D402="","",X402-N402)</f>
        <v/>
      </c>
      <c r="AB402">
        <f>IF($D402="","",IF($AN402=1,0,IF($AM402=1,Settings!$C$6,Settings!$C$7))*100)</f>
        <v/>
      </c>
      <c r="AF402" s="7" t="n"/>
      <c r="AI402" s="11" t="n"/>
      <c r="AK402">
        <f>IF($D402="","",IF(COUNTIF($D$2:$D402,$D402)=1,1,0))</f>
        <v/>
      </c>
      <c r="AL402">
        <f>IF($AK402=1,SUMPRODUCT(--($AO$2:$AO$1501&lt;$AO402))+1,"")</f>
        <v/>
      </c>
      <c r="AM402">
        <f>IF($D402="","",IF(OR($R402=TRUE(),$R402="TRUE"),1,0))</f>
        <v/>
      </c>
      <c r="AN402">
        <f>IF($D402="","",IF($AA402="Yes",1,0))</f>
        <v/>
      </c>
      <c r="AO402">
        <f>IF($AK402=1,IFERROR(IF(VALUE($D402)&lt;100000000,VALUE($D402),1000000000),IFERROR(IF(VALUE(MID($D402,2,20))&lt;100000000,VALUE(MID($D402,2,20)),1000000000),1000000000))+ROW()/100000,"")</f>
        <v/>
      </c>
    </row>
    <row r="403">
      <c r="F403" s="11" t="n"/>
      <c r="N403" s="7">
        <f>IF($D403="","",M403*V403/100)</f>
        <v/>
      </c>
      <c r="O403" s="7" t="n"/>
      <c r="U403" s="7" t="n"/>
      <c r="V403" s="7" t="n"/>
      <c r="W403" s="7">
        <f>IF($D403="","",V403*AB403/100)</f>
        <v/>
      </c>
      <c r="X403" s="7">
        <f>IF($D403="","",V403-W403)</f>
        <v/>
      </c>
      <c r="Y403" s="7">
        <f>IF($D403="","",X403-N403)</f>
        <v/>
      </c>
      <c r="AB403">
        <f>IF($D403="","",IF($AN403=1,0,IF($AM403=1,Settings!$C$6,Settings!$C$7))*100)</f>
        <v/>
      </c>
      <c r="AF403" s="7" t="n"/>
      <c r="AI403" s="11" t="n"/>
      <c r="AK403">
        <f>IF($D403="","",IF(COUNTIF($D$2:$D403,$D403)=1,1,0))</f>
        <v/>
      </c>
      <c r="AL403">
        <f>IF($AK403=1,SUMPRODUCT(--($AO$2:$AO$1501&lt;$AO403))+1,"")</f>
        <v/>
      </c>
      <c r="AM403">
        <f>IF($D403="","",IF(OR($R403=TRUE(),$R403="TRUE"),1,0))</f>
        <v/>
      </c>
      <c r="AN403">
        <f>IF($D403="","",IF($AA403="Yes",1,0))</f>
        <v/>
      </c>
      <c r="AO403">
        <f>IF($AK403=1,IFERROR(IF(VALUE($D403)&lt;100000000,VALUE($D403),1000000000),IFERROR(IF(VALUE(MID($D403,2,20))&lt;100000000,VALUE(MID($D403,2,20)),1000000000),1000000000))+ROW()/100000,"")</f>
        <v/>
      </c>
    </row>
    <row r="404">
      <c r="F404" s="11" t="n"/>
      <c r="N404" s="7">
        <f>IF($D404="","",M404*V404/100)</f>
        <v/>
      </c>
      <c r="O404" s="7" t="n"/>
      <c r="U404" s="7" t="n"/>
      <c r="V404" s="7" t="n"/>
      <c r="W404" s="7">
        <f>IF($D404="","",V404*AB404/100)</f>
        <v/>
      </c>
      <c r="X404" s="7">
        <f>IF($D404="","",V404-W404)</f>
        <v/>
      </c>
      <c r="Y404" s="7">
        <f>IF($D404="","",X404-N404)</f>
        <v/>
      </c>
      <c r="AB404">
        <f>IF($D404="","",IF($AN404=1,0,IF($AM404=1,Settings!$C$6,Settings!$C$7))*100)</f>
        <v/>
      </c>
      <c r="AF404" s="7" t="n"/>
      <c r="AI404" s="11" t="n"/>
      <c r="AK404">
        <f>IF($D404="","",IF(COUNTIF($D$2:$D404,$D404)=1,1,0))</f>
        <v/>
      </c>
      <c r="AL404">
        <f>IF($AK404=1,SUMPRODUCT(--($AO$2:$AO$1501&lt;$AO404))+1,"")</f>
        <v/>
      </c>
      <c r="AM404">
        <f>IF($D404="","",IF(OR($R404=TRUE(),$R404="TRUE"),1,0))</f>
        <v/>
      </c>
      <c r="AN404">
        <f>IF($D404="","",IF($AA404="Yes",1,0))</f>
        <v/>
      </c>
      <c r="AO404">
        <f>IF($AK404=1,IFERROR(IF(VALUE($D404)&lt;100000000,VALUE($D404),1000000000),IFERROR(IF(VALUE(MID($D404,2,20))&lt;100000000,VALUE(MID($D404,2,20)),1000000000),1000000000))+ROW()/100000,"")</f>
        <v/>
      </c>
    </row>
    <row r="405">
      <c r="F405" s="11" t="n"/>
      <c r="N405" s="7">
        <f>IF($D405="","",M405*V405/100)</f>
        <v/>
      </c>
      <c r="O405" s="7" t="n"/>
      <c r="U405" s="7" t="n"/>
      <c r="V405" s="7" t="n"/>
      <c r="W405" s="7">
        <f>IF($D405="","",V405*AB405/100)</f>
        <v/>
      </c>
      <c r="X405" s="7">
        <f>IF($D405="","",V405-W405)</f>
        <v/>
      </c>
      <c r="Y405" s="7">
        <f>IF($D405="","",X405-N405)</f>
        <v/>
      </c>
      <c r="AB405">
        <f>IF($D405="","",IF($AN405=1,0,IF($AM405=1,Settings!$C$6,Settings!$C$7))*100)</f>
        <v/>
      </c>
      <c r="AF405" s="7" t="n"/>
      <c r="AI405" s="11" t="n"/>
      <c r="AK405">
        <f>IF($D405="","",IF(COUNTIF($D$2:$D405,$D405)=1,1,0))</f>
        <v/>
      </c>
      <c r="AL405">
        <f>IF($AK405=1,SUMPRODUCT(--($AO$2:$AO$1501&lt;$AO405))+1,"")</f>
        <v/>
      </c>
      <c r="AM405">
        <f>IF($D405="","",IF(OR($R405=TRUE(),$R405="TRUE"),1,0))</f>
        <v/>
      </c>
      <c r="AN405">
        <f>IF($D405="","",IF($AA405="Yes",1,0))</f>
        <v/>
      </c>
      <c r="AO405">
        <f>IF($AK405=1,IFERROR(IF(VALUE($D405)&lt;100000000,VALUE($D405),1000000000),IFERROR(IF(VALUE(MID($D405,2,20))&lt;100000000,VALUE(MID($D405,2,20)),1000000000),1000000000))+ROW()/100000,"")</f>
        <v/>
      </c>
    </row>
    <row r="406">
      <c r="F406" s="11" t="n"/>
      <c r="N406" s="7">
        <f>IF($D406="","",M406*V406/100)</f>
        <v/>
      </c>
      <c r="O406" s="7" t="n"/>
      <c r="U406" s="7" t="n"/>
      <c r="V406" s="7" t="n"/>
      <c r="W406" s="7">
        <f>IF($D406="","",V406*AB406/100)</f>
        <v/>
      </c>
      <c r="X406" s="7">
        <f>IF($D406="","",V406-W406)</f>
        <v/>
      </c>
      <c r="Y406" s="7">
        <f>IF($D406="","",X406-N406)</f>
        <v/>
      </c>
      <c r="AB406">
        <f>IF($D406="","",IF($AN406=1,0,IF($AM406=1,Settings!$C$6,Settings!$C$7))*100)</f>
        <v/>
      </c>
      <c r="AF406" s="7" t="n"/>
      <c r="AI406" s="11" t="n"/>
      <c r="AK406">
        <f>IF($D406="","",IF(COUNTIF($D$2:$D406,$D406)=1,1,0))</f>
        <v/>
      </c>
      <c r="AL406">
        <f>IF($AK406=1,SUMPRODUCT(--($AO$2:$AO$1501&lt;$AO406))+1,"")</f>
        <v/>
      </c>
      <c r="AM406">
        <f>IF($D406="","",IF(OR($R406=TRUE(),$R406="TRUE"),1,0))</f>
        <v/>
      </c>
      <c r="AN406">
        <f>IF($D406="","",IF($AA406="Yes",1,0))</f>
        <v/>
      </c>
      <c r="AO406">
        <f>IF($AK406=1,IFERROR(IF(VALUE($D406)&lt;100000000,VALUE($D406),1000000000),IFERROR(IF(VALUE(MID($D406,2,20))&lt;100000000,VALUE(MID($D406,2,20)),1000000000),1000000000))+ROW()/100000,"")</f>
        <v/>
      </c>
    </row>
    <row r="407">
      <c r="F407" s="11" t="n"/>
      <c r="N407" s="7">
        <f>IF($D407="","",M407*V407/100)</f>
        <v/>
      </c>
      <c r="O407" s="7" t="n"/>
      <c r="U407" s="7" t="n"/>
      <c r="V407" s="7" t="n"/>
      <c r="W407" s="7">
        <f>IF($D407="","",V407*AB407/100)</f>
        <v/>
      </c>
      <c r="X407" s="7">
        <f>IF($D407="","",V407-W407)</f>
        <v/>
      </c>
      <c r="Y407" s="7">
        <f>IF($D407="","",X407-N407)</f>
        <v/>
      </c>
      <c r="AB407">
        <f>IF($D407="","",IF($AN407=1,0,IF($AM407=1,Settings!$C$6,Settings!$C$7))*100)</f>
        <v/>
      </c>
      <c r="AF407" s="7" t="n"/>
      <c r="AI407" s="11" t="n"/>
      <c r="AK407">
        <f>IF($D407="","",IF(COUNTIF($D$2:$D407,$D407)=1,1,0))</f>
        <v/>
      </c>
      <c r="AL407">
        <f>IF($AK407=1,SUMPRODUCT(--($AO$2:$AO$1501&lt;$AO407))+1,"")</f>
        <v/>
      </c>
      <c r="AM407">
        <f>IF($D407="","",IF(OR($R407=TRUE(),$R407="TRUE"),1,0))</f>
        <v/>
      </c>
      <c r="AN407">
        <f>IF($D407="","",IF($AA407="Yes",1,0))</f>
        <v/>
      </c>
      <c r="AO407">
        <f>IF($AK407=1,IFERROR(IF(VALUE($D407)&lt;100000000,VALUE($D407),1000000000),IFERROR(IF(VALUE(MID($D407,2,20))&lt;100000000,VALUE(MID($D407,2,20)),1000000000),1000000000))+ROW()/100000,"")</f>
        <v/>
      </c>
    </row>
    <row r="408">
      <c r="F408" s="11" t="n"/>
      <c r="N408" s="7">
        <f>IF($D408="","",M408*V408/100)</f>
        <v/>
      </c>
      <c r="O408" s="7" t="n"/>
      <c r="U408" s="7" t="n"/>
      <c r="V408" s="7" t="n"/>
      <c r="W408" s="7">
        <f>IF($D408="","",V408*AB408/100)</f>
        <v/>
      </c>
      <c r="X408" s="7">
        <f>IF($D408="","",V408-W408)</f>
        <v/>
      </c>
      <c r="Y408" s="7">
        <f>IF($D408="","",X408-N408)</f>
        <v/>
      </c>
      <c r="AB408">
        <f>IF($D408="","",IF($AN408=1,0,IF($AM408=1,Settings!$C$6,Settings!$C$7))*100)</f>
        <v/>
      </c>
      <c r="AF408" s="7" t="n"/>
      <c r="AI408" s="11" t="n"/>
      <c r="AK408">
        <f>IF($D408="","",IF(COUNTIF($D$2:$D408,$D408)=1,1,0))</f>
        <v/>
      </c>
      <c r="AL408">
        <f>IF($AK408=1,SUMPRODUCT(--($AO$2:$AO$1501&lt;$AO408))+1,"")</f>
        <v/>
      </c>
      <c r="AM408">
        <f>IF($D408="","",IF(OR($R408=TRUE(),$R408="TRUE"),1,0))</f>
        <v/>
      </c>
      <c r="AN408">
        <f>IF($D408="","",IF($AA408="Yes",1,0))</f>
        <v/>
      </c>
      <c r="AO408">
        <f>IF($AK408=1,IFERROR(IF(VALUE($D408)&lt;100000000,VALUE($D408),1000000000),IFERROR(IF(VALUE(MID($D408,2,20))&lt;100000000,VALUE(MID($D408,2,20)),1000000000),1000000000))+ROW()/100000,"")</f>
        <v/>
      </c>
    </row>
    <row r="409">
      <c r="F409" s="11" t="n"/>
      <c r="N409" s="7">
        <f>IF($D409="","",M409*V409/100)</f>
        <v/>
      </c>
      <c r="O409" s="7" t="n"/>
      <c r="U409" s="7" t="n"/>
      <c r="V409" s="7" t="n"/>
      <c r="W409" s="7">
        <f>IF($D409="","",V409*AB409/100)</f>
        <v/>
      </c>
      <c r="X409" s="7">
        <f>IF($D409="","",V409-W409)</f>
        <v/>
      </c>
      <c r="Y409" s="7">
        <f>IF($D409="","",X409-N409)</f>
        <v/>
      </c>
      <c r="AB409">
        <f>IF($D409="","",IF($AN409=1,0,IF($AM409=1,Settings!$C$6,Settings!$C$7))*100)</f>
        <v/>
      </c>
      <c r="AF409" s="7" t="n"/>
      <c r="AI409" s="11" t="n"/>
      <c r="AK409">
        <f>IF($D409="","",IF(COUNTIF($D$2:$D409,$D409)=1,1,0))</f>
        <v/>
      </c>
      <c r="AL409">
        <f>IF($AK409=1,SUMPRODUCT(--($AO$2:$AO$1501&lt;$AO409))+1,"")</f>
        <v/>
      </c>
      <c r="AM409">
        <f>IF($D409="","",IF(OR($R409=TRUE(),$R409="TRUE"),1,0))</f>
        <v/>
      </c>
      <c r="AN409">
        <f>IF($D409="","",IF($AA409="Yes",1,0))</f>
        <v/>
      </c>
      <c r="AO409">
        <f>IF($AK409=1,IFERROR(IF(VALUE($D409)&lt;100000000,VALUE($D409),1000000000),IFERROR(IF(VALUE(MID($D409,2,20))&lt;100000000,VALUE(MID($D409,2,20)),1000000000),1000000000))+ROW()/100000,"")</f>
        <v/>
      </c>
    </row>
    <row r="410">
      <c r="F410" s="11" t="n"/>
      <c r="N410" s="7">
        <f>IF($D410="","",M410*V410/100)</f>
        <v/>
      </c>
      <c r="O410" s="7" t="n"/>
      <c r="U410" s="7" t="n"/>
      <c r="V410" s="7" t="n"/>
      <c r="W410" s="7">
        <f>IF($D410="","",V410*AB410/100)</f>
        <v/>
      </c>
      <c r="X410" s="7">
        <f>IF($D410="","",V410-W410)</f>
        <v/>
      </c>
      <c r="Y410" s="7">
        <f>IF($D410="","",X410-N410)</f>
        <v/>
      </c>
      <c r="AB410">
        <f>IF($D410="","",IF($AN410=1,0,IF($AM410=1,Settings!$C$6,Settings!$C$7))*100)</f>
        <v/>
      </c>
      <c r="AF410" s="7" t="n"/>
      <c r="AI410" s="11" t="n"/>
      <c r="AK410">
        <f>IF($D410="","",IF(COUNTIF($D$2:$D410,$D410)=1,1,0))</f>
        <v/>
      </c>
      <c r="AL410">
        <f>IF($AK410=1,SUMPRODUCT(--($AO$2:$AO$1501&lt;$AO410))+1,"")</f>
        <v/>
      </c>
      <c r="AM410">
        <f>IF($D410="","",IF(OR($R410=TRUE(),$R410="TRUE"),1,0))</f>
        <v/>
      </c>
      <c r="AN410">
        <f>IF($D410="","",IF($AA410="Yes",1,0))</f>
        <v/>
      </c>
      <c r="AO410">
        <f>IF($AK410=1,IFERROR(IF(VALUE($D410)&lt;100000000,VALUE($D410),1000000000),IFERROR(IF(VALUE(MID($D410,2,20))&lt;100000000,VALUE(MID($D410,2,20)),1000000000),1000000000))+ROW()/100000,"")</f>
        <v/>
      </c>
    </row>
    <row r="411">
      <c r="F411" s="11" t="n"/>
      <c r="N411" s="7">
        <f>IF($D411="","",M411*V411/100)</f>
        <v/>
      </c>
      <c r="O411" s="7" t="n"/>
      <c r="U411" s="7" t="n"/>
      <c r="V411" s="7" t="n"/>
      <c r="W411" s="7">
        <f>IF($D411="","",V411*AB411/100)</f>
        <v/>
      </c>
      <c r="X411" s="7">
        <f>IF($D411="","",V411-W411)</f>
        <v/>
      </c>
      <c r="Y411" s="7">
        <f>IF($D411="","",X411-N411)</f>
        <v/>
      </c>
      <c r="AB411">
        <f>IF($D411="","",IF($AN411=1,0,IF($AM411=1,Settings!$C$6,Settings!$C$7))*100)</f>
        <v/>
      </c>
      <c r="AF411" s="7" t="n"/>
      <c r="AI411" s="11" t="n"/>
      <c r="AK411">
        <f>IF($D411="","",IF(COUNTIF($D$2:$D411,$D411)=1,1,0))</f>
        <v/>
      </c>
      <c r="AL411">
        <f>IF($AK411=1,SUMPRODUCT(--($AO$2:$AO$1501&lt;$AO411))+1,"")</f>
        <v/>
      </c>
      <c r="AM411">
        <f>IF($D411="","",IF(OR($R411=TRUE(),$R411="TRUE"),1,0))</f>
        <v/>
      </c>
      <c r="AN411">
        <f>IF($D411="","",IF($AA411="Yes",1,0))</f>
        <v/>
      </c>
      <c r="AO411">
        <f>IF($AK411=1,IFERROR(IF(VALUE($D411)&lt;100000000,VALUE($D411),1000000000),IFERROR(IF(VALUE(MID($D411,2,20))&lt;100000000,VALUE(MID($D411,2,20)),1000000000),1000000000))+ROW()/100000,"")</f>
        <v/>
      </c>
    </row>
    <row r="412">
      <c r="F412" s="11" t="n"/>
      <c r="N412" s="7">
        <f>IF($D412="","",M412*V412/100)</f>
        <v/>
      </c>
      <c r="O412" s="7" t="n"/>
      <c r="U412" s="7" t="n"/>
      <c r="V412" s="7" t="n"/>
      <c r="W412" s="7">
        <f>IF($D412="","",V412*AB412/100)</f>
        <v/>
      </c>
      <c r="X412" s="7">
        <f>IF($D412="","",V412-W412)</f>
        <v/>
      </c>
      <c r="Y412" s="7">
        <f>IF($D412="","",X412-N412)</f>
        <v/>
      </c>
      <c r="AB412">
        <f>IF($D412="","",IF($AN412=1,0,IF($AM412=1,Settings!$C$6,Settings!$C$7))*100)</f>
        <v/>
      </c>
      <c r="AF412" s="7" t="n"/>
      <c r="AI412" s="11" t="n"/>
      <c r="AK412">
        <f>IF($D412="","",IF(COUNTIF($D$2:$D412,$D412)=1,1,0))</f>
        <v/>
      </c>
      <c r="AL412">
        <f>IF($AK412=1,SUMPRODUCT(--($AO$2:$AO$1501&lt;$AO412))+1,"")</f>
        <v/>
      </c>
      <c r="AM412">
        <f>IF($D412="","",IF(OR($R412=TRUE(),$R412="TRUE"),1,0))</f>
        <v/>
      </c>
      <c r="AN412">
        <f>IF($D412="","",IF($AA412="Yes",1,0))</f>
        <v/>
      </c>
      <c r="AO412">
        <f>IF($AK412=1,IFERROR(IF(VALUE($D412)&lt;100000000,VALUE($D412),1000000000),IFERROR(IF(VALUE(MID($D412,2,20))&lt;100000000,VALUE(MID($D412,2,20)),1000000000),1000000000))+ROW()/100000,"")</f>
        <v/>
      </c>
    </row>
    <row r="413">
      <c r="F413" s="11" t="n"/>
      <c r="N413" s="7">
        <f>IF($D413="","",M413*V413/100)</f>
        <v/>
      </c>
      <c r="O413" s="7" t="n"/>
      <c r="U413" s="7" t="n"/>
      <c r="V413" s="7" t="n"/>
      <c r="W413" s="7">
        <f>IF($D413="","",V413*AB413/100)</f>
        <v/>
      </c>
      <c r="X413" s="7">
        <f>IF($D413="","",V413-W413)</f>
        <v/>
      </c>
      <c r="Y413" s="7">
        <f>IF($D413="","",X413-N413)</f>
        <v/>
      </c>
      <c r="AB413">
        <f>IF($D413="","",IF($AN413=1,0,IF($AM413=1,Settings!$C$6,Settings!$C$7))*100)</f>
        <v/>
      </c>
      <c r="AF413" s="7" t="n"/>
      <c r="AI413" s="11" t="n"/>
      <c r="AK413">
        <f>IF($D413="","",IF(COUNTIF($D$2:$D413,$D413)=1,1,0))</f>
        <v/>
      </c>
      <c r="AL413">
        <f>IF($AK413=1,SUMPRODUCT(--($AO$2:$AO$1501&lt;$AO413))+1,"")</f>
        <v/>
      </c>
      <c r="AM413">
        <f>IF($D413="","",IF(OR($R413=TRUE(),$R413="TRUE"),1,0))</f>
        <v/>
      </c>
      <c r="AN413">
        <f>IF($D413="","",IF($AA413="Yes",1,0))</f>
        <v/>
      </c>
      <c r="AO413">
        <f>IF($AK413=1,IFERROR(IF(VALUE($D413)&lt;100000000,VALUE($D413),1000000000),IFERROR(IF(VALUE(MID($D413,2,20))&lt;100000000,VALUE(MID($D413,2,20)),1000000000),1000000000))+ROW()/100000,"")</f>
        <v/>
      </c>
    </row>
    <row r="414">
      <c r="F414" s="11" t="n"/>
      <c r="N414" s="7">
        <f>IF($D414="","",M414*V414/100)</f>
        <v/>
      </c>
      <c r="O414" s="7" t="n"/>
      <c r="U414" s="7" t="n"/>
      <c r="V414" s="7" t="n"/>
      <c r="W414" s="7">
        <f>IF($D414="","",V414*AB414/100)</f>
        <v/>
      </c>
      <c r="X414" s="7">
        <f>IF($D414="","",V414-W414)</f>
        <v/>
      </c>
      <c r="Y414" s="7">
        <f>IF($D414="","",X414-N414)</f>
        <v/>
      </c>
      <c r="AB414">
        <f>IF($D414="","",IF($AN414=1,0,IF($AM414=1,Settings!$C$6,Settings!$C$7))*100)</f>
        <v/>
      </c>
      <c r="AF414" s="7" t="n"/>
      <c r="AI414" s="11" t="n"/>
      <c r="AK414">
        <f>IF($D414="","",IF(COUNTIF($D$2:$D414,$D414)=1,1,0))</f>
        <v/>
      </c>
      <c r="AL414">
        <f>IF($AK414=1,SUMPRODUCT(--($AO$2:$AO$1501&lt;$AO414))+1,"")</f>
        <v/>
      </c>
      <c r="AM414">
        <f>IF($D414="","",IF(OR($R414=TRUE(),$R414="TRUE"),1,0))</f>
        <v/>
      </c>
      <c r="AN414">
        <f>IF($D414="","",IF($AA414="Yes",1,0))</f>
        <v/>
      </c>
      <c r="AO414">
        <f>IF($AK414=1,IFERROR(IF(VALUE($D414)&lt;100000000,VALUE($D414),1000000000),IFERROR(IF(VALUE(MID($D414,2,20))&lt;100000000,VALUE(MID($D414,2,20)),1000000000),1000000000))+ROW()/100000,"")</f>
        <v/>
      </c>
    </row>
    <row r="415">
      <c r="F415" s="11" t="n"/>
      <c r="N415" s="7">
        <f>IF($D415="","",M415*V415/100)</f>
        <v/>
      </c>
      <c r="O415" s="7" t="n"/>
      <c r="U415" s="7" t="n"/>
      <c r="V415" s="7" t="n"/>
      <c r="W415" s="7">
        <f>IF($D415="","",V415*AB415/100)</f>
        <v/>
      </c>
      <c r="X415" s="7">
        <f>IF($D415="","",V415-W415)</f>
        <v/>
      </c>
      <c r="Y415" s="7">
        <f>IF($D415="","",X415-N415)</f>
        <v/>
      </c>
      <c r="AB415">
        <f>IF($D415="","",IF($AN415=1,0,IF($AM415=1,Settings!$C$6,Settings!$C$7))*100)</f>
        <v/>
      </c>
      <c r="AF415" s="7" t="n"/>
      <c r="AI415" s="11" t="n"/>
      <c r="AK415">
        <f>IF($D415="","",IF(COUNTIF($D$2:$D415,$D415)=1,1,0))</f>
        <v/>
      </c>
      <c r="AL415">
        <f>IF($AK415=1,SUMPRODUCT(--($AO$2:$AO$1501&lt;$AO415))+1,"")</f>
        <v/>
      </c>
      <c r="AM415">
        <f>IF($D415="","",IF(OR($R415=TRUE(),$R415="TRUE"),1,0))</f>
        <v/>
      </c>
      <c r="AN415">
        <f>IF($D415="","",IF($AA415="Yes",1,0))</f>
        <v/>
      </c>
      <c r="AO415">
        <f>IF($AK415=1,IFERROR(IF(VALUE($D415)&lt;100000000,VALUE($D415),1000000000),IFERROR(IF(VALUE(MID($D415,2,20))&lt;100000000,VALUE(MID($D415,2,20)),1000000000),1000000000))+ROW()/100000,"")</f>
        <v/>
      </c>
    </row>
    <row r="416">
      <c r="F416" s="11" t="n"/>
      <c r="N416" s="7">
        <f>IF($D416="","",M416*V416/100)</f>
        <v/>
      </c>
      <c r="O416" s="7" t="n"/>
      <c r="U416" s="7" t="n"/>
      <c r="V416" s="7" t="n"/>
      <c r="W416" s="7">
        <f>IF($D416="","",V416*AB416/100)</f>
        <v/>
      </c>
      <c r="X416" s="7">
        <f>IF($D416="","",V416-W416)</f>
        <v/>
      </c>
      <c r="Y416" s="7">
        <f>IF($D416="","",X416-N416)</f>
        <v/>
      </c>
      <c r="AB416">
        <f>IF($D416="","",IF($AN416=1,0,IF($AM416=1,Settings!$C$6,Settings!$C$7))*100)</f>
        <v/>
      </c>
      <c r="AF416" s="7" t="n"/>
      <c r="AI416" s="11" t="n"/>
      <c r="AK416">
        <f>IF($D416="","",IF(COUNTIF($D$2:$D416,$D416)=1,1,0))</f>
        <v/>
      </c>
      <c r="AL416">
        <f>IF($AK416=1,SUMPRODUCT(--($AO$2:$AO$1501&lt;$AO416))+1,"")</f>
        <v/>
      </c>
      <c r="AM416">
        <f>IF($D416="","",IF(OR($R416=TRUE(),$R416="TRUE"),1,0))</f>
        <v/>
      </c>
      <c r="AN416">
        <f>IF($D416="","",IF($AA416="Yes",1,0))</f>
        <v/>
      </c>
      <c r="AO416">
        <f>IF($AK416=1,IFERROR(IF(VALUE($D416)&lt;100000000,VALUE($D416),1000000000),IFERROR(IF(VALUE(MID($D416,2,20))&lt;100000000,VALUE(MID($D416,2,20)),1000000000),1000000000))+ROW()/100000,"")</f>
        <v/>
      </c>
    </row>
    <row r="417">
      <c r="F417" s="11" t="n"/>
      <c r="N417" s="7">
        <f>IF($D417="","",M417*V417/100)</f>
        <v/>
      </c>
      <c r="O417" s="7" t="n"/>
      <c r="U417" s="7" t="n"/>
      <c r="V417" s="7" t="n"/>
      <c r="W417" s="7">
        <f>IF($D417="","",V417*AB417/100)</f>
        <v/>
      </c>
      <c r="X417" s="7">
        <f>IF($D417="","",V417-W417)</f>
        <v/>
      </c>
      <c r="Y417" s="7">
        <f>IF($D417="","",X417-N417)</f>
        <v/>
      </c>
      <c r="AB417">
        <f>IF($D417="","",IF($AN417=1,0,IF($AM417=1,Settings!$C$6,Settings!$C$7))*100)</f>
        <v/>
      </c>
      <c r="AF417" s="7" t="n"/>
      <c r="AI417" s="11" t="n"/>
      <c r="AK417">
        <f>IF($D417="","",IF(COUNTIF($D$2:$D417,$D417)=1,1,0))</f>
        <v/>
      </c>
      <c r="AL417">
        <f>IF($AK417=1,SUMPRODUCT(--($AO$2:$AO$1501&lt;$AO417))+1,"")</f>
        <v/>
      </c>
      <c r="AM417">
        <f>IF($D417="","",IF(OR($R417=TRUE(),$R417="TRUE"),1,0))</f>
        <v/>
      </c>
      <c r="AN417">
        <f>IF($D417="","",IF($AA417="Yes",1,0))</f>
        <v/>
      </c>
      <c r="AO417">
        <f>IF($AK417=1,IFERROR(IF(VALUE($D417)&lt;100000000,VALUE($D417),1000000000),IFERROR(IF(VALUE(MID($D417,2,20))&lt;100000000,VALUE(MID($D417,2,20)),1000000000),1000000000))+ROW()/100000,"")</f>
        <v/>
      </c>
    </row>
    <row r="418">
      <c r="F418" s="11" t="n"/>
      <c r="N418" s="7">
        <f>IF($D418="","",M418*V418/100)</f>
        <v/>
      </c>
      <c r="O418" s="7" t="n"/>
      <c r="U418" s="7" t="n"/>
      <c r="V418" s="7" t="n"/>
      <c r="W418" s="7">
        <f>IF($D418="","",V418*AB418/100)</f>
        <v/>
      </c>
      <c r="X418" s="7">
        <f>IF($D418="","",V418-W418)</f>
        <v/>
      </c>
      <c r="Y418" s="7">
        <f>IF($D418="","",X418-N418)</f>
        <v/>
      </c>
      <c r="AB418">
        <f>IF($D418="","",IF($AN418=1,0,IF($AM418=1,Settings!$C$6,Settings!$C$7))*100)</f>
        <v/>
      </c>
      <c r="AF418" s="7" t="n"/>
      <c r="AI418" s="11" t="n"/>
      <c r="AK418">
        <f>IF($D418="","",IF(COUNTIF($D$2:$D418,$D418)=1,1,0))</f>
        <v/>
      </c>
      <c r="AL418">
        <f>IF($AK418=1,SUMPRODUCT(--($AO$2:$AO$1501&lt;$AO418))+1,"")</f>
        <v/>
      </c>
      <c r="AM418">
        <f>IF($D418="","",IF(OR($R418=TRUE(),$R418="TRUE"),1,0))</f>
        <v/>
      </c>
      <c r="AN418">
        <f>IF($D418="","",IF($AA418="Yes",1,0))</f>
        <v/>
      </c>
      <c r="AO418">
        <f>IF($AK418=1,IFERROR(IF(VALUE($D418)&lt;100000000,VALUE($D418),1000000000),IFERROR(IF(VALUE(MID($D418,2,20))&lt;100000000,VALUE(MID($D418,2,20)),1000000000),1000000000))+ROW()/100000,"")</f>
        <v/>
      </c>
    </row>
    <row r="419">
      <c r="F419" s="11" t="n"/>
      <c r="N419" s="7">
        <f>IF($D419="","",M419*V419/100)</f>
        <v/>
      </c>
      <c r="O419" s="7" t="n"/>
      <c r="U419" s="7" t="n"/>
      <c r="V419" s="7" t="n"/>
      <c r="W419" s="7">
        <f>IF($D419="","",V419*AB419/100)</f>
        <v/>
      </c>
      <c r="X419" s="7">
        <f>IF($D419="","",V419-W419)</f>
        <v/>
      </c>
      <c r="Y419" s="7">
        <f>IF($D419="","",X419-N419)</f>
        <v/>
      </c>
      <c r="AB419">
        <f>IF($D419="","",IF($AN419=1,0,IF($AM419=1,Settings!$C$6,Settings!$C$7))*100)</f>
        <v/>
      </c>
      <c r="AF419" s="7" t="n"/>
      <c r="AI419" s="11" t="n"/>
      <c r="AK419">
        <f>IF($D419="","",IF(COUNTIF($D$2:$D419,$D419)=1,1,0))</f>
        <v/>
      </c>
      <c r="AL419">
        <f>IF($AK419=1,SUMPRODUCT(--($AO$2:$AO$1501&lt;$AO419))+1,"")</f>
        <v/>
      </c>
      <c r="AM419">
        <f>IF($D419="","",IF(OR($R419=TRUE(),$R419="TRUE"),1,0))</f>
        <v/>
      </c>
      <c r="AN419">
        <f>IF($D419="","",IF($AA419="Yes",1,0))</f>
        <v/>
      </c>
      <c r="AO419">
        <f>IF($AK419=1,IFERROR(IF(VALUE($D419)&lt;100000000,VALUE($D419),1000000000),IFERROR(IF(VALUE(MID($D419,2,20))&lt;100000000,VALUE(MID($D419,2,20)),1000000000),1000000000))+ROW()/100000,"")</f>
        <v/>
      </c>
    </row>
    <row r="420">
      <c r="F420" s="11" t="n"/>
      <c r="N420" s="7">
        <f>IF($D420="","",M420*V420/100)</f>
        <v/>
      </c>
      <c r="O420" s="7" t="n"/>
      <c r="U420" s="7" t="n"/>
      <c r="V420" s="7" t="n"/>
      <c r="W420" s="7">
        <f>IF($D420="","",V420*AB420/100)</f>
        <v/>
      </c>
      <c r="X420" s="7">
        <f>IF($D420="","",V420-W420)</f>
        <v/>
      </c>
      <c r="Y420" s="7">
        <f>IF($D420="","",X420-N420)</f>
        <v/>
      </c>
      <c r="AB420">
        <f>IF($D420="","",IF($AN420=1,0,IF($AM420=1,Settings!$C$6,Settings!$C$7))*100)</f>
        <v/>
      </c>
      <c r="AF420" s="7" t="n"/>
      <c r="AI420" s="11" t="n"/>
      <c r="AK420">
        <f>IF($D420="","",IF(COUNTIF($D$2:$D420,$D420)=1,1,0))</f>
        <v/>
      </c>
      <c r="AL420">
        <f>IF($AK420=1,SUMPRODUCT(--($AO$2:$AO$1501&lt;$AO420))+1,"")</f>
        <v/>
      </c>
      <c r="AM420">
        <f>IF($D420="","",IF(OR($R420=TRUE(),$R420="TRUE"),1,0))</f>
        <v/>
      </c>
      <c r="AN420">
        <f>IF($D420="","",IF($AA420="Yes",1,0))</f>
        <v/>
      </c>
      <c r="AO420">
        <f>IF($AK420=1,IFERROR(IF(VALUE($D420)&lt;100000000,VALUE($D420),1000000000),IFERROR(IF(VALUE(MID($D420,2,20))&lt;100000000,VALUE(MID($D420,2,20)),1000000000),1000000000))+ROW()/100000,"")</f>
        <v/>
      </c>
    </row>
    <row r="421">
      <c r="F421" s="11" t="n"/>
      <c r="N421" s="7">
        <f>IF($D421="","",M421*V421/100)</f>
        <v/>
      </c>
      <c r="O421" s="7" t="n"/>
      <c r="U421" s="7" t="n"/>
      <c r="V421" s="7" t="n"/>
      <c r="W421" s="7">
        <f>IF($D421="","",V421*AB421/100)</f>
        <v/>
      </c>
      <c r="X421" s="7">
        <f>IF($D421="","",V421-W421)</f>
        <v/>
      </c>
      <c r="Y421" s="7">
        <f>IF($D421="","",X421-N421)</f>
        <v/>
      </c>
      <c r="AB421">
        <f>IF($D421="","",IF($AN421=1,0,IF($AM421=1,Settings!$C$6,Settings!$C$7))*100)</f>
        <v/>
      </c>
      <c r="AF421" s="7" t="n"/>
      <c r="AI421" s="11" t="n"/>
      <c r="AK421">
        <f>IF($D421="","",IF(COUNTIF($D$2:$D421,$D421)=1,1,0))</f>
        <v/>
      </c>
      <c r="AL421">
        <f>IF($AK421=1,SUMPRODUCT(--($AO$2:$AO$1501&lt;$AO421))+1,"")</f>
        <v/>
      </c>
      <c r="AM421">
        <f>IF($D421="","",IF(OR($R421=TRUE(),$R421="TRUE"),1,0))</f>
        <v/>
      </c>
      <c r="AN421">
        <f>IF($D421="","",IF($AA421="Yes",1,0))</f>
        <v/>
      </c>
      <c r="AO421">
        <f>IF($AK421=1,IFERROR(IF(VALUE($D421)&lt;100000000,VALUE($D421),1000000000),IFERROR(IF(VALUE(MID($D421,2,20))&lt;100000000,VALUE(MID($D421,2,20)),1000000000),1000000000))+ROW()/100000,"")</f>
        <v/>
      </c>
    </row>
    <row r="422">
      <c r="F422" s="11" t="n"/>
      <c r="N422" s="7">
        <f>IF($D422="","",M422*V422/100)</f>
        <v/>
      </c>
      <c r="O422" s="7" t="n"/>
      <c r="U422" s="7" t="n"/>
      <c r="V422" s="7" t="n"/>
      <c r="W422" s="7">
        <f>IF($D422="","",V422*AB422/100)</f>
        <v/>
      </c>
      <c r="X422" s="7">
        <f>IF($D422="","",V422-W422)</f>
        <v/>
      </c>
      <c r="Y422" s="7">
        <f>IF($D422="","",X422-N422)</f>
        <v/>
      </c>
      <c r="AB422">
        <f>IF($D422="","",IF($AN422=1,0,IF($AM422=1,Settings!$C$6,Settings!$C$7))*100)</f>
        <v/>
      </c>
      <c r="AF422" s="7" t="n"/>
      <c r="AI422" s="11" t="n"/>
      <c r="AK422">
        <f>IF($D422="","",IF(COUNTIF($D$2:$D422,$D422)=1,1,0))</f>
        <v/>
      </c>
      <c r="AL422">
        <f>IF($AK422=1,SUMPRODUCT(--($AO$2:$AO$1501&lt;$AO422))+1,"")</f>
        <v/>
      </c>
      <c r="AM422">
        <f>IF($D422="","",IF(OR($R422=TRUE(),$R422="TRUE"),1,0))</f>
        <v/>
      </c>
      <c r="AN422">
        <f>IF($D422="","",IF($AA422="Yes",1,0))</f>
        <v/>
      </c>
      <c r="AO422">
        <f>IF($AK422=1,IFERROR(IF(VALUE($D422)&lt;100000000,VALUE($D422),1000000000),IFERROR(IF(VALUE(MID($D422,2,20))&lt;100000000,VALUE(MID($D422,2,20)),1000000000),1000000000))+ROW()/100000,"")</f>
        <v/>
      </c>
    </row>
    <row r="423">
      <c r="F423" s="11" t="n"/>
      <c r="N423" s="7">
        <f>IF($D423="","",M423*V423/100)</f>
        <v/>
      </c>
      <c r="O423" s="7" t="n"/>
      <c r="U423" s="7" t="n"/>
      <c r="V423" s="7" t="n"/>
      <c r="W423" s="7">
        <f>IF($D423="","",V423*AB423/100)</f>
        <v/>
      </c>
      <c r="X423" s="7">
        <f>IF($D423="","",V423-W423)</f>
        <v/>
      </c>
      <c r="Y423" s="7">
        <f>IF($D423="","",X423-N423)</f>
        <v/>
      </c>
      <c r="AB423">
        <f>IF($D423="","",IF($AN423=1,0,IF($AM423=1,Settings!$C$6,Settings!$C$7))*100)</f>
        <v/>
      </c>
      <c r="AF423" s="7" t="n"/>
      <c r="AI423" s="11" t="n"/>
      <c r="AK423">
        <f>IF($D423="","",IF(COUNTIF($D$2:$D423,$D423)=1,1,0))</f>
        <v/>
      </c>
      <c r="AL423">
        <f>IF($AK423=1,SUMPRODUCT(--($AO$2:$AO$1501&lt;$AO423))+1,"")</f>
        <v/>
      </c>
      <c r="AM423">
        <f>IF($D423="","",IF(OR($R423=TRUE(),$R423="TRUE"),1,0))</f>
        <v/>
      </c>
      <c r="AN423">
        <f>IF($D423="","",IF($AA423="Yes",1,0))</f>
        <v/>
      </c>
      <c r="AO423">
        <f>IF($AK423=1,IFERROR(IF(VALUE($D423)&lt;100000000,VALUE($D423),1000000000),IFERROR(IF(VALUE(MID($D423,2,20))&lt;100000000,VALUE(MID($D423,2,20)),1000000000),1000000000))+ROW()/100000,"")</f>
        <v/>
      </c>
    </row>
    <row r="424">
      <c r="F424" s="11" t="n"/>
      <c r="N424" s="7">
        <f>IF($D424="","",M424*V424/100)</f>
        <v/>
      </c>
      <c r="O424" s="7" t="n"/>
      <c r="U424" s="7" t="n"/>
      <c r="V424" s="7" t="n"/>
      <c r="W424" s="7">
        <f>IF($D424="","",V424*AB424/100)</f>
        <v/>
      </c>
      <c r="X424" s="7">
        <f>IF($D424="","",V424-W424)</f>
        <v/>
      </c>
      <c r="Y424" s="7">
        <f>IF($D424="","",X424-N424)</f>
        <v/>
      </c>
      <c r="AB424">
        <f>IF($D424="","",IF($AN424=1,0,IF($AM424=1,Settings!$C$6,Settings!$C$7))*100)</f>
        <v/>
      </c>
      <c r="AF424" s="7" t="n"/>
      <c r="AI424" s="11" t="n"/>
      <c r="AK424">
        <f>IF($D424="","",IF(COUNTIF($D$2:$D424,$D424)=1,1,0))</f>
        <v/>
      </c>
      <c r="AL424">
        <f>IF($AK424=1,SUMPRODUCT(--($AO$2:$AO$1501&lt;$AO424))+1,"")</f>
        <v/>
      </c>
      <c r="AM424">
        <f>IF($D424="","",IF(OR($R424=TRUE(),$R424="TRUE"),1,0))</f>
        <v/>
      </c>
      <c r="AN424">
        <f>IF($D424="","",IF($AA424="Yes",1,0))</f>
        <v/>
      </c>
      <c r="AO424">
        <f>IF($AK424=1,IFERROR(IF(VALUE($D424)&lt;100000000,VALUE($D424),1000000000),IFERROR(IF(VALUE(MID($D424,2,20))&lt;100000000,VALUE(MID($D424,2,20)),1000000000),1000000000))+ROW()/100000,"")</f>
        <v/>
      </c>
    </row>
    <row r="425">
      <c r="F425" s="11" t="n"/>
      <c r="N425" s="7">
        <f>IF($D425="","",M425*V425/100)</f>
        <v/>
      </c>
      <c r="O425" s="7" t="n"/>
      <c r="U425" s="7" t="n"/>
      <c r="V425" s="7" t="n"/>
      <c r="W425" s="7">
        <f>IF($D425="","",V425*AB425/100)</f>
        <v/>
      </c>
      <c r="X425" s="7">
        <f>IF($D425="","",V425-W425)</f>
        <v/>
      </c>
      <c r="Y425" s="7">
        <f>IF($D425="","",X425-N425)</f>
        <v/>
      </c>
      <c r="AB425">
        <f>IF($D425="","",IF($AN425=1,0,IF($AM425=1,Settings!$C$6,Settings!$C$7))*100)</f>
        <v/>
      </c>
      <c r="AF425" s="7" t="n"/>
      <c r="AI425" s="11" t="n"/>
      <c r="AK425">
        <f>IF($D425="","",IF(COUNTIF($D$2:$D425,$D425)=1,1,0))</f>
        <v/>
      </c>
      <c r="AL425">
        <f>IF($AK425=1,SUMPRODUCT(--($AO$2:$AO$1501&lt;$AO425))+1,"")</f>
        <v/>
      </c>
      <c r="AM425">
        <f>IF($D425="","",IF(OR($R425=TRUE(),$R425="TRUE"),1,0))</f>
        <v/>
      </c>
      <c r="AN425">
        <f>IF($D425="","",IF($AA425="Yes",1,0))</f>
        <v/>
      </c>
      <c r="AO425">
        <f>IF($AK425=1,IFERROR(IF(VALUE($D425)&lt;100000000,VALUE($D425),1000000000),IFERROR(IF(VALUE(MID($D425,2,20))&lt;100000000,VALUE(MID($D425,2,20)),1000000000),1000000000))+ROW()/100000,"")</f>
        <v/>
      </c>
    </row>
    <row r="426">
      <c r="F426" s="11" t="n"/>
      <c r="N426" s="7">
        <f>IF($D426="","",M426*V426/100)</f>
        <v/>
      </c>
      <c r="O426" s="7" t="n"/>
      <c r="U426" s="7" t="n"/>
      <c r="V426" s="7" t="n"/>
      <c r="W426" s="7">
        <f>IF($D426="","",V426*AB426/100)</f>
        <v/>
      </c>
      <c r="X426" s="7">
        <f>IF($D426="","",V426-W426)</f>
        <v/>
      </c>
      <c r="Y426" s="7">
        <f>IF($D426="","",X426-N426)</f>
        <v/>
      </c>
      <c r="AB426">
        <f>IF($D426="","",IF($AN426=1,0,IF($AM426=1,Settings!$C$6,Settings!$C$7))*100)</f>
        <v/>
      </c>
      <c r="AF426" s="7" t="n"/>
      <c r="AI426" s="11" t="n"/>
      <c r="AK426">
        <f>IF($D426="","",IF(COUNTIF($D$2:$D426,$D426)=1,1,0))</f>
        <v/>
      </c>
      <c r="AL426">
        <f>IF($AK426=1,SUMPRODUCT(--($AO$2:$AO$1501&lt;$AO426))+1,"")</f>
        <v/>
      </c>
      <c r="AM426">
        <f>IF($D426="","",IF(OR($R426=TRUE(),$R426="TRUE"),1,0))</f>
        <v/>
      </c>
      <c r="AN426">
        <f>IF($D426="","",IF($AA426="Yes",1,0))</f>
        <v/>
      </c>
      <c r="AO426">
        <f>IF($AK426=1,IFERROR(IF(VALUE($D426)&lt;100000000,VALUE($D426),1000000000),IFERROR(IF(VALUE(MID($D426,2,20))&lt;100000000,VALUE(MID($D426,2,20)),1000000000),1000000000))+ROW()/100000,"")</f>
        <v/>
      </c>
    </row>
    <row r="427">
      <c r="F427" s="11" t="n"/>
      <c r="N427" s="7">
        <f>IF($D427="","",M427*V427/100)</f>
        <v/>
      </c>
      <c r="O427" s="7" t="n"/>
      <c r="U427" s="7" t="n"/>
      <c r="V427" s="7" t="n"/>
      <c r="W427" s="7">
        <f>IF($D427="","",V427*AB427/100)</f>
        <v/>
      </c>
      <c r="X427" s="7">
        <f>IF($D427="","",V427-W427)</f>
        <v/>
      </c>
      <c r="Y427" s="7">
        <f>IF($D427="","",X427-N427)</f>
        <v/>
      </c>
      <c r="AB427">
        <f>IF($D427="","",IF($AN427=1,0,IF($AM427=1,Settings!$C$6,Settings!$C$7))*100)</f>
        <v/>
      </c>
      <c r="AF427" s="7" t="n"/>
      <c r="AI427" s="11" t="n"/>
      <c r="AK427">
        <f>IF($D427="","",IF(COUNTIF($D$2:$D427,$D427)=1,1,0))</f>
        <v/>
      </c>
      <c r="AL427">
        <f>IF($AK427=1,SUMPRODUCT(--($AO$2:$AO$1501&lt;$AO427))+1,"")</f>
        <v/>
      </c>
      <c r="AM427">
        <f>IF($D427="","",IF(OR($R427=TRUE(),$R427="TRUE"),1,0))</f>
        <v/>
      </c>
      <c r="AN427">
        <f>IF($D427="","",IF($AA427="Yes",1,0))</f>
        <v/>
      </c>
      <c r="AO427">
        <f>IF($AK427=1,IFERROR(IF(VALUE($D427)&lt;100000000,VALUE($D427),1000000000),IFERROR(IF(VALUE(MID($D427,2,20))&lt;100000000,VALUE(MID($D427,2,20)),1000000000),1000000000))+ROW()/100000,"")</f>
        <v/>
      </c>
    </row>
    <row r="428">
      <c r="F428" s="11" t="n"/>
      <c r="N428" s="7">
        <f>IF($D428="","",M428*V428/100)</f>
        <v/>
      </c>
      <c r="O428" s="7" t="n"/>
      <c r="U428" s="7" t="n"/>
      <c r="V428" s="7" t="n"/>
      <c r="W428" s="7">
        <f>IF($D428="","",V428*AB428/100)</f>
        <v/>
      </c>
      <c r="X428" s="7">
        <f>IF($D428="","",V428-W428)</f>
        <v/>
      </c>
      <c r="Y428" s="7">
        <f>IF($D428="","",X428-N428)</f>
        <v/>
      </c>
      <c r="AB428">
        <f>IF($D428="","",IF($AN428=1,0,IF($AM428=1,Settings!$C$6,Settings!$C$7))*100)</f>
        <v/>
      </c>
      <c r="AF428" s="7" t="n"/>
      <c r="AI428" s="11" t="n"/>
      <c r="AK428">
        <f>IF($D428="","",IF(COUNTIF($D$2:$D428,$D428)=1,1,0))</f>
        <v/>
      </c>
      <c r="AL428">
        <f>IF($AK428=1,SUMPRODUCT(--($AO$2:$AO$1501&lt;$AO428))+1,"")</f>
        <v/>
      </c>
      <c r="AM428">
        <f>IF($D428="","",IF(OR($R428=TRUE(),$R428="TRUE"),1,0))</f>
        <v/>
      </c>
      <c r="AN428">
        <f>IF($D428="","",IF($AA428="Yes",1,0))</f>
        <v/>
      </c>
      <c r="AO428">
        <f>IF($AK428=1,IFERROR(IF(VALUE($D428)&lt;100000000,VALUE($D428),1000000000),IFERROR(IF(VALUE(MID($D428,2,20))&lt;100000000,VALUE(MID($D428,2,20)),1000000000),1000000000))+ROW()/100000,"")</f>
        <v/>
      </c>
    </row>
    <row r="429">
      <c r="F429" s="11" t="n"/>
      <c r="N429" s="7">
        <f>IF($D429="","",M429*V429/100)</f>
        <v/>
      </c>
      <c r="O429" s="7" t="n"/>
      <c r="U429" s="7" t="n"/>
      <c r="V429" s="7" t="n"/>
      <c r="W429" s="7">
        <f>IF($D429="","",V429*AB429/100)</f>
        <v/>
      </c>
      <c r="X429" s="7">
        <f>IF($D429="","",V429-W429)</f>
        <v/>
      </c>
      <c r="Y429" s="7">
        <f>IF($D429="","",X429-N429)</f>
        <v/>
      </c>
      <c r="AB429">
        <f>IF($D429="","",IF($AN429=1,0,IF($AM429=1,Settings!$C$6,Settings!$C$7))*100)</f>
        <v/>
      </c>
      <c r="AF429" s="7" t="n"/>
      <c r="AI429" s="11" t="n"/>
      <c r="AK429">
        <f>IF($D429="","",IF(COUNTIF($D$2:$D429,$D429)=1,1,0))</f>
        <v/>
      </c>
      <c r="AL429">
        <f>IF($AK429=1,SUMPRODUCT(--($AO$2:$AO$1501&lt;$AO429))+1,"")</f>
        <v/>
      </c>
      <c r="AM429">
        <f>IF($D429="","",IF(OR($R429=TRUE(),$R429="TRUE"),1,0))</f>
        <v/>
      </c>
      <c r="AN429">
        <f>IF($D429="","",IF($AA429="Yes",1,0))</f>
        <v/>
      </c>
      <c r="AO429">
        <f>IF($AK429=1,IFERROR(IF(VALUE($D429)&lt;100000000,VALUE($D429),1000000000),IFERROR(IF(VALUE(MID($D429,2,20))&lt;100000000,VALUE(MID($D429,2,20)),1000000000),1000000000))+ROW()/100000,"")</f>
        <v/>
      </c>
    </row>
    <row r="430">
      <c r="F430" s="11" t="n"/>
      <c r="N430" s="7">
        <f>IF($D430="","",M430*V430/100)</f>
        <v/>
      </c>
      <c r="O430" s="7" t="n"/>
      <c r="U430" s="7" t="n"/>
      <c r="V430" s="7" t="n"/>
      <c r="W430" s="7">
        <f>IF($D430="","",V430*AB430/100)</f>
        <v/>
      </c>
      <c r="X430" s="7">
        <f>IF($D430="","",V430-W430)</f>
        <v/>
      </c>
      <c r="Y430" s="7">
        <f>IF($D430="","",X430-N430)</f>
        <v/>
      </c>
      <c r="AB430">
        <f>IF($D430="","",IF($AN430=1,0,IF($AM430=1,Settings!$C$6,Settings!$C$7))*100)</f>
        <v/>
      </c>
      <c r="AF430" s="7" t="n"/>
      <c r="AI430" s="11" t="n"/>
      <c r="AK430">
        <f>IF($D430="","",IF(COUNTIF($D$2:$D430,$D430)=1,1,0))</f>
        <v/>
      </c>
      <c r="AL430">
        <f>IF($AK430=1,SUMPRODUCT(--($AO$2:$AO$1501&lt;$AO430))+1,"")</f>
        <v/>
      </c>
      <c r="AM430">
        <f>IF($D430="","",IF(OR($R430=TRUE(),$R430="TRUE"),1,0))</f>
        <v/>
      </c>
      <c r="AN430">
        <f>IF($D430="","",IF($AA430="Yes",1,0))</f>
        <v/>
      </c>
      <c r="AO430">
        <f>IF($AK430=1,IFERROR(IF(VALUE($D430)&lt;100000000,VALUE($D430),1000000000),IFERROR(IF(VALUE(MID($D430,2,20))&lt;100000000,VALUE(MID($D430,2,20)),1000000000),1000000000))+ROW()/100000,"")</f>
        <v/>
      </c>
    </row>
    <row r="431">
      <c r="F431" s="11" t="n"/>
      <c r="N431" s="7">
        <f>IF($D431="","",M431*V431/100)</f>
        <v/>
      </c>
      <c r="O431" s="7" t="n"/>
      <c r="U431" s="7" t="n"/>
      <c r="V431" s="7" t="n"/>
      <c r="W431" s="7">
        <f>IF($D431="","",V431*AB431/100)</f>
        <v/>
      </c>
      <c r="X431" s="7">
        <f>IF($D431="","",V431-W431)</f>
        <v/>
      </c>
      <c r="Y431" s="7">
        <f>IF($D431="","",X431-N431)</f>
        <v/>
      </c>
      <c r="AB431">
        <f>IF($D431="","",IF($AN431=1,0,IF($AM431=1,Settings!$C$6,Settings!$C$7))*100)</f>
        <v/>
      </c>
      <c r="AF431" s="7" t="n"/>
      <c r="AI431" s="11" t="n"/>
      <c r="AK431">
        <f>IF($D431="","",IF(COUNTIF($D$2:$D431,$D431)=1,1,0))</f>
        <v/>
      </c>
      <c r="AL431">
        <f>IF($AK431=1,SUMPRODUCT(--($AO$2:$AO$1501&lt;$AO431))+1,"")</f>
        <v/>
      </c>
      <c r="AM431">
        <f>IF($D431="","",IF(OR($R431=TRUE(),$R431="TRUE"),1,0))</f>
        <v/>
      </c>
      <c r="AN431">
        <f>IF($D431="","",IF($AA431="Yes",1,0))</f>
        <v/>
      </c>
      <c r="AO431">
        <f>IF($AK431=1,IFERROR(IF(VALUE($D431)&lt;100000000,VALUE($D431),1000000000),IFERROR(IF(VALUE(MID($D431,2,20))&lt;100000000,VALUE(MID($D431,2,20)),1000000000),1000000000))+ROW()/100000,"")</f>
        <v/>
      </c>
    </row>
    <row r="432">
      <c r="F432" s="11" t="n"/>
      <c r="N432" s="7">
        <f>IF($D432="","",M432*V432/100)</f>
        <v/>
      </c>
      <c r="O432" s="7" t="n"/>
      <c r="U432" s="7" t="n"/>
      <c r="V432" s="7" t="n"/>
      <c r="W432" s="7">
        <f>IF($D432="","",V432*AB432/100)</f>
        <v/>
      </c>
      <c r="X432" s="7">
        <f>IF($D432="","",V432-W432)</f>
        <v/>
      </c>
      <c r="Y432" s="7">
        <f>IF($D432="","",X432-N432)</f>
        <v/>
      </c>
      <c r="AB432">
        <f>IF($D432="","",IF($AN432=1,0,IF($AM432=1,Settings!$C$6,Settings!$C$7))*100)</f>
        <v/>
      </c>
      <c r="AF432" s="7" t="n"/>
      <c r="AI432" s="11" t="n"/>
      <c r="AK432">
        <f>IF($D432="","",IF(COUNTIF($D$2:$D432,$D432)=1,1,0))</f>
        <v/>
      </c>
      <c r="AL432">
        <f>IF($AK432=1,SUMPRODUCT(--($AO$2:$AO$1501&lt;$AO432))+1,"")</f>
        <v/>
      </c>
      <c r="AM432">
        <f>IF($D432="","",IF(OR($R432=TRUE(),$R432="TRUE"),1,0))</f>
        <v/>
      </c>
      <c r="AN432">
        <f>IF($D432="","",IF($AA432="Yes",1,0))</f>
        <v/>
      </c>
      <c r="AO432">
        <f>IF($AK432=1,IFERROR(IF(VALUE($D432)&lt;100000000,VALUE($D432),1000000000),IFERROR(IF(VALUE(MID($D432,2,20))&lt;100000000,VALUE(MID($D432,2,20)),1000000000),1000000000))+ROW()/100000,"")</f>
        <v/>
      </c>
    </row>
    <row r="433">
      <c r="F433" s="11" t="n"/>
      <c r="N433" s="7">
        <f>IF($D433="","",M433*V433/100)</f>
        <v/>
      </c>
      <c r="O433" s="7" t="n"/>
      <c r="U433" s="7" t="n"/>
      <c r="V433" s="7" t="n"/>
      <c r="W433" s="7">
        <f>IF($D433="","",V433*AB433/100)</f>
        <v/>
      </c>
      <c r="X433" s="7">
        <f>IF($D433="","",V433-W433)</f>
        <v/>
      </c>
      <c r="Y433" s="7">
        <f>IF($D433="","",X433-N433)</f>
        <v/>
      </c>
      <c r="AB433">
        <f>IF($D433="","",IF($AN433=1,0,IF($AM433=1,Settings!$C$6,Settings!$C$7))*100)</f>
        <v/>
      </c>
      <c r="AF433" s="7" t="n"/>
      <c r="AI433" s="11" t="n"/>
      <c r="AK433">
        <f>IF($D433="","",IF(COUNTIF($D$2:$D433,$D433)=1,1,0))</f>
        <v/>
      </c>
      <c r="AL433">
        <f>IF($AK433=1,SUMPRODUCT(--($AO$2:$AO$1501&lt;$AO433))+1,"")</f>
        <v/>
      </c>
      <c r="AM433">
        <f>IF($D433="","",IF(OR($R433=TRUE(),$R433="TRUE"),1,0))</f>
        <v/>
      </c>
      <c r="AN433">
        <f>IF($D433="","",IF($AA433="Yes",1,0))</f>
        <v/>
      </c>
      <c r="AO433">
        <f>IF($AK433=1,IFERROR(IF(VALUE($D433)&lt;100000000,VALUE($D433),1000000000),IFERROR(IF(VALUE(MID($D433,2,20))&lt;100000000,VALUE(MID($D433,2,20)),1000000000),1000000000))+ROW()/100000,"")</f>
        <v/>
      </c>
    </row>
    <row r="434">
      <c r="F434" s="11" t="n"/>
      <c r="N434" s="7">
        <f>IF($D434="","",M434*V434/100)</f>
        <v/>
      </c>
      <c r="O434" s="7" t="n"/>
      <c r="U434" s="7" t="n"/>
      <c r="V434" s="7" t="n"/>
      <c r="W434" s="7">
        <f>IF($D434="","",V434*AB434/100)</f>
        <v/>
      </c>
      <c r="X434" s="7">
        <f>IF($D434="","",V434-W434)</f>
        <v/>
      </c>
      <c r="Y434" s="7">
        <f>IF($D434="","",X434-N434)</f>
        <v/>
      </c>
      <c r="AB434">
        <f>IF($D434="","",IF($AN434=1,0,IF($AM434=1,Settings!$C$6,Settings!$C$7))*100)</f>
        <v/>
      </c>
      <c r="AF434" s="7" t="n"/>
      <c r="AI434" s="11" t="n"/>
      <c r="AK434">
        <f>IF($D434="","",IF(COUNTIF($D$2:$D434,$D434)=1,1,0))</f>
        <v/>
      </c>
      <c r="AL434">
        <f>IF($AK434=1,SUMPRODUCT(--($AO$2:$AO$1501&lt;$AO434))+1,"")</f>
        <v/>
      </c>
      <c r="AM434">
        <f>IF($D434="","",IF(OR($R434=TRUE(),$R434="TRUE"),1,0))</f>
        <v/>
      </c>
      <c r="AN434">
        <f>IF($D434="","",IF($AA434="Yes",1,0))</f>
        <v/>
      </c>
      <c r="AO434">
        <f>IF($AK434=1,IFERROR(IF(VALUE($D434)&lt;100000000,VALUE($D434),1000000000),IFERROR(IF(VALUE(MID($D434,2,20))&lt;100000000,VALUE(MID($D434,2,20)),1000000000),1000000000))+ROW()/100000,"")</f>
        <v/>
      </c>
    </row>
    <row r="435">
      <c r="F435" s="11" t="n"/>
      <c r="N435" s="7">
        <f>IF($D435="","",M435*V435/100)</f>
        <v/>
      </c>
      <c r="O435" s="7" t="n"/>
      <c r="U435" s="7" t="n"/>
      <c r="V435" s="7" t="n"/>
      <c r="W435" s="7">
        <f>IF($D435="","",V435*AB435/100)</f>
        <v/>
      </c>
      <c r="X435" s="7">
        <f>IF($D435="","",V435-W435)</f>
        <v/>
      </c>
      <c r="Y435" s="7">
        <f>IF($D435="","",X435-N435)</f>
        <v/>
      </c>
      <c r="AB435">
        <f>IF($D435="","",IF($AN435=1,0,IF($AM435=1,Settings!$C$6,Settings!$C$7))*100)</f>
        <v/>
      </c>
      <c r="AF435" s="7" t="n"/>
      <c r="AI435" s="11" t="n"/>
      <c r="AK435">
        <f>IF($D435="","",IF(COUNTIF($D$2:$D435,$D435)=1,1,0))</f>
        <v/>
      </c>
      <c r="AL435">
        <f>IF($AK435=1,SUMPRODUCT(--($AO$2:$AO$1501&lt;$AO435))+1,"")</f>
        <v/>
      </c>
      <c r="AM435">
        <f>IF($D435="","",IF(OR($R435=TRUE(),$R435="TRUE"),1,0))</f>
        <v/>
      </c>
      <c r="AN435">
        <f>IF($D435="","",IF($AA435="Yes",1,0))</f>
        <v/>
      </c>
      <c r="AO435">
        <f>IF($AK435=1,IFERROR(IF(VALUE($D435)&lt;100000000,VALUE($D435),1000000000),IFERROR(IF(VALUE(MID($D435,2,20))&lt;100000000,VALUE(MID($D435,2,20)),1000000000),1000000000))+ROW()/100000,"")</f>
        <v/>
      </c>
    </row>
    <row r="436">
      <c r="F436" s="11" t="n"/>
      <c r="N436" s="7">
        <f>IF($D436="","",M436*V436/100)</f>
        <v/>
      </c>
      <c r="O436" s="7" t="n"/>
      <c r="U436" s="7" t="n"/>
      <c r="V436" s="7" t="n"/>
      <c r="W436" s="7">
        <f>IF($D436="","",V436*AB436/100)</f>
        <v/>
      </c>
      <c r="X436" s="7">
        <f>IF($D436="","",V436-W436)</f>
        <v/>
      </c>
      <c r="Y436" s="7">
        <f>IF($D436="","",X436-N436)</f>
        <v/>
      </c>
      <c r="AB436">
        <f>IF($D436="","",IF($AN436=1,0,IF($AM436=1,Settings!$C$6,Settings!$C$7))*100)</f>
        <v/>
      </c>
      <c r="AF436" s="7" t="n"/>
      <c r="AI436" s="11" t="n"/>
      <c r="AK436">
        <f>IF($D436="","",IF(COUNTIF($D$2:$D436,$D436)=1,1,0))</f>
        <v/>
      </c>
      <c r="AL436">
        <f>IF($AK436=1,SUMPRODUCT(--($AO$2:$AO$1501&lt;$AO436))+1,"")</f>
        <v/>
      </c>
      <c r="AM436">
        <f>IF($D436="","",IF(OR($R436=TRUE(),$R436="TRUE"),1,0))</f>
        <v/>
      </c>
      <c r="AN436">
        <f>IF($D436="","",IF($AA436="Yes",1,0))</f>
        <v/>
      </c>
      <c r="AO436">
        <f>IF($AK436=1,IFERROR(IF(VALUE($D436)&lt;100000000,VALUE($D436),1000000000),IFERROR(IF(VALUE(MID($D436,2,20))&lt;100000000,VALUE(MID($D436,2,20)),1000000000),1000000000))+ROW()/100000,"")</f>
        <v/>
      </c>
    </row>
    <row r="437">
      <c r="F437" s="11" t="n"/>
      <c r="N437" s="7">
        <f>IF($D437="","",M437*V437/100)</f>
        <v/>
      </c>
      <c r="O437" s="7" t="n"/>
      <c r="U437" s="7" t="n"/>
      <c r="V437" s="7" t="n"/>
      <c r="W437" s="7">
        <f>IF($D437="","",V437*AB437/100)</f>
        <v/>
      </c>
      <c r="X437" s="7">
        <f>IF($D437="","",V437-W437)</f>
        <v/>
      </c>
      <c r="Y437" s="7">
        <f>IF($D437="","",X437-N437)</f>
        <v/>
      </c>
      <c r="AB437">
        <f>IF($D437="","",IF($AN437=1,0,IF($AM437=1,Settings!$C$6,Settings!$C$7))*100)</f>
        <v/>
      </c>
      <c r="AF437" s="7" t="n"/>
      <c r="AI437" s="11" t="n"/>
      <c r="AK437">
        <f>IF($D437="","",IF(COUNTIF($D$2:$D437,$D437)=1,1,0))</f>
        <v/>
      </c>
      <c r="AL437">
        <f>IF($AK437=1,SUMPRODUCT(--($AO$2:$AO$1501&lt;$AO437))+1,"")</f>
        <v/>
      </c>
      <c r="AM437">
        <f>IF($D437="","",IF(OR($R437=TRUE(),$R437="TRUE"),1,0))</f>
        <v/>
      </c>
      <c r="AN437">
        <f>IF($D437="","",IF($AA437="Yes",1,0))</f>
        <v/>
      </c>
      <c r="AO437">
        <f>IF($AK437=1,IFERROR(IF(VALUE($D437)&lt;100000000,VALUE($D437),1000000000),IFERROR(IF(VALUE(MID($D437,2,20))&lt;100000000,VALUE(MID($D437,2,20)),1000000000),1000000000))+ROW()/100000,"")</f>
        <v/>
      </c>
    </row>
    <row r="438">
      <c r="F438" s="11" t="n"/>
      <c r="N438" s="7">
        <f>IF($D438="","",M438*V438/100)</f>
        <v/>
      </c>
      <c r="O438" s="7" t="n"/>
      <c r="U438" s="7" t="n"/>
      <c r="V438" s="7" t="n"/>
      <c r="W438" s="7">
        <f>IF($D438="","",V438*AB438/100)</f>
        <v/>
      </c>
      <c r="X438" s="7">
        <f>IF($D438="","",V438-W438)</f>
        <v/>
      </c>
      <c r="Y438" s="7">
        <f>IF($D438="","",X438-N438)</f>
        <v/>
      </c>
      <c r="AB438">
        <f>IF($D438="","",IF($AN438=1,0,IF($AM438=1,Settings!$C$6,Settings!$C$7))*100)</f>
        <v/>
      </c>
      <c r="AF438" s="7" t="n"/>
      <c r="AI438" s="11" t="n"/>
      <c r="AK438">
        <f>IF($D438="","",IF(COUNTIF($D$2:$D438,$D438)=1,1,0))</f>
        <v/>
      </c>
      <c r="AL438">
        <f>IF($AK438=1,SUMPRODUCT(--($AO$2:$AO$1501&lt;$AO438))+1,"")</f>
        <v/>
      </c>
      <c r="AM438">
        <f>IF($D438="","",IF(OR($R438=TRUE(),$R438="TRUE"),1,0))</f>
        <v/>
      </c>
      <c r="AN438">
        <f>IF($D438="","",IF($AA438="Yes",1,0))</f>
        <v/>
      </c>
      <c r="AO438">
        <f>IF($AK438=1,IFERROR(IF(VALUE($D438)&lt;100000000,VALUE($D438),1000000000),IFERROR(IF(VALUE(MID($D438,2,20))&lt;100000000,VALUE(MID($D438,2,20)),1000000000),1000000000))+ROW()/100000,"")</f>
        <v/>
      </c>
    </row>
    <row r="439">
      <c r="F439" s="11" t="n"/>
      <c r="N439" s="7">
        <f>IF($D439="","",M439*V439/100)</f>
        <v/>
      </c>
      <c r="O439" s="7" t="n"/>
      <c r="U439" s="7" t="n"/>
      <c r="V439" s="7" t="n"/>
      <c r="W439" s="7">
        <f>IF($D439="","",V439*AB439/100)</f>
        <v/>
      </c>
      <c r="X439" s="7">
        <f>IF($D439="","",V439-W439)</f>
        <v/>
      </c>
      <c r="Y439" s="7">
        <f>IF($D439="","",X439-N439)</f>
        <v/>
      </c>
      <c r="AB439">
        <f>IF($D439="","",IF($AN439=1,0,IF($AM439=1,Settings!$C$6,Settings!$C$7))*100)</f>
        <v/>
      </c>
      <c r="AF439" s="7" t="n"/>
      <c r="AI439" s="11" t="n"/>
      <c r="AK439">
        <f>IF($D439="","",IF(COUNTIF($D$2:$D439,$D439)=1,1,0))</f>
        <v/>
      </c>
      <c r="AL439">
        <f>IF($AK439=1,SUMPRODUCT(--($AO$2:$AO$1501&lt;$AO439))+1,"")</f>
        <v/>
      </c>
      <c r="AM439">
        <f>IF($D439="","",IF(OR($R439=TRUE(),$R439="TRUE"),1,0))</f>
        <v/>
      </c>
      <c r="AN439">
        <f>IF($D439="","",IF($AA439="Yes",1,0))</f>
        <v/>
      </c>
      <c r="AO439">
        <f>IF($AK439=1,IFERROR(IF(VALUE($D439)&lt;100000000,VALUE($D439),1000000000),IFERROR(IF(VALUE(MID($D439,2,20))&lt;100000000,VALUE(MID($D439,2,20)),1000000000),1000000000))+ROW()/100000,"")</f>
        <v/>
      </c>
    </row>
    <row r="440">
      <c r="F440" s="11" t="n"/>
      <c r="N440" s="7">
        <f>IF($D440="","",M440*V440/100)</f>
        <v/>
      </c>
      <c r="O440" s="7" t="n"/>
      <c r="U440" s="7" t="n"/>
      <c r="V440" s="7" t="n"/>
      <c r="W440" s="7">
        <f>IF($D440="","",V440*AB440/100)</f>
        <v/>
      </c>
      <c r="X440" s="7">
        <f>IF($D440="","",V440-W440)</f>
        <v/>
      </c>
      <c r="Y440" s="7">
        <f>IF($D440="","",X440-N440)</f>
        <v/>
      </c>
      <c r="AB440">
        <f>IF($D440="","",IF($AN440=1,0,IF($AM440=1,Settings!$C$6,Settings!$C$7))*100)</f>
        <v/>
      </c>
      <c r="AF440" s="7" t="n"/>
      <c r="AI440" s="11" t="n"/>
      <c r="AK440">
        <f>IF($D440="","",IF(COUNTIF($D$2:$D440,$D440)=1,1,0))</f>
        <v/>
      </c>
      <c r="AL440">
        <f>IF($AK440=1,SUMPRODUCT(--($AO$2:$AO$1501&lt;$AO440))+1,"")</f>
        <v/>
      </c>
      <c r="AM440">
        <f>IF($D440="","",IF(OR($R440=TRUE(),$R440="TRUE"),1,0))</f>
        <v/>
      </c>
      <c r="AN440">
        <f>IF($D440="","",IF($AA440="Yes",1,0))</f>
        <v/>
      </c>
      <c r="AO440">
        <f>IF($AK440=1,IFERROR(IF(VALUE($D440)&lt;100000000,VALUE($D440),1000000000),IFERROR(IF(VALUE(MID($D440,2,20))&lt;100000000,VALUE(MID($D440,2,20)),1000000000),1000000000))+ROW()/100000,"")</f>
        <v/>
      </c>
    </row>
    <row r="441">
      <c r="F441" s="11" t="n"/>
      <c r="N441" s="7">
        <f>IF($D441="","",M441*V441/100)</f>
        <v/>
      </c>
      <c r="O441" s="7" t="n"/>
      <c r="U441" s="7" t="n"/>
      <c r="V441" s="7" t="n"/>
      <c r="W441" s="7">
        <f>IF($D441="","",V441*AB441/100)</f>
        <v/>
      </c>
      <c r="X441" s="7">
        <f>IF($D441="","",V441-W441)</f>
        <v/>
      </c>
      <c r="Y441" s="7">
        <f>IF($D441="","",X441-N441)</f>
        <v/>
      </c>
      <c r="AB441">
        <f>IF($D441="","",IF($AN441=1,0,IF($AM441=1,Settings!$C$6,Settings!$C$7))*100)</f>
        <v/>
      </c>
      <c r="AF441" s="7" t="n"/>
      <c r="AI441" s="11" t="n"/>
      <c r="AK441">
        <f>IF($D441="","",IF(COUNTIF($D$2:$D441,$D441)=1,1,0))</f>
        <v/>
      </c>
      <c r="AL441">
        <f>IF($AK441=1,SUMPRODUCT(--($AO$2:$AO$1501&lt;$AO441))+1,"")</f>
        <v/>
      </c>
      <c r="AM441">
        <f>IF($D441="","",IF(OR($R441=TRUE(),$R441="TRUE"),1,0))</f>
        <v/>
      </c>
      <c r="AN441">
        <f>IF($D441="","",IF($AA441="Yes",1,0))</f>
        <v/>
      </c>
      <c r="AO441">
        <f>IF($AK441=1,IFERROR(IF(VALUE($D441)&lt;100000000,VALUE($D441),1000000000),IFERROR(IF(VALUE(MID($D441,2,20))&lt;100000000,VALUE(MID($D441,2,20)),1000000000),1000000000))+ROW()/100000,"")</f>
        <v/>
      </c>
    </row>
    <row r="442">
      <c r="F442" s="11" t="n"/>
      <c r="N442" s="7">
        <f>IF($D442="","",M442*V442/100)</f>
        <v/>
      </c>
      <c r="O442" s="7" t="n"/>
      <c r="U442" s="7" t="n"/>
      <c r="V442" s="7" t="n"/>
      <c r="W442" s="7">
        <f>IF($D442="","",V442*AB442/100)</f>
        <v/>
      </c>
      <c r="X442" s="7">
        <f>IF($D442="","",V442-W442)</f>
        <v/>
      </c>
      <c r="Y442" s="7">
        <f>IF($D442="","",X442-N442)</f>
        <v/>
      </c>
      <c r="AB442">
        <f>IF($D442="","",IF($AN442=1,0,IF($AM442=1,Settings!$C$6,Settings!$C$7))*100)</f>
        <v/>
      </c>
      <c r="AF442" s="7" t="n"/>
      <c r="AI442" s="11" t="n"/>
      <c r="AK442">
        <f>IF($D442="","",IF(COUNTIF($D$2:$D442,$D442)=1,1,0))</f>
        <v/>
      </c>
      <c r="AL442">
        <f>IF($AK442=1,SUMPRODUCT(--($AO$2:$AO$1501&lt;$AO442))+1,"")</f>
        <v/>
      </c>
      <c r="AM442">
        <f>IF($D442="","",IF(OR($R442=TRUE(),$R442="TRUE"),1,0))</f>
        <v/>
      </c>
      <c r="AN442">
        <f>IF($D442="","",IF($AA442="Yes",1,0))</f>
        <v/>
      </c>
      <c r="AO442">
        <f>IF($AK442=1,IFERROR(IF(VALUE($D442)&lt;100000000,VALUE($D442),1000000000),IFERROR(IF(VALUE(MID($D442,2,20))&lt;100000000,VALUE(MID($D442,2,20)),1000000000),1000000000))+ROW()/100000,"")</f>
        <v/>
      </c>
    </row>
    <row r="443">
      <c r="F443" s="11" t="n"/>
      <c r="N443" s="7">
        <f>IF($D443="","",M443*V443/100)</f>
        <v/>
      </c>
      <c r="O443" s="7" t="n"/>
      <c r="U443" s="7" t="n"/>
      <c r="V443" s="7" t="n"/>
      <c r="W443" s="7">
        <f>IF($D443="","",V443*AB443/100)</f>
        <v/>
      </c>
      <c r="X443" s="7">
        <f>IF($D443="","",V443-W443)</f>
        <v/>
      </c>
      <c r="Y443" s="7">
        <f>IF($D443="","",X443-N443)</f>
        <v/>
      </c>
      <c r="AB443">
        <f>IF($D443="","",IF($AN443=1,0,IF($AM443=1,Settings!$C$6,Settings!$C$7))*100)</f>
        <v/>
      </c>
      <c r="AF443" s="7" t="n"/>
      <c r="AI443" s="11" t="n"/>
      <c r="AK443">
        <f>IF($D443="","",IF(COUNTIF($D$2:$D443,$D443)=1,1,0))</f>
        <v/>
      </c>
      <c r="AL443">
        <f>IF($AK443=1,SUMPRODUCT(--($AO$2:$AO$1501&lt;$AO443))+1,"")</f>
        <v/>
      </c>
      <c r="AM443">
        <f>IF($D443="","",IF(OR($R443=TRUE(),$R443="TRUE"),1,0))</f>
        <v/>
      </c>
      <c r="AN443">
        <f>IF($D443="","",IF($AA443="Yes",1,0))</f>
        <v/>
      </c>
      <c r="AO443">
        <f>IF($AK443=1,IFERROR(IF(VALUE($D443)&lt;100000000,VALUE($D443),1000000000),IFERROR(IF(VALUE(MID($D443,2,20))&lt;100000000,VALUE(MID($D443,2,20)),1000000000),1000000000))+ROW()/100000,"")</f>
        <v/>
      </c>
    </row>
    <row r="444">
      <c r="F444" s="11" t="n"/>
      <c r="N444" s="7">
        <f>IF($D444="","",M444*V444/100)</f>
        <v/>
      </c>
      <c r="O444" s="7" t="n"/>
      <c r="U444" s="7" t="n"/>
      <c r="V444" s="7" t="n"/>
      <c r="W444" s="7">
        <f>IF($D444="","",V444*AB444/100)</f>
        <v/>
      </c>
      <c r="X444" s="7">
        <f>IF($D444="","",V444-W444)</f>
        <v/>
      </c>
      <c r="Y444" s="7">
        <f>IF($D444="","",X444-N444)</f>
        <v/>
      </c>
      <c r="AB444">
        <f>IF($D444="","",IF($AN444=1,0,IF($AM444=1,Settings!$C$6,Settings!$C$7))*100)</f>
        <v/>
      </c>
      <c r="AF444" s="7" t="n"/>
      <c r="AI444" s="11" t="n"/>
      <c r="AK444">
        <f>IF($D444="","",IF(COUNTIF($D$2:$D444,$D444)=1,1,0))</f>
        <v/>
      </c>
      <c r="AL444">
        <f>IF($AK444=1,SUMPRODUCT(--($AO$2:$AO$1501&lt;$AO444))+1,"")</f>
        <v/>
      </c>
      <c r="AM444">
        <f>IF($D444="","",IF(OR($R444=TRUE(),$R444="TRUE"),1,0))</f>
        <v/>
      </c>
      <c r="AN444">
        <f>IF($D444="","",IF($AA444="Yes",1,0))</f>
        <v/>
      </c>
      <c r="AO444">
        <f>IF($AK444=1,IFERROR(IF(VALUE($D444)&lt;100000000,VALUE($D444),1000000000),IFERROR(IF(VALUE(MID($D444,2,20))&lt;100000000,VALUE(MID($D444,2,20)),1000000000),1000000000))+ROW()/100000,"")</f>
        <v/>
      </c>
    </row>
    <row r="445">
      <c r="F445" s="11" t="n"/>
      <c r="N445" s="7">
        <f>IF($D445="","",M445*V445/100)</f>
        <v/>
      </c>
      <c r="O445" s="7" t="n"/>
      <c r="U445" s="7" t="n"/>
      <c r="V445" s="7" t="n"/>
      <c r="W445" s="7">
        <f>IF($D445="","",V445*AB445/100)</f>
        <v/>
      </c>
      <c r="X445" s="7">
        <f>IF($D445="","",V445-W445)</f>
        <v/>
      </c>
      <c r="Y445" s="7">
        <f>IF($D445="","",X445-N445)</f>
        <v/>
      </c>
      <c r="AB445">
        <f>IF($D445="","",IF($AN445=1,0,IF($AM445=1,Settings!$C$6,Settings!$C$7))*100)</f>
        <v/>
      </c>
      <c r="AF445" s="7" t="n"/>
      <c r="AI445" s="11" t="n"/>
      <c r="AK445">
        <f>IF($D445="","",IF(COUNTIF($D$2:$D445,$D445)=1,1,0))</f>
        <v/>
      </c>
      <c r="AL445">
        <f>IF($AK445=1,SUMPRODUCT(--($AO$2:$AO$1501&lt;$AO445))+1,"")</f>
        <v/>
      </c>
      <c r="AM445">
        <f>IF($D445="","",IF(OR($R445=TRUE(),$R445="TRUE"),1,0))</f>
        <v/>
      </c>
      <c r="AN445">
        <f>IF($D445="","",IF($AA445="Yes",1,0))</f>
        <v/>
      </c>
      <c r="AO445">
        <f>IF($AK445=1,IFERROR(IF(VALUE($D445)&lt;100000000,VALUE($D445),1000000000),IFERROR(IF(VALUE(MID($D445,2,20))&lt;100000000,VALUE(MID($D445,2,20)),1000000000),1000000000))+ROW()/100000,"")</f>
        <v/>
      </c>
    </row>
    <row r="446">
      <c r="F446" s="11" t="n"/>
      <c r="N446" s="7">
        <f>IF($D446="","",M446*V446/100)</f>
        <v/>
      </c>
      <c r="O446" s="7" t="n"/>
      <c r="U446" s="7" t="n"/>
      <c r="V446" s="7" t="n"/>
      <c r="W446" s="7">
        <f>IF($D446="","",V446*AB446/100)</f>
        <v/>
      </c>
      <c r="X446" s="7">
        <f>IF($D446="","",V446-W446)</f>
        <v/>
      </c>
      <c r="Y446" s="7">
        <f>IF($D446="","",X446-N446)</f>
        <v/>
      </c>
      <c r="AB446">
        <f>IF($D446="","",IF($AN446=1,0,IF($AM446=1,Settings!$C$6,Settings!$C$7))*100)</f>
        <v/>
      </c>
      <c r="AF446" s="7" t="n"/>
      <c r="AI446" s="11" t="n"/>
      <c r="AK446">
        <f>IF($D446="","",IF(COUNTIF($D$2:$D446,$D446)=1,1,0))</f>
        <v/>
      </c>
      <c r="AL446">
        <f>IF($AK446=1,SUMPRODUCT(--($AO$2:$AO$1501&lt;$AO446))+1,"")</f>
        <v/>
      </c>
      <c r="AM446">
        <f>IF($D446="","",IF(OR($R446=TRUE(),$R446="TRUE"),1,0))</f>
        <v/>
      </c>
      <c r="AN446">
        <f>IF($D446="","",IF($AA446="Yes",1,0))</f>
        <v/>
      </c>
      <c r="AO446">
        <f>IF($AK446=1,IFERROR(IF(VALUE($D446)&lt;100000000,VALUE($D446),1000000000),IFERROR(IF(VALUE(MID($D446,2,20))&lt;100000000,VALUE(MID($D446,2,20)),1000000000),1000000000))+ROW()/100000,"")</f>
        <v/>
      </c>
    </row>
    <row r="447">
      <c r="F447" s="11" t="n"/>
      <c r="N447" s="7">
        <f>IF($D447="","",M447*V447/100)</f>
        <v/>
      </c>
      <c r="O447" s="7" t="n"/>
      <c r="U447" s="7" t="n"/>
      <c r="V447" s="7" t="n"/>
      <c r="W447" s="7">
        <f>IF($D447="","",V447*AB447/100)</f>
        <v/>
      </c>
      <c r="X447" s="7">
        <f>IF($D447="","",V447-W447)</f>
        <v/>
      </c>
      <c r="Y447" s="7">
        <f>IF($D447="","",X447-N447)</f>
        <v/>
      </c>
      <c r="AB447">
        <f>IF($D447="","",IF($AN447=1,0,IF($AM447=1,Settings!$C$6,Settings!$C$7))*100)</f>
        <v/>
      </c>
      <c r="AF447" s="7" t="n"/>
      <c r="AI447" s="11" t="n"/>
      <c r="AK447">
        <f>IF($D447="","",IF(COUNTIF($D$2:$D447,$D447)=1,1,0))</f>
        <v/>
      </c>
      <c r="AL447">
        <f>IF($AK447=1,SUMPRODUCT(--($AO$2:$AO$1501&lt;$AO447))+1,"")</f>
        <v/>
      </c>
      <c r="AM447">
        <f>IF($D447="","",IF(OR($R447=TRUE(),$R447="TRUE"),1,0))</f>
        <v/>
      </c>
      <c r="AN447">
        <f>IF($D447="","",IF($AA447="Yes",1,0))</f>
        <v/>
      </c>
      <c r="AO447">
        <f>IF($AK447=1,IFERROR(IF(VALUE($D447)&lt;100000000,VALUE($D447),1000000000),IFERROR(IF(VALUE(MID($D447,2,20))&lt;100000000,VALUE(MID($D447,2,20)),1000000000),1000000000))+ROW()/100000,"")</f>
        <v/>
      </c>
    </row>
    <row r="448">
      <c r="F448" s="11" t="n"/>
      <c r="N448" s="7">
        <f>IF($D448="","",M448*V448/100)</f>
        <v/>
      </c>
      <c r="O448" s="7" t="n"/>
      <c r="U448" s="7" t="n"/>
      <c r="V448" s="7" t="n"/>
      <c r="W448" s="7">
        <f>IF($D448="","",V448*AB448/100)</f>
        <v/>
      </c>
      <c r="X448" s="7">
        <f>IF($D448="","",V448-W448)</f>
        <v/>
      </c>
      <c r="Y448" s="7">
        <f>IF($D448="","",X448-N448)</f>
        <v/>
      </c>
      <c r="AB448">
        <f>IF($D448="","",IF($AN448=1,0,IF($AM448=1,Settings!$C$6,Settings!$C$7))*100)</f>
        <v/>
      </c>
      <c r="AF448" s="7" t="n"/>
      <c r="AI448" s="11" t="n"/>
      <c r="AK448">
        <f>IF($D448="","",IF(COUNTIF($D$2:$D448,$D448)=1,1,0))</f>
        <v/>
      </c>
      <c r="AL448">
        <f>IF($AK448=1,SUMPRODUCT(--($AO$2:$AO$1501&lt;$AO448))+1,"")</f>
        <v/>
      </c>
      <c r="AM448">
        <f>IF($D448="","",IF(OR($R448=TRUE(),$R448="TRUE"),1,0))</f>
        <v/>
      </c>
      <c r="AN448">
        <f>IF($D448="","",IF($AA448="Yes",1,0))</f>
        <v/>
      </c>
      <c r="AO448">
        <f>IF($AK448=1,IFERROR(IF(VALUE($D448)&lt;100000000,VALUE($D448),1000000000),IFERROR(IF(VALUE(MID($D448,2,20))&lt;100000000,VALUE(MID($D448,2,20)),1000000000),1000000000))+ROW()/100000,"")</f>
        <v/>
      </c>
    </row>
    <row r="449">
      <c r="F449" s="11" t="n"/>
      <c r="N449" s="7">
        <f>IF($D449="","",M449*V449/100)</f>
        <v/>
      </c>
      <c r="O449" s="7" t="n"/>
      <c r="U449" s="7" t="n"/>
      <c r="V449" s="7" t="n"/>
      <c r="W449" s="7">
        <f>IF($D449="","",V449*AB449/100)</f>
        <v/>
      </c>
      <c r="X449" s="7">
        <f>IF($D449="","",V449-W449)</f>
        <v/>
      </c>
      <c r="Y449" s="7">
        <f>IF($D449="","",X449-N449)</f>
        <v/>
      </c>
      <c r="AB449">
        <f>IF($D449="","",IF($AN449=1,0,IF($AM449=1,Settings!$C$6,Settings!$C$7))*100)</f>
        <v/>
      </c>
      <c r="AF449" s="7" t="n"/>
      <c r="AI449" s="11" t="n"/>
      <c r="AK449">
        <f>IF($D449="","",IF(COUNTIF($D$2:$D449,$D449)=1,1,0))</f>
        <v/>
      </c>
      <c r="AL449">
        <f>IF($AK449=1,SUMPRODUCT(--($AO$2:$AO$1501&lt;$AO449))+1,"")</f>
        <v/>
      </c>
      <c r="AM449">
        <f>IF($D449="","",IF(OR($R449=TRUE(),$R449="TRUE"),1,0))</f>
        <v/>
      </c>
      <c r="AN449">
        <f>IF($D449="","",IF($AA449="Yes",1,0))</f>
        <v/>
      </c>
      <c r="AO449">
        <f>IF($AK449=1,IFERROR(IF(VALUE($D449)&lt;100000000,VALUE($D449),1000000000),IFERROR(IF(VALUE(MID($D449,2,20))&lt;100000000,VALUE(MID($D449,2,20)),1000000000),1000000000))+ROW()/100000,"")</f>
        <v/>
      </c>
    </row>
    <row r="450">
      <c r="F450" s="11" t="n"/>
      <c r="N450" s="7">
        <f>IF($D450="","",M450*V450/100)</f>
        <v/>
      </c>
      <c r="O450" s="7" t="n"/>
      <c r="U450" s="7" t="n"/>
      <c r="V450" s="7" t="n"/>
      <c r="W450" s="7">
        <f>IF($D450="","",V450*AB450/100)</f>
        <v/>
      </c>
      <c r="X450" s="7">
        <f>IF($D450="","",V450-W450)</f>
        <v/>
      </c>
      <c r="Y450" s="7">
        <f>IF($D450="","",X450-N450)</f>
        <v/>
      </c>
      <c r="AB450">
        <f>IF($D450="","",IF($AN450=1,0,IF($AM450=1,Settings!$C$6,Settings!$C$7))*100)</f>
        <v/>
      </c>
      <c r="AF450" s="7" t="n"/>
      <c r="AI450" s="11" t="n"/>
      <c r="AK450">
        <f>IF($D450="","",IF(COUNTIF($D$2:$D450,$D450)=1,1,0))</f>
        <v/>
      </c>
      <c r="AL450">
        <f>IF($AK450=1,SUMPRODUCT(--($AO$2:$AO$1501&lt;$AO450))+1,"")</f>
        <v/>
      </c>
      <c r="AM450">
        <f>IF($D450="","",IF(OR($R450=TRUE(),$R450="TRUE"),1,0))</f>
        <v/>
      </c>
      <c r="AN450">
        <f>IF($D450="","",IF($AA450="Yes",1,0))</f>
        <v/>
      </c>
      <c r="AO450">
        <f>IF($AK450=1,IFERROR(IF(VALUE($D450)&lt;100000000,VALUE($D450),1000000000),IFERROR(IF(VALUE(MID($D450,2,20))&lt;100000000,VALUE(MID($D450,2,20)),1000000000),1000000000))+ROW()/100000,"")</f>
        <v/>
      </c>
    </row>
    <row r="451">
      <c r="F451" s="11" t="n"/>
      <c r="N451" s="7">
        <f>IF($D451="","",M451*V451/100)</f>
        <v/>
      </c>
      <c r="O451" s="7" t="n"/>
      <c r="U451" s="7" t="n"/>
      <c r="V451" s="7" t="n"/>
      <c r="W451" s="7">
        <f>IF($D451="","",V451*AB451/100)</f>
        <v/>
      </c>
      <c r="X451" s="7">
        <f>IF($D451="","",V451-W451)</f>
        <v/>
      </c>
      <c r="Y451" s="7">
        <f>IF($D451="","",X451-N451)</f>
        <v/>
      </c>
      <c r="AB451">
        <f>IF($D451="","",IF($AN451=1,0,IF($AM451=1,Settings!$C$6,Settings!$C$7))*100)</f>
        <v/>
      </c>
      <c r="AF451" s="7" t="n"/>
      <c r="AI451" s="11" t="n"/>
      <c r="AK451">
        <f>IF($D451="","",IF(COUNTIF($D$2:$D451,$D451)=1,1,0))</f>
        <v/>
      </c>
      <c r="AL451">
        <f>IF($AK451=1,SUMPRODUCT(--($AO$2:$AO$1501&lt;$AO451))+1,"")</f>
        <v/>
      </c>
      <c r="AM451">
        <f>IF($D451="","",IF(OR($R451=TRUE(),$R451="TRUE"),1,0))</f>
        <v/>
      </c>
      <c r="AN451">
        <f>IF($D451="","",IF($AA451="Yes",1,0))</f>
        <v/>
      </c>
      <c r="AO451">
        <f>IF($AK451=1,IFERROR(IF(VALUE($D451)&lt;100000000,VALUE($D451),1000000000),IFERROR(IF(VALUE(MID($D451,2,20))&lt;100000000,VALUE(MID($D451,2,20)),1000000000),1000000000))+ROW()/100000,"")</f>
        <v/>
      </c>
    </row>
    <row r="452">
      <c r="F452" s="11" t="n"/>
      <c r="N452" s="7">
        <f>IF($D452="","",M452*V452/100)</f>
        <v/>
      </c>
      <c r="O452" s="7" t="n"/>
      <c r="U452" s="7" t="n"/>
      <c r="V452" s="7" t="n"/>
      <c r="W452" s="7">
        <f>IF($D452="","",V452*AB452/100)</f>
        <v/>
      </c>
      <c r="X452" s="7">
        <f>IF($D452="","",V452-W452)</f>
        <v/>
      </c>
      <c r="Y452" s="7">
        <f>IF($D452="","",X452-N452)</f>
        <v/>
      </c>
      <c r="AB452">
        <f>IF($D452="","",IF($AN452=1,0,IF($AM452=1,Settings!$C$6,Settings!$C$7))*100)</f>
        <v/>
      </c>
      <c r="AF452" s="7" t="n"/>
      <c r="AI452" s="11" t="n"/>
      <c r="AK452">
        <f>IF($D452="","",IF(COUNTIF($D$2:$D452,$D452)=1,1,0))</f>
        <v/>
      </c>
      <c r="AL452">
        <f>IF($AK452=1,SUMPRODUCT(--($AO$2:$AO$1501&lt;$AO452))+1,"")</f>
        <v/>
      </c>
      <c r="AM452">
        <f>IF($D452="","",IF(OR($R452=TRUE(),$R452="TRUE"),1,0))</f>
        <v/>
      </c>
      <c r="AN452">
        <f>IF($D452="","",IF($AA452="Yes",1,0))</f>
        <v/>
      </c>
      <c r="AO452">
        <f>IF($AK452=1,IFERROR(IF(VALUE($D452)&lt;100000000,VALUE($D452),1000000000),IFERROR(IF(VALUE(MID($D452,2,20))&lt;100000000,VALUE(MID($D452,2,20)),1000000000),1000000000))+ROW()/100000,"")</f>
        <v/>
      </c>
    </row>
    <row r="453">
      <c r="F453" s="11" t="n"/>
      <c r="N453" s="7">
        <f>IF($D453="","",M453*V453/100)</f>
        <v/>
      </c>
      <c r="O453" s="7" t="n"/>
      <c r="U453" s="7" t="n"/>
      <c r="V453" s="7" t="n"/>
      <c r="W453" s="7">
        <f>IF($D453="","",V453*AB453/100)</f>
        <v/>
      </c>
      <c r="X453" s="7">
        <f>IF($D453="","",V453-W453)</f>
        <v/>
      </c>
      <c r="Y453" s="7">
        <f>IF($D453="","",X453-N453)</f>
        <v/>
      </c>
      <c r="AB453">
        <f>IF($D453="","",IF($AN453=1,0,IF($AM453=1,Settings!$C$6,Settings!$C$7))*100)</f>
        <v/>
      </c>
      <c r="AF453" s="7" t="n"/>
      <c r="AI453" s="11" t="n"/>
      <c r="AK453">
        <f>IF($D453="","",IF(COUNTIF($D$2:$D453,$D453)=1,1,0))</f>
        <v/>
      </c>
      <c r="AL453">
        <f>IF($AK453=1,SUMPRODUCT(--($AO$2:$AO$1501&lt;$AO453))+1,"")</f>
        <v/>
      </c>
      <c r="AM453">
        <f>IF($D453="","",IF(OR($R453=TRUE(),$R453="TRUE"),1,0))</f>
        <v/>
      </c>
      <c r="AN453">
        <f>IF($D453="","",IF($AA453="Yes",1,0))</f>
        <v/>
      </c>
      <c r="AO453">
        <f>IF($AK453=1,IFERROR(IF(VALUE($D453)&lt;100000000,VALUE($D453),1000000000),IFERROR(IF(VALUE(MID($D453,2,20))&lt;100000000,VALUE(MID($D453,2,20)),1000000000),1000000000))+ROW()/100000,"")</f>
        <v/>
      </c>
    </row>
    <row r="454">
      <c r="F454" s="11" t="n"/>
      <c r="N454" s="7">
        <f>IF($D454="","",M454*V454/100)</f>
        <v/>
      </c>
      <c r="O454" s="7" t="n"/>
      <c r="U454" s="7" t="n"/>
      <c r="V454" s="7" t="n"/>
      <c r="W454" s="7">
        <f>IF($D454="","",V454*AB454/100)</f>
        <v/>
      </c>
      <c r="X454" s="7">
        <f>IF($D454="","",V454-W454)</f>
        <v/>
      </c>
      <c r="Y454" s="7">
        <f>IF($D454="","",X454-N454)</f>
        <v/>
      </c>
      <c r="AB454">
        <f>IF($D454="","",IF($AN454=1,0,IF($AM454=1,Settings!$C$6,Settings!$C$7))*100)</f>
        <v/>
      </c>
      <c r="AF454" s="7" t="n"/>
      <c r="AI454" s="11" t="n"/>
      <c r="AK454">
        <f>IF($D454="","",IF(COUNTIF($D$2:$D454,$D454)=1,1,0))</f>
        <v/>
      </c>
      <c r="AL454">
        <f>IF($AK454=1,SUMPRODUCT(--($AO$2:$AO$1501&lt;$AO454))+1,"")</f>
        <v/>
      </c>
      <c r="AM454">
        <f>IF($D454="","",IF(OR($R454=TRUE(),$R454="TRUE"),1,0))</f>
        <v/>
      </c>
      <c r="AN454">
        <f>IF($D454="","",IF($AA454="Yes",1,0))</f>
        <v/>
      </c>
      <c r="AO454">
        <f>IF($AK454=1,IFERROR(IF(VALUE($D454)&lt;100000000,VALUE($D454),1000000000),IFERROR(IF(VALUE(MID($D454,2,20))&lt;100000000,VALUE(MID($D454,2,20)),1000000000),1000000000))+ROW()/100000,"")</f>
        <v/>
      </c>
    </row>
    <row r="455">
      <c r="F455" s="11" t="n"/>
      <c r="N455" s="7">
        <f>IF($D455="","",M455*V455/100)</f>
        <v/>
      </c>
      <c r="O455" s="7" t="n"/>
      <c r="U455" s="7" t="n"/>
      <c r="V455" s="7" t="n"/>
      <c r="W455" s="7">
        <f>IF($D455="","",V455*AB455/100)</f>
        <v/>
      </c>
      <c r="X455" s="7">
        <f>IF($D455="","",V455-W455)</f>
        <v/>
      </c>
      <c r="Y455" s="7">
        <f>IF($D455="","",X455-N455)</f>
        <v/>
      </c>
      <c r="AB455">
        <f>IF($D455="","",IF($AN455=1,0,IF($AM455=1,Settings!$C$6,Settings!$C$7))*100)</f>
        <v/>
      </c>
      <c r="AF455" s="7" t="n"/>
      <c r="AI455" s="11" t="n"/>
      <c r="AK455">
        <f>IF($D455="","",IF(COUNTIF($D$2:$D455,$D455)=1,1,0))</f>
        <v/>
      </c>
      <c r="AL455">
        <f>IF($AK455=1,SUMPRODUCT(--($AO$2:$AO$1501&lt;$AO455))+1,"")</f>
        <v/>
      </c>
      <c r="AM455">
        <f>IF($D455="","",IF(OR($R455=TRUE(),$R455="TRUE"),1,0))</f>
        <v/>
      </c>
      <c r="AN455">
        <f>IF($D455="","",IF($AA455="Yes",1,0))</f>
        <v/>
      </c>
      <c r="AO455">
        <f>IF($AK455=1,IFERROR(IF(VALUE($D455)&lt;100000000,VALUE($D455),1000000000),IFERROR(IF(VALUE(MID($D455,2,20))&lt;100000000,VALUE(MID($D455,2,20)),1000000000),1000000000))+ROW()/100000,"")</f>
        <v/>
      </c>
    </row>
    <row r="456">
      <c r="F456" s="11" t="n"/>
      <c r="N456" s="7">
        <f>IF($D456="","",M456*V456/100)</f>
        <v/>
      </c>
      <c r="O456" s="7" t="n"/>
      <c r="U456" s="7" t="n"/>
      <c r="V456" s="7" t="n"/>
      <c r="W456" s="7">
        <f>IF($D456="","",V456*AB456/100)</f>
        <v/>
      </c>
      <c r="X456" s="7">
        <f>IF($D456="","",V456-W456)</f>
        <v/>
      </c>
      <c r="Y456" s="7">
        <f>IF($D456="","",X456-N456)</f>
        <v/>
      </c>
      <c r="AB456">
        <f>IF($D456="","",IF($AN456=1,0,IF($AM456=1,Settings!$C$6,Settings!$C$7))*100)</f>
        <v/>
      </c>
      <c r="AF456" s="7" t="n"/>
      <c r="AI456" s="11" t="n"/>
      <c r="AK456">
        <f>IF($D456="","",IF(COUNTIF($D$2:$D456,$D456)=1,1,0))</f>
        <v/>
      </c>
      <c r="AL456">
        <f>IF($AK456=1,SUMPRODUCT(--($AO$2:$AO$1501&lt;$AO456))+1,"")</f>
        <v/>
      </c>
      <c r="AM456">
        <f>IF($D456="","",IF(OR($R456=TRUE(),$R456="TRUE"),1,0))</f>
        <v/>
      </c>
      <c r="AN456">
        <f>IF($D456="","",IF($AA456="Yes",1,0))</f>
        <v/>
      </c>
      <c r="AO456">
        <f>IF($AK456=1,IFERROR(IF(VALUE($D456)&lt;100000000,VALUE($D456),1000000000),IFERROR(IF(VALUE(MID($D456,2,20))&lt;100000000,VALUE(MID($D456,2,20)),1000000000),1000000000))+ROW()/100000,"")</f>
        <v/>
      </c>
    </row>
    <row r="457">
      <c r="F457" s="11" t="n"/>
      <c r="N457" s="7">
        <f>IF($D457="","",M457*V457/100)</f>
        <v/>
      </c>
      <c r="O457" s="7" t="n"/>
      <c r="U457" s="7" t="n"/>
      <c r="V457" s="7" t="n"/>
      <c r="W457" s="7">
        <f>IF($D457="","",V457*AB457/100)</f>
        <v/>
      </c>
      <c r="X457" s="7">
        <f>IF($D457="","",V457-W457)</f>
        <v/>
      </c>
      <c r="Y457" s="7">
        <f>IF($D457="","",X457-N457)</f>
        <v/>
      </c>
      <c r="AB457">
        <f>IF($D457="","",IF($AN457=1,0,IF($AM457=1,Settings!$C$6,Settings!$C$7))*100)</f>
        <v/>
      </c>
      <c r="AF457" s="7" t="n"/>
      <c r="AI457" s="11" t="n"/>
      <c r="AK457">
        <f>IF($D457="","",IF(COUNTIF($D$2:$D457,$D457)=1,1,0))</f>
        <v/>
      </c>
      <c r="AL457">
        <f>IF($AK457=1,SUMPRODUCT(--($AO$2:$AO$1501&lt;$AO457))+1,"")</f>
        <v/>
      </c>
      <c r="AM457">
        <f>IF($D457="","",IF(OR($R457=TRUE(),$R457="TRUE"),1,0))</f>
        <v/>
      </c>
      <c r="AN457">
        <f>IF($D457="","",IF($AA457="Yes",1,0))</f>
        <v/>
      </c>
      <c r="AO457">
        <f>IF($AK457=1,IFERROR(IF(VALUE($D457)&lt;100000000,VALUE($D457),1000000000),IFERROR(IF(VALUE(MID($D457,2,20))&lt;100000000,VALUE(MID($D457,2,20)),1000000000),1000000000))+ROW()/100000,"")</f>
        <v/>
      </c>
    </row>
    <row r="458">
      <c r="F458" s="11" t="n"/>
      <c r="N458" s="7">
        <f>IF($D458="","",M458*V458/100)</f>
        <v/>
      </c>
      <c r="O458" s="7" t="n"/>
      <c r="U458" s="7" t="n"/>
      <c r="V458" s="7" t="n"/>
      <c r="W458" s="7">
        <f>IF($D458="","",V458*AB458/100)</f>
        <v/>
      </c>
      <c r="X458" s="7">
        <f>IF($D458="","",V458-W458)</f>
        <v/>
      </c>
      <c r="Y458" s="7">
        <f>IF($D458="","",X458-N458)</f>
        <v/>
      </c>
      <c r="AB458">
        <f>IF($D458="","",IF($AN458=1,0,IF($AM458=1,Settings!$C$6,Settings!$C$7))*100)</f>
        <v/>
      </c>
      <c r="AF458" s="7" t="n"/>
      <c r="AI458" s="11" t="n"/>
      <c r="AK458">
        <f>IF($D458="","",IF(COUNTIF($D$2:$D458,$D458)=1,1,0))</f>
        <v/>
      </c>
      <c r="AL458">
        <f>IF($AK458=1,SUMPRODUCT(--($AO$2:$AO$1501&lt;$AO458))+1,"")</f>
        <v/>
      </c>
      <c r="AM458">
        <f>IF($D458="","",IF(OR($R458=TRUE(),$R458="TRUE"),1,0))</f>
        <v/>
      </c>
      <c r="AN458">
        <f>IF($D458="","",IF($AA458="Yes",1,0))</f>
        <v/>
      </c>
      <c r="AO458">
        <f>IF($AK458=1,IFERROR(IF(VALUE($D458)&lt;100000000,VALUE($D458),1000000000),IFERROR(IF(VALUE(MID($D458,2,20))&lt;100000000,VALUE(MID($D458,2,20)),1000000000),1000000000))+ROW()/100000,"")</f>
        <v/>
      </c>
    </row>
    <row r="459">
      <c r="F459" s="11" t="n"/>
      <c r="N459" s="7">
        <f>IF($D459="","",M459*V459/100)</f>
        <v/>
      </c>
      <c r="O459" s="7" t="n"/>
      <c r="U459" s="7" t="n"/>
      <c r="V459" s="7" t="n"/>
      <c r="W459" s="7">
        <f>IF($D459="","",V459*AB459/100)</f>
        <v/>
      </c>
      <c r="X459" s="7">
        <f>IF($D459="","",V459-W459)</f>
        <v/>
      </c>
      <c r="Y459" s="7">
        <f>IF($D459="","",X459-N459)</f>
        <v/>
      </c>
      <c r="AB459">
        <f>IF($D459="","",IF($AN459=1,0,IF($AM459=1,Settings!$C$6,Settings!$C$7))*100)</f>
        <v/>
      </c>
      <c r="AF459" s="7" t="n"/>
      <c r="AI459" s="11" t="n"/>
      <c r="AK459">
        <f>IF($D459="","",IF(COUNTIF($D$2:$D459,$D459)=1,1,0))</f>
        <v/>
      </c>
      <c r="AL459">
        <f>IF($AK459=1,SUMPRODUCT(--($AO$2:$AO$1501&lt;$AO459))+1,"")</f>
        <v/>
      </c>
      <c r="AM459">
        <f>IF($D459="","",IF(OR($R459=TRUE(),$R459="TRUE"),1,0))</f>
        <v/>
      </c>
      <c r="AN459">
        <f>IF($D459="","",IF($AA459="Yes",1,0))</f>
        <v/>
      </c>
      <c r="AO459">
        <f>IF($AK459=1,IFERROR(IF(VALUE($D459)&lt;100000000,VALUE($D459),1000000000),IFERROR(IF(VALUE(MID($D459,2,20))&lt;100000000,VALUE(MID($D459,2,20)),1000000000),1000000000))+ROW()/100000,"")</f>
        <v/>
      </c>
    </row>
    <row r="460">
      <c r="F460" s="11" t="n"/>
      <c r="N460" s="7">
        <f>IF($D460="","",M460*V460/100)</f>
        <v/>
      </c>
      <c r="O460" s="7" t="n"/>
      <c r="U460" s="7" t="n"/>
      <c r="V460" s="7" t="n"/>
      <c r="W460" s="7">
        <f>IF($D460="","",V460*AB460/100)</f>
        <v/>
      </c>
      <c r="X460" s="7">
        <f>IF($D460="","",V460-W460)</f>
        <v/>
      </c>
      <c r="Y460" s="7">
        <f>IF($D460="","",X460-N460)</f>
        <v/>
      </c>
      <c r="AB460">
        <f>IF($D460="","",IF($AN460=1,0,IF($AM460=1,Settings!$C$6,Settings!$C$7))*100)</f>
        <v/>
      </c>
      <c r="AF460" s="7" t="n"/>
      <c r="AI460" s="11" t="n"/>
      <c r="AK460">
        <f>IF($D460="","",IF(COUNTIF($D$2:$D460,$D460)=1,1,0))</f>
        <v/>
      </c>
      <c r="AL460">
        <f>IF($AK460=1,SUMPRODUCT(--($AO$2:$AO$1501&lt;$AO460))+1,"")</f>
        <v/>
      </c>
      <c r="AM460">
        <f>IF($D460="","",IF(OR($R460=TRUE(),$R460="TRUE"),1,0))</f>
        <v/>
      </c>
      <c r="AN460">
        <f>IF($D460="","",IF($AA460="Yes",1,0))</f>
        <v/>
      </c>
      <c r="AO460">
        <f>IF($AK460=1,IFERROR(IF(VALUE($D460)&lt;100000000,VALUE($D460),1000000000),IFERROR(IF(VALUE(MID($D460,2,20))&lt;100000000,VALUE(MID($D460,2,20)),1000000000),1000000000))+ROW()/100000,"")</f>
        <v/>
      </c>
    </row>
    <row r="461">
      <c r="F461" s="11" t="n"/>
      <c r="N461" s="7">
        <f>IF($D461="","",M461*V461/100)</f>
        <v/>
      </c>
      <c r="O461" s="7" t="n"/>
      <c r="U461" s="7" t="n"/>
      <c r="V461" s="7" t="n"/>
      <c r="W461" s="7">
        <f>IF($D461="","",V461*AB461/100)</f>
        <v/>
      </c>
      <c r="X461" s="7">
        <f>IF($D461="","",V461-W461)</f>
        <v/>
      </c>
      <c r="Y461" s="7">
        <f>IF($D461="","",X461-N461)</f>
        <v/>
      </c>
      <c r="AB461">
        <f>IF($D461="","",IF($AN461=1,0,IF($AM461=1,Settings!$C$6,Settings!$C$7))*100)</f>
        <v/>
      </c>
      <c r="AF461" s="7" t="n"/>
      <c r="AI461" s="11" t="n"/>
      <c r="AK461">
        <f>IF($D461="","",IF(COUNTIF($D$2:$D461,$D461)=1,1,0))</f>
        <v/>
      </c>
      <c r="AL461">
        <f>IF($AK461=1,SUMPRODUCT(--($AO$2:$AO$1501&lt;$AO461))+1,"")</f>
        <v/>
      </c>
      <c r="AM461">
        <f>IF($D461="","",IF(OR($R461=TRUE(),$R461="TRUE"),1,0))</f>
        <v/>
      </c>
      <c r="AN461">
        <f>IF($D461="","",IF($AA461="Yes",1,0))</f>
        <v/>
      </c>
      <c r="AO461">
        <f>IF($AK461=1,IFERROR(IF(VALUE($D461)&lt;100000000,VALUE($D461),1000000000),IFERROR(IF(VALUE(MID($D461,2,20))&lt;100000000,VALUE(MID($D461,2,20)),1000000000),1000000000))+ROW()/100000,"")</f>
        <v/>
      </c>
    </row>
    <row r="462">
      <c r="F462" s="11" t="n"/>
      <c r="N462" s="7">
        <f>IF($D462="","",M462*V462/100)</f>
        <v/>
      </c>
      <c r="O462" s="7" t="n"/>
      <c r="U462" s="7" t="n"/>
      <c r="V462" s="7" t="n"/>
      <c r="W462" s="7">
        <f>IF($D462="","",V462*AB462/100)</f>
        <v/>
      </c>
      <c r="X462" s="7">
        <f>IF($D462="","",V462-W462)</f>
        <v/>
      </c>
      <c r="Y462" s="7">
        <f>IF($D462="","",X462-N462)</f>
        <v/>
      </c>
      <c r="AB462">
        <f>IF($D462="","",IF($AN462=1,0,IF($AM462=1,Settings!$C$6,Settings!$C$7))*100)</f>
        <v/>
      </c>
      <c r="AF462" s="7" t="n"/>
      <c r="AI462" s="11" t="n"/>
      <c r="AK462">
        <f>IF($D462="","",IF(COUNTIF($D$2:$D462,$D462)=1,1,0))</f>
        <v/>
      </c>
      <c r="AL462">
        <f>IF($AK462=1,SUMPRODUCT(--($AO$2:$AO$1501&lt;$AO462))+1,"")</f>
        <v/>
      </c>
      <c r="AM462">
        <f>IF($D462="","",IF(OR($R462=TRUE(),$R462="TRUE"),1,0))</f>
        <v/>
      </c>
      <c r="AN462">
        <f>IF($D462="","",IF($AA462="Yes",1,0))</f>
        <v/>
      </c>
      <c r="AO462">
        <f>IF($AK462=1,IFERROR(IF(VALUE($D462)&lt;100000000,VALUE($D462),1000000000),IFERROR(IF(VALUE(MID($D462,2,20))&lt;100000000,VALUE(MID($D462,2,20)),1000000000),1000000000))+ROW()/100000,"")</f>
        <v/>
      </c>
    </row>
    <row r="463">
      <c r="F463" s="11" t="n"/>
      <c r="N463" s="7">
        <f>IF($D463="","",M463*V463/100)</f>
        <v/>
      </c>
      <c r="O463" s="7" t="n"/>
      <c r="U463" s="7" t="n"/>
      <c r="V463" s="7" t="n"/>
      <c r="W463" s="7">
        <f>IF($D463="","",V463*AB463/100)</f>
        <v/>
      </c>
      <c r="X463" s="7">
        <f>IF($D463="","",V463-W463)</f>
        <v/>
      </c>
      <c r="Y463" s="7">
        <f>IF($D463="","",X463-N463)</f>
        <v/>
      </c>
      <c r="AB463">
        <f>IF($D463="","",IF($AN463=1,0,IF($AM463=1,Settings!$C$6,Settings!$C$7))*100)</f>
        <v/>
      </c>
      <c r="AF463" s="7" t="n"/>
      <c r="AI463" s="11" t="n"/>
      <c r="AK463">
        <f>IF($D463="","",IF(COUNTIF($D$2:$D463,$D463)=1,1,0))</f>
        <v/>
      </c>
      <c r="AL463">
        <f>IF($AK463=1,SUMPRODUCT(--($AO$2:$AO$1501&lt;$AO463))+1,"")</f>
        <v/>
      </c>
      <c r="AM463">
        <f>IF($D463="","",IF(OR($R463=TRUE(),$R463="TRUE"),1,0))</f>
        <v/>
      </c>
      <c r="AN463">
        <f>IF($D463="","",IF($AA463="Yes",1,0))</f>
        <v/>
      </c>
      <c r="AO463">
        <f>IF($AK463=1,IFERROR(IF(VALUE($D463)&lt;100000000,VALUE($D463),1000000000),IFERROR(IF(VALUE(MID($D463,2,20))&lt;100000000,VALUE(MID($D463,2,20)),1000000000),1000000000))+ROW()/100000,"")</f>
        <v/>
      </c>
    </row>
    <row r="464">
      <c r="F464" s="11" t="n"/>
      <c r="N464" s="7">
        <f>IF($D464="","",M464*V464/100)</f>
        <v/>
      </c>
      <c r="O464" s="7" t="n"/>
      <c r="U464" s="7" t="n"/>
      <c r="V464" s="7" t="n"/>
      <c r="W464" s="7">
        <f>IF($D464="","",V464*AB464/100)</f>
        <v/>
      </c>
      <c r="X464" s="7">
        <f>IF($D464="","",V464-W464)</f>
        <v/>
      </c>
      <c r="Y464" s="7">
        <f>IF($D464="","",X464-N464)</f>
        <v/>
      </c>
      <c r="AB464">
        <f>IF($D464="","",IF($AN464=1,0,IF($AM464=1,Settings!$C$6,Settings!$C$7))*100)</f>
        <v/>
      </c>
      <c r="AF464" s="7" t="n"/>
      <c r="AI464" s="11" t="n"/>
      <c r="AK464">
        <f>IF($D464="","",IF(COUNTIF($D$2:$D464,$D464)=1,1,0))</f>
        <v/>
      </c>
      <c r="AL464">
        <f>IF($AK464=1,SUMPRODUCT(--($AO$2:$AO$1501&lt;$AO464))+1,"")</f>
        <v/>
      </c>
      <c r="AM464">
        <f>IF($D464="","",IF(OR($R464=TRUE(),$R464="TRUE"),1,0))</f>
        <v/>
      </c>
      <c r="AN464">
        <f>IF($D464="","",IF($AA464="Yes",1,0))</f>
        <v/>
      </c>
      <c r="AO464">
        <f>IF($AK464=1,IFERROR(IF(VALUE($D464)&lt;100000000,VALUE($D464),1000000000),IFERROR(IF(VALUE(MID($D464,2,20))&lt;100000000,VALUE(MID($D464,2,20)),1000000000),1000000000))+ROW()/100000,"")</f>
        <v/>
      </c>
    </row>
    <row r="465">
      <c r="F465" s="11" t="n"/>
      <c r="N465" s="7">
        <f>IF($D465="","",M465*V465/100)</f>
        <v/>
      </c>
      <c r="O465" s="7" t="n"/>
      <c r="U465" s="7" t="n"/>
      <c r="V465" s="7" t="n"/>
      <c r="W465" s="7">
        <f>IF($D465="","",V465*AB465/100)</f>
        <v/>
      </c>
      <c r="X465" s="7">
        <f>IF($D465="","",V465-W465)</f>
        <v/>
      </c>
      <c r="Y465" s="7">
        <f>IF($D465="","",X465-N465)</f>
        <v/>
      </c>
      <c r="AB465">
        <f>IF($D465="","",IF($AN465=1,0,IF($AM465=1,Settings!$C$6,Settings!$C$7))*100)</f>
        <v/>
      </c>
      <c r="AF465" s="7" t="n"/>
      <c r="AI465" s="11" t="n"/>
      <c r="AK465">
        <f>IF($D465="","",IF(COUNTIF($D$2:$D465,$D465)=1,1,0))</f>
        <v/>
      </c>
      <c r="AL465">
        <f>IF($AK465=1,SUMPRODUCT(--($AO$2:$AO$1501&lt;$AO465))+1,"")</f>
        <v/>
      </c>
      <c r="AM465">
        <f>IF($D465="","",IF(OR($R465=TRUE(),$R465="TRUE"),1,0))</f>
        <v/>
      </c>
      <c r="AN465">
        <f>IF($D465="","",IF($AA465="Yes",1,0))</f>
        <v/>
      </c>
      <c r="AO465">
        <f>IF($AK465=1,IFERROR(IF(VALUE($D465)&lt;100000000,VALUE($D465),1000000000),IFERROR(IF(VALUE(MID($D465,2,20))&lt;100000000,VALUE(MID($D465,2,20)),1000000000),1000000000))+ROW()/100000,"")</f>
        <v/>
      </c>
    </row>
    <row r="466">
      <c r="F466" s="11" t="n"/>
      <c r="N466" s="7">
        <f>IF($D466="","",M466*V466/100)</f>
        <v/>
      </c>
      <c r="O466" s="7" t="n"/>
      <c r="U466" s="7" t="n"/>
      <c r="V466" s="7" t="n"/>
      <c r="W466" s="7">
        <f>IF($D466="","",V466*AB466/100)</f>
        <v/>
      </c>
      <c r="X466" s="7">
        <f>IF($D466="","",V466-W466)</f>
        <v/>
      </c>
      <c r="Y466" s="7">
        <f>IF($D466="","",X466-N466)</f>
        <v/>
      </c>
      <c r="AB466">
        <f>IF($D466="","",IF($AN466=1,0,IF($AM466=1,Settings!$C$6,Settings!$C$7))*100)</f>
        <v/>
      </c>
      <c r="AF466" s="7" t="n"/>
      <c r="AI466" s="11" t="n"/>
      <c r="AK466">
        <f>IF($D466="","",IF(COUNTIF($D$2:$D466,$D466)=1,1,0))</f>
        <v/>
      </c>
      <c r="AL466">
        <f>IF($AK466=1,SUMPRODUCT(--($AO$2:$AO$1501&lt;$AO466))+1,"")</f>
        <v/>
      </c>
      <c r="AM466">
        <f>IF($D466="","",IF(OR($R466=TRUE(),$R466="TRUE"),1,0))</f>
        <v/>
      </c>
      <c r="AN466">
        <f>IF($D466="","",IF($AA466="Yes",1,0))</f>
        <v/>
      </c>
      <c r="AO466">
        <f>IF($AK466=1,IFERROR(IF(VALUE($D466)&lt;100000000,VALUE($D466),1000000000),IFERROR(IF(VALUE(MID($D466,2,20))&lt;100000000,VALUE(MID($D466,2,20)),1000000000),1000000000))+ROW()/100000,"")</f>
        <v/>
      </c>
    </row>
    <row r="467">
      <c r="F467" s="11" t="n"/>
      <c r="N467" s="7">
        <f>IF($D467="","",M467*V467/100)</f>
        <v/>
      </c>
      <c r="O467" s="7" t="n"/>
      <c r="U467" s="7" t="n"/>
      <c r="V467" s="7" t="n"/>
      <c r="W467" s="7">
        <f>IF($D467="","",V467*AB467/100)</f>
        <v/>
      </c>
      <c r="X467" s="7">
        <f>IF($D467="","",V467-W467)</f>
        <v/>
      </c>
      <c r="Y467" s="7">
        <f>IF($D467="","",X467-N467)</f>
        <v/>
      </c>
      <c r="AB467">
        <f>IF($D467="","",IF($AN467=1,0,IF($AM467=1,Settings!$C$6,Settings!$C$7))*100)</f>
        <v/>
      </c>
      <c r="AF467" s="7" t="n"/>
      <c r="AI467" s="11" t="n"/>
      <c r="AK467">
        <f>IF($D467="","",IF(COUNTIF($D$2:$D467,$D467)=1,1,0))</f>
        <v/>
      </c>
      <c r="AL467">
        <f>IF($AK467=1,SUMPRODUCT(--($AO$2:$AO$1501&lt;$AO467))+1,"")</f>
        <v/>
      </c>
      <c r="AM467">
        <f>IF($D467="","",IF(OR($R467=TRUE(),$R467="TRUE"),1,0))</f>
        <v/>
      </c>
      <c r="AN467">
        <f>IF($D467="","",IF($AA467="Yes",1,0))</f>
        <v/>
      </c>
      <c r="AO467">
        <f>IF($AK467=1,IFERROR(IF(VALUE($D467)&lt;100000000,VALUE($D467),1000000000),IFERROR(IF(VALUE(MID($D467,2,20))&lt;100000000,VALUE(MID($D467,2,20)),1000000000),1000000000))+ROW()/100000,"")</f>
        <v/>
      </c>
    </row>
    <row r="468">
      <c r="F468" s="11" t="n"/>
      <c r="N468" s="7">
        <f>IF($D468="","",M468*V468/100)</f>
        <v/>
      </c>
      <c r="O468" s="7" t="n"/>
      <c r="U468" s="7" t="n"/>
      <c r="V468" s="7" t="n"/>
      <c r="W468" s="7">
        <f>IF($D468="","",V468*AB468/100)</f>
        <v/>
      </c>
      <c r="X468" s="7">
        <f>IF($D468="","",V468-W468)</f>
        <v/>
      </c>
      <c r="Y468" s="7">
        <f>IF($D468="","",X468-N468)</f>
        <v/>
      </c>
      <c r="AB468">
        <f>IF($D468="","",IF($AN468=1,0,IF($AM468=1,Settings!$C$6,Settings!$C$7))*100)</f>
        <v/>
      </c>
      <c r="AF468" s="7" t="n"/>
      <c r="AI468" s="11" t="n"/>
      <c r="AK468">
        <f>IF($D468="","",IF(COUNTIF($D$2:$D468,$D468)=1,1,0))</f>
        <v/>
      </c>
      <c r="AL468">
        <f>IF($AK468=1,SUMPRODUCT(--($AO$2:$AO$1501&lt;$AO468))+1,"")</f>
        <v/>
      </c>
      <c r="AM468">
        <f>IF($D468="","",IF(OR($R468=TRUE(),$R468="TRUE"),1,0))</f>
        <v/>
      </c>
      <c r="AN468">
        <f>IF($D468="","",IF($AA468="Yes",1,0))</f>
        <v/>
      </c>
      <c r="AO468">
        <f>IF($AK468=1,IFERROR(IF(VALUE($D468)&lt;100000000,VALUE($D468),1000000000),IFERROR(IF(VALUE(MID($D468,2,20))&lt;100000000,VALUE(MID($D468,2,20)),1000000000),1000000000))+ROW()/100000,"")</f>
        <v/>
      </c>
    </row>
    <row r="469">
      <c r="F469" s="11" t="n"/>
      <c r="N469" s="7">
        <f>IF($D469="","",M469*V469/100)</f>
        <v/>
      </c>
      <c r="O469" s="7" t="n"/>
      <c r="U469" s="7" t="n"/>
      <c r="V469" s="7" t="n"/>
      <c r="W469" s="7">
        <f>IF($D469="","",V469*AB469/100)</f>
        <v/>
      </c>
      <c r="X469" s="7">
        <f>IF($D469="","",V469-W469)</f>
        <v/>
      </c>
      <c r="Y469" s="7">
        <f>IF($D469="","",X469-N469)</f>
        <v/>
      </c>
      <c r="AB469">
        <f>IF($D469="","",IF($AN469=1,0,IF($AM469=1,Settings!$C$6,Settings!$C$7))*100)</f>
        <v/>
      </c>
      <c r="AF469" s="7" t="n"/>
      <c r="AI469" s="11" t="n"/>
      <c r="AK469">
        <f>IF($D469="","",IF(COUNTIF($D$2:$D469,$D469)=1,1,0))</f>
        <v/>
      </c>
      <c r="AL469">
        <f>IF($AK469=1,SUMPRODUCT(--($AO$2:$AO$1501&lt;$AO469))+1,"")</f>
        <v/>
      </c>
      <c r="AM469">
        <f>IF($D469="","",IF(OR($R469=TRUE(),$R469="TRUE"),1,0))</f>
        <v/>
      </c>
      <c r="AN469">
        <f>IF($D469="","",IF($AA469="Yes",1,0))</f>
        <v/>
      </c>
      <c r="AO469">
        <f>IF($AK469=1,IFERROR(IF(VALUE($D469)&lt;100000000,VALUE($D469),1000000000),IFERROR(IF(VALUE(MID($D469,2,20))&lt;100000000,VALUE(MID($D469,2,20)),1000000000),1000000000))+ROW()/100000,"")</f>
        <v/>
      </c>
    </row>
    <row r="470">
      <c r="F470" s="11" t="n"/>
      <c r="N470" s="7">
        <f>IF($D470="","",M470*V470/100)</f>
        <v/>
      </c>
      <c r="O470" s="7" t="n"/>
      <c r="U470" s="7" t="n"/>
      <c r="V470" s="7" t="n"/>
      <c r="W470" s="7">
        <f>IF($D470="","",V470*AB470/100)</f>
        <v/>
      </c>
      <c r="X470" s="7">
        <f>IF($D470="","",V470-W470)</f>
        <v/>
      </c>
      <c r="Y470" s="7">
        <f>IF($D470="","",X470-N470)</f>
        <v/>
      </c>
      <c r="AB470">
        <f>IF($D470="","",IF($AN470=1,0,IF($AM470=1,Settings!$C$6,Settings!$C$7))*100)</f>
        <v/>
      </c>
      <c r="AF470" s="7" t="n"/>
      <c r="AI470" s="11" t="n"/>
      <c r="AK470">
        <f>IF($D470="","",IF(COUNTIF($D$2:$D470,$D470)=1,1,0))</f>
        <v/>
      </c>
      <c r="AL470">
        <f>IF($AK470=1,SUMPRODUCT(--($AO$2:$AO$1501&lt;$AO470))+1,"")</f>
        <v/>
      </c>
      <c r="AM470">
        <f>IF($D470="","",IF(OR($R470=TRUE(),$R470="TRUE"),1,0))</f>
        <v/>
      </c>
      <c r="AN470">
        <f>IF($D470="","",IF($AA470="Yes",1,0))</f>
        <v/>
      </c>
      <c r="AO470">
        <f>IF($AK470=1,IFERROR(IF(VALUE($D470)&lt;100000000,VALUE($D470),1000000000),IFERROR(IF(VALUE(MID($D470,2,20))&lt;100000000,VALUE(MID($D470,2,20)),1000000000),1000000000))+ROW()/100000,"")</f>
        <v/>
      </c>
    </row>
    <row r="471">
      <c r="F471" s="11" t="n"/>
      <c r="N471" s="7">
        <f>IF($D471="","",M471*V471/100)</f>
        <v/>
      </c>
      <c r="O471" s="7" t="n"/>
      <c r="U471" s="7" t="n"/>
      <c r="V471" s="7" t="n"/>
      <c r="W471" s="7">
        <f>IF($D471="","",V471*AB471/100)</f>
        <v/>
      </c>
      <c r="X471" s="7">
        <f>IF($D471="","",V471-W471)</f>
        <v/>
      </c>
      <c r="Y471" s="7">
        <f>IF($D471="","",X471-N471)</f>
        <v/>
      </c>
      <c r="AB471">
        <f>IF($D471="","",IF($AN471=1,0,IF($AM471=1,Settings!$C$6,Settings!$C$7))*100)</f>
        <v/>
      </c>
      <c r="AF471" s="7" t="n"/>
      <c r="AI471" s="11" t="n"/>
      <c r="AK471">
        <f>IF($D471="","",IF(COUNTIF($D$2:$D471,$D471)=1,1,0))</f>
        <v/>
      </c>
      <c r="AL471">
        <f>IF($AK471=1,SUMPRODUCT(--($AO$2:$AO$1501&lt;$AO471))+1,"")</f>
        <v/>
      </c>
      <c r="AM471">
        <f>IF($D471="","",IF(OR($R471=TRUE(),$R471="TRUE"),1,0))</f>
        <v/>
      </c>
      <c r="AN471">
        <f>IF($D471="","",IF($AA471="Yes",1,0))</f>
        <v/>
      </c>
      <c r="AO471">
        <f>IF($AK471=1,IFERROR(IF(VALUE($D471)&lt;100000000,VALUE($D471),1000000000),IFERROR(IF(VALUE(MID($D471,2,20))&lt;100000000,VALUE(MID($D471,2,20)),1000000000),1000000000))+ROW()/100000,"")</f>
        <v/>
      </c>
    </row>
    <row r="472">
      <c r="F472" s="11" t="n"/>
      <c r="N472" s="7">
        <f>IF($D472="","",M472*V472/100)</f>
        <v/>
      </c>
      <c r="O472" s="7" t="n"/>
      <c r="U472" s="7" t="n"/>
      <c r="V472" s="7" t="n"/>
      <c r="W472" s="7">
        <f>IF($D472="","",V472*AB472/100)</f>
        <v/>
      </c>
      <c r="X472" s="7">
        <f>IF($D472="","",V472-W472)</f>
        <v/>
      </c>
      <c r="Y472" s="7">
        <f>IF($D472="","",X472-N472)</f>
        <v/>
      </c>
      <c r="AB472">
        <f>IF($D472="","",IF($AN472=1,0,IF($AM472=1,Settings!$C$6,Settings!$C$7))*100)</f>
        <v/>
      </c>
      <c r="AF472" s="7" t="n"/>
      <c r="AI472" s="11" t="n"/>
      <c r="AK472">
        <f>IF($D472="","",IF(COUNTIF($D$2:$D472,$D472)=1,1,0))</f>
        <v/>
      </c>
      <c r="AL472">
        <f>IF($AK472=1,SUMPRODUCT(--($AO$2:$AO$1501&lt;$AO472))+1,"")</f>
        <v/>
      </c>
      <c r="AM472">
        <f>IF($D472="","",IF(OR($R472=TRUE(),$R472="TRUE"),1,0))</f>
        <v/>
      </c>
      <c r="AN472">
        <f>IF($D472="","",IF($AA472="Yes",1,0))</f>
        <v/>
      </c>
      <c r="AO472">
        <f>IF($AK472=1,IFERROR(IF(VALUE($D472)&lt;100000000,VALUE($D472),1000000000),IFERROR(IF(VALUE(MID($D472,2,20))&lt;100000000,VALUE(MID($D472,2,20)),1000000000),1000000000))+ROW()/100000,"")</f>
        <v/>
      </c>
    </row>
    <row r="473">
      <c r="F473" s="11" t="n"/>
      <c r="N473" s="7">
        <f>IF($D473="","",M473*V473/100)</f>
        <v/>
      </c>
      <c r="O473" s="7" t="n"/>
      <c r="U473" s="7" t="n"/>
      <c r="V473" s="7" t="n"/>
      <c r="W473" s="7">
        <f>IF($D473="","",V473*AB473/100)</f>
        <v/>
      </c>
      <c r="X473" s="7">
        <f>IF($D473="","",V473-W473)</f>
        <v/>
      </c>
      <c r="Y473" s="7">
        <f>IF($D473="","",X473-N473)</f>
        <v/>
      </c>
      <c r="AB473">
        <f>IF($D473="","",IF($AN473=1,0,IF($AM473=1,Settings!$C$6,Settings!$C$7))*100)</f>
        <v/>
      </c>
      <c r="AF473" s="7" t="n"/>
      <c r="AI473" s="11" t="n"/>
      <c r="AK473">
        <f>IF($D473="","",IF(COUNTIF($D$2:$D473,$D473)=1,1,0))</f>
        <v/>
      </c>
      <c r="AL473">
        <f>IF($AK473=1,SUMPRODUCT(--($AO$2:$AO$1501&lt;$AO473))+1,"")</f>
        <v/>
      </c>
      <c r="AM473">
        <f>IF($D473="","",IF(OR($R473=TRUE(),$R473="TRUE"),1,0))</f>
        <v/>
      </c>
      <c r="AN473">
        <f>IF($D473="","",IF($AA473="Yes",1,0))</f>
        <v/>
      </c>
      <c r="AO473">
        <f>IF($AK473=1,IFERROR(IF(VALUE($D473)&lt;100000000,VALUE($D473),1000000000),IFERROR(IF(VALUE(MID($D473,2,20))&lt;100000000,VALUE(MID($D473,2,20)),1000000000),1000000000))+ROW()/100000,"")</f>
        <v/>
      </c>
    </row>
    <row r="474">
      <c r="F474" s="11" t="n"/>
      <c r="N474" s="7">
        <f>IF($D474="","",M474*V474/100)</f>
        <v/>
      </c>
      <c r="O474" s="7" t="n"/>
      <c r="U474" s="7" t="n"/>
      <c r="V474" s="7" t="n"/>
      <c r="W474" s="7">
        <f>IF($D474="","",V474*AB474/100)</f>
        <v/>
      </c>
      <c r="X474" s="7">
        <f>IF($D474="","",V474-W474)</f>
        <v/>
      </c>
      <c r="Y474" s="7">
        <f>IF($D474="","",X474-N474)</f>
        <v/>
      </c>
      <c r="AB474">
        <f>IF($D474="","",IF($AN474=1,0,IF($AM474=1,Settings!$C$6,Settings!$C$7))*100)</f>
        <v/>
      </c>
      <c r="AF474" s="7" t="n"/>
      <c r="AI474" s="11" t="n"/>
      <c r="AK474">
        <f>IF($D474="","",IF(COUNTIF($D$2:$D474,$D474)=1,1,0))</f>
        <v/>
      </c>
      <c r="AL474">
        <f>IF($AK474=1,SUMPRODUCT(--($AO$2:$AO$1501&lt;$AO474))+1,"")</f>
        <v/>
      </c>
      <c r="AM474">
        <f>IF($D474="","",IF(OR($R474=TRUE(),$R474="TRUE"),1,0))</f>
        <v/>
      </c>
      <c r="AN474">
        <f>IF($D474="","",IF($AA474="Yes",1,0))</f>
        <v/>
      </c>
      <c r="AO474">
        <f>IF($AK474=1,IFERROR(IF(VALUE($D474)&lt;100000000,VALUE($D474),1000000000),IFERROR(IF(VALUE(MID($D474,2,20))&lt;100000000,VALUE(MID($D474,2,20)),1000000000),1000000000))+ROW()/100000,"")</f>
        <v/>
      </c>
    </row>
    <row r="475">
      <c r="F475" s="11" t="n"/>
      <c r="N475" s="7">
        <f>IF($D475="","",M475*V475/100)</f>
        <v/>
      </c>
      <c r="O475" s="7" t="n"/>
      <c r="U475" s="7" t="n"/>
      <c r="V475" s="7" t="n"/>
      <c r="W475" s="7">
        <f>IF($D475="","",V475*AB475/100)</f>
        <v/>
      </c>
      <c r="X475" s="7">
        <f>IF($D475="","",V475-W475)</f>
        <v/>
      </c>
      <c r="Y475" s="7">
        <f>IF($D475="","",X475-N475)</f>
        <v/>
      </c>
      <c r="AB475">
        <f>IF($D475="","",IF($AN475=1,0,IF($AM475=1,Settings!$C$6,Settings!$C$7))*100)</f>
        <v/>
      </c>
      <c r="AF475" s="7" t="n"/>
      <c r="AI475" s="11" t="n"/>
      <c r="AK475">
        <f>IF($D475="","",IF(COUNTIF($D$2:$D475,$D475)=1,1,0))</f>
        <v/>
      </c>
      <c r="AL475">
        <f>IF($AK475=1,SUMPRODUCT(--($AO$2:$AO$1501&lt;$AO475))+1,"")</f>
        <v/>
      </c>
      <c r="AM475">
        <f>IF($D475="","",IF(OR($R475=TRUE(),$R475="TRUE"),1,0))</f>
        <v/>
      </c>
      <c r="AN475">
        <f>IF($D475="","",IF($AA475="Yes",1,0))</f>
        <v/>
      </c>
      <c r="AO475">
        <f>IF($AK475=1,IFERROR(IF(VALUE($D475)&lt;100000000,VALUE($D475),1000000000),IFERROR(IF(VALUE(MID($D475,2,20))&lt;100000000,VALUE(MID($D475,2,20)),1000000000),1000000000))+ROW()/100000,"")</f>
        <v/>
      </c>
    </row>
    <row r="476">
      <c r="F476" s="11" t="n"/>
      <c r="N476" s="7">
        <f>IF($D476="","",M476*V476/100)</f>
        <v/>
      </c>
      <c r="O476" s="7" t="n"/>
      <c r="U476" s="7" t="n"/>
      <c r="V476" s="7" t="n"/>
      <c r="W476" s="7">
        <f>IF($D476="","",V476*AB476/100)</f>
        <v/>
      </c>
      <c r="X476" s="7">
        <f>IF($D476="","",V476-W476)</f>
        <v/>
      </c>
      <c r="Y476" s="7">
        <f>IF($D476="","",X476-N476)</f>
        <v/>
      </c>
      <c r="AB476">
        <f>IF($D476="","",IF($AN476=1,0,IF($AM476=1,Settings!$C$6,Settings!$C$7))*100)</f>
        <v/>
      </c>
      <c r="AF476" s="7" t="n"/>
      <c r="AI476" s="11" t="n"/>
      <c r="AK476">
        <f>IF($D476="","",IF(COUNTIF($D$2:$D476,$D476)=1,1,0))</f>
        <v/>
      </c>
      <c r="AL476">
        <f>IF($AK476=1,SUMPRODUCT(--($AO$2:$AO$1501&lt;$AO476))+1,"")</f>
        <v/>
      </c>
      <c r="AM476">
        <f>IF($D476="","",IF(OR($R476=TRUE(),$R476="TRUE"),1,0))</f>
        <v/>
      </c>
      <c r="AN476">
        <f>IF($D476="","",IF($AA476="Yes",1,0))</f>
        <v/>
      </c>
      <c r="AO476">
        <f>IF($AK476=1,IFERROR(IF(VALUE($D476)&lt;100000000,VALUE($D476),1000000000),IFERROR(IF(VALUE(MID($D476,2,20))&lt;100000000,VALUE(MID($D476,2,20)),1000000000),1000000000))+ROW()/100000,"")</f>
        <v/>
      </c>
    </row>
    <row r="477">
      <c r="F477" s="11" t="n"/>
      <c r="N477" s="7">
        <f>IF($D477="","",M477*V477/100)</f>
        <v/>
      </c>
      <c r="O477" s="7" t="n"/>
      <c r="U477" s="7" t="n"/>
      <c r="V477" s="7" t="n"/>
      <c r="W477" s="7">
        <f>IF($D477="","",V477*AB477/100)</f>
        <v/>
      </c>
      <c r="X477" s="7">
        <f>IF($D477="","",V477-W477)</f>
        <v/>
      </c>
      <c r="Y477" s="7">
        <f>IF($D477="","",X477-N477)</f>
        <v/>
      </c>
      <c r="AB477">
        <f>IF($D477="","",IF($AN477=1,0,IF($AM477=1,Settings!$C$6,Settings!$C$7))*100)</f>
        <v/>
      </c>
      <c r="AF477" s="7" t="n"/>
      <c r="AI477" s="11" t="n"/>
      <c r="AK477">
        <f>IF($D477="","",IF(COUNTIF($D$2:$D477,$D477)=1,1,0))</f>
        <v/>
      </c>
      <c r="AL477">
        <f>IF($AK477=1,SUMPRODUCT(--($AO$2:$AO$1501&lt;$AO477))+1,"")</f>
        <v/>
      </c>
      <c r="AM477">
        <f>IF($D477="","",IF(OR($R477=TRUE(),$R477="TRUE"),1,0))</f>
        <v/>
      </c>
      <c r="AN477">
        <f>IF($D477="","",IF($AA477="Yes",1,0))</f>
        <v/>
      </c>
      <c r="AO477">
        <f>IF($AK477=1,IFERROR(IF(VALUE($D477)&lt;100000000,VALUE($D477),1000000000),IFERROR(IF(VALUE(MID($D477,2,20))&lt;100000000,VALUE(MID($D477,2,20)),1000000000),1000000000))+ROW()/100000,"")</f>
        <v/>
      </c>
    </row>
    <row r="478">
      <c r="F478" s="11" t="n"/>
      <c r="N478" s="7">
        <f>IF($D478="","",M478*V478/100)</f>
        <v/>
      </c>
      <c r="O478" s="7" t="n"/>
      <c r="U478" s="7" t="n"/>
      <c r="V478" s="7" t="n"/>
      <c r="W478" s="7">
        <f>IF($D478="","",V478*AB478/100)</f>
        <v/>
      </c>
      <c r="X478" s="7">
        <f>IF($D478="","",V478-W478)</f>
        <v/>
      </c>
      <c r="Y478" s="7">
        <f>IF($D478="","",X478-N478)</f>
        <v/>
      </c>
      <c r="AB478">
        <f>IF($D478="","",IF($AN478=1,0,IF($AM478=1,Settings!$C$6,Settings!$C$7))*100)</f>
        <v/>
      </c>
      <c r="AF478" s="7" t="n"/>
      <c r="AI478" s="11" t="n"/>
      <c r="AK478">
        <f>IF($D478="","",IF(COUNTIF($D$2:$D478,$D478)=1,1,0))</f>
        <v/>
      </c>
      <c r="AL478">
        <f>IF($AK478=1,SUMPRODUCT(--($AO$2:$AO$1501&lt;$AO478))+1,"")</f>
        <v/>
      </c>
      <c r="AM478">
        <f>IF($D478="","",IF(OR($R478=TRUE(),$R478="TRUE"),1,0))</f>
        <v/>
      </c>
      <c r="AN478">
        <f>IF($D478="","",IF($AA478="Yes",1,0))</f>
        <v/>
      </c>
      <c r="AO478">
        <f>IF($AK478=1,IFERROR(IF(VALUE($D478)&lt;100000000,VALUE($D478),1000000000),IFERROR(IF(VALUE(MID($D478,2,20))&lt;100000000,VALUE(MID($D478,2,20)),1000000000),1000000000))+ROW()/100000,"")</f>
        <v/>
      </c>
    </row>
    <row r="479">
      <c r="F479" s="11" t="n"/>
      <c r="N479" s="7">
        <f>IF($D479="","",M479*V479/100)</f>
        <v/>
      </c>
      <c r="O479" s="7" t="n"/>
      <c r="U479" s="7" t="n"/>
      <c r="V479" s="7" t="n"/>
      <c r="W479" s="7">
        <f>IF($D479="","",V479*AB479/100)</f>
        <v/>
      </c>
      <c r="X479" s="7">
        <f>IF($D479="","",V479-W479)</f>
        <v/>
      </c>
      <c r="Y479" s="7">
        <f>IF($D479="","",X479-N479)</f>
        <v/>
      </c>
      <c r="AB479">
        <f>IF($D479="","",IF($AN479=1,0,IF($AM479=1,Settings!$C$6,Settings!$C$7))*100)</f>
        <v/>
      </c>
      <c r="AF479" s="7" t="n"/>
      <c r="AI479" s="11" t="n"/>
      <c r="AK479">
        <f>IF($D479="","",IF(COUNTIF($D$2:$D479,$D479)=1,1,0))</f>
        <v/>
      </c>
      <c r="AL479">
        <f>IF($AK479=1,SUMPRODUCT(--($AO$2:$AO$1501&lt;$AO479))+1,"")</f>
        <v/>
      </c>
      <c r="AM479">
        <f>IF($D479="","",IF(OR($R479=TRUE(),$R479="TRUE"),1,0))</f>
        <v/>
      </c>
      <c r="AN479">
        <f>IF($D479="","",IF($AA479="Yes",1,0))</f>
        <v/>
      </c>
      <c r="AO479">
        <f>IF($AK479=1,IFERROR(IF(VALUE($D479)&lt;100000000,VALUE($D479),1000000000),IFERROR(IF(VALUE(MID($D479,2,20))&lt;100000000,VALUE(MID($D479,2,20)),1000000000),1000000000))+ROW()/100000,"")</f>
        <v/>
      </c>
    </row>
    <row r="480">
      <c r="F480" s="11" t="n"/>
      <c r="N480" s="7">
        <f>IF($D480="","",M480*V480/100)</f>
        <v/>
      </c>
      <c r="O480" s="7" t="n"/>
      <c r="U480" s="7" t="n"/>
      <c r="V480" s="7" t="n"/>
      <c r="W480" s="7">
        <f>IF($D480="","",V480*AB480/100)</f>
        <v/>
      </c>
      <c r="X480" s="7">
        <f>IF($D480="","",V480-W480)</f>
        <v/>
      </c>
      <c r="Y480" s="7">
        <f>IF($D480="","",X480-N480)</f>
        <v/>
      </c>
      <c r="AB480">
        <f>IF($D480="","",IF($AN480=1,0,IF($AM480=1,Settings!$C$6,Settings!$C$7))*100)</f>
        <v/>
      </c>
      <c r="AF480" s="7" t="n"/>
      <c r="AI480" s="11" t="n"/>
      <c r="AK480">
        <f>IF($D480="","",IF(COUNTIF($D$2:$D480,$D480)=1,1,0))</f>
        <v/>
      </c>
      <c r="AL480">
        <f>IF($AK480=1,SUMPRODUCT(--($AO$2:$AO$1501&lt;$AO480))+1,"")</f>
        <v/>
      </c>
      <c r="AM480">
        <f>IF($D480="","",IF(OR($R480=TRUE(),$R480="TRUE"),1,0))</f>
        <v/>
      </c>
      <c r="AN480">
        <f>IF($D480="","",IF($AA480="Yes",1,0))</f>
        <v/>
      </c>
      <c r="AO480">
        <f>IF($AK480=1,IFERROR(IF(VALUE($D480)&lt;100000000,VALUE($D480),1000000000),IFERROR(IF(VALUE(MID($D480,2,20))&lt;100000000,VALUE(MID($D480,2,20)),1000000000),1000000000))+ROW()/100000,"")</f>
        <v/>
      </c>
    </row>
    <row r="481">
      <c r="F481" s="11" t="n"/>
      <c r="N481" s="7">
        <f>IF($D481="","",M481*V481/100)</f>
        <v/>
      </c>
      <c r="O481" s="7" t="n"/>
      <c r="U481" s="7" t="n"/>
      <c r="V481" s="7" t="n"/>
      <c r="W481" s="7">
        <f>IF($D481="","",V481*AB481/100)</f>
        <v/>
      </c>
      <c r="X481" s="7">
        <f>IF($D481="","",V481-W481)</f>
        <v/>
      </c>
      <c r="Y481" s="7">
        <f>IF($D481="","",X481-N481)</f>
        <v/>
      </c>
      <c r="AB481">
        <f>IF($D481="","",IF($AN481=1,0,IF($AM481=1,Settings!$C$6,Settings!$C$7))*100)</f>
        <v/>
      </c>
      <c r="AF481" s="7" t="n"/>
      <c r="AI481" s="11" t="n"/>
      <c r="AK481">
        <f>IF($D481="","",IF(COUNTIF($D$2:$D481,$D481)=1,1,0))</f>
        <v/>
      </c>
      <c r="AL481">
        <f>IF($AK481=1,SUMPRODUCT(--($AO$2:$AO$1501&lt;$AO481))+1,"")</f>
        <v/>
      </c>
      <c r="AM481">
        <f>IF($D481="","",IF(OR($R481=TRUE(),$R481="TRUE"),1,0))</f>
        <v/>
      </c>
      <c r="AN481">
        <f>IF($D481="","",IF($AA481="Yes",1,0))</f>
        <v/>
      </c>
      <c r="AO481">
        <f>IF($AK481=1,IFERROR(IF(VALUE($D481)&lt;100000000,VALUE($D481),1000000000),IFERROR(IF(VALUE(MID($D481,2,20))&lt;100000000,VALUE(MID($D481,2,20)),1000000000),1000000000))+ROW()/100000,"")</f>
        <v/>
      </c>
    </row>
    <row r="482">
      <c r="F482" s="11" t="n"/>
      <c r="N482" s="7">
        <f>IF($D482="","",M482*V482/100)</f>
        <v/>
      </c>
      <c r="O482" s="7" t="n"/>
      <c r="U482" s="7" t="n"/>
      <c r="V482" s="7" t="n"/>
      <c r="W482" s="7">
        <f>IF($D482="","",V482*AB482/100)</f>
        <v/>
      </c>
      <c r="X482" s="7">
        <f>IF($D482="","",V482-W482)</f>
        <v/>
      </c>
      <c r="Y482" s="7">
        <f>IF($D482="","",X482-N482)</f>
        <v/>
      </c>
      <c r="AB482">
        <f>IF($D482="","",IF($AN482=1,0,IF($AM482=1,Settings!$C$6,Settings!$C$7))*100)</f>
        <v/>
      </c>
      <c r="AF482" s="7" t="n"/>
      <c r="AI482" s="11" t="n"/>
      <c r="AK482">
        <f>IF($D482="","",IF(COUNTIF($D$2:$D482,$D482)=1,1,0))</f>
        <v/>
      </c>
      <c r="AL482">
        <f>IF($AK482=1,SUMPRODUCT(--($AO$2:$AO$1501&lt;$AO482))+1,"")</f>
        <v/>
      </c>
      <c r="AM482">
        <f>IF($D482="","",IF(OR($R482=TRUE(),$R482="TRUE"),1,0))</f>
        <v/>
      </c>
      <c r="AN482">
        <f>IF($D482="","",IF($AA482="Yes",1,0))</f>
        <v/>
      </c>
      <c r="AO482">
        <f>IF($AK482=1,IFERROR(IF(VALUE($D482)&lt;100000000,VALUE($D482),1000000000),IFERROR(IF(VALUE(MID($D482,2,20))&lt;100000000,VALUE(MID($D482,2,20)),1000000000),1000000000))+ROW()/100000,"")</f>
        <v/>
      </c>
    </row>
    <row r="483">
      <c r="F483" s="11" t="n"/>
      <c r="N483" s="7">
        <f>IF($D483="","",M483*V483/100)</f>
        <v/>
      </c>
      <c r="O483" s="7" t="n"/>
      <c r="U483" s="7" t="n"/>
      <c r="V483" s="7" t="n"/>
      <c r="W483" s="7">
        <f>IF($D483="","",V483*AB483/100)</f>
        <v/>
      </c>
      <c r="X483" s="7">
        <f>IF($D483="","",V483-W483)</f>
        <v/>
      </c>
      <c r="Y483" s="7">
        <f>IF($D483="","",X483-N483)</f>
        <v/>
      </c>
      <c r="AB483">
        <f>IF($D483="","",IF($AN483=1,0,IF($AM483=1,Settings!$C$6,Settings!$C$7))*100)</f>
        <v/>
      </c>
      <c r="AF483" s="7" t="n"/>
      <c r="AI483" s="11" t="n"/>
      <c r="AK483">
        <f>IF($D483="","",IF(COUNTIF($D$2:$D483,$D483)=1,1,0))</f>
        <v/>
      </c>
      <c r="AL483">
        <f>IF($AK483=1,SUMPRODUCT(--($AO$2:$AO$1501&lt;$AO483))+1,"")</f>
        <v/>
      </c>
      <c r="AM483">
        <f>IF($D483="","",IF(OR($R483=TRUE(),$R483="TRUE"),1,0))</f>
        <v/>
      </c>
      <c r="AN483">
        <f>IF($D483="","",IF($AA483="Yes",1,0))</f>
        <v/>
      </c>
      <c r="AO483">
        <f>IF($AK483=1,IFERROR(IF(VALUE($D483)&lt;100000000,VALUE($D483),1000000000),IFERROR(IF(VALUE(MID($D483,2,20))&lt;100000000,VALUE(MID($D483,2,20)),1000000000),1000000000))+ROW()/100000,"")</f>
        <v/>
      </c>
    </row>
    <row r="484">
      <c r="F484" s="11" t="n"/>
      <c r="N484" s="7">
        <f>IF($D484="","",M484*V484/100)</f>
        <v/>
      </c>
      <c r="O484" s="7" t="n"/>
      <c r="U484" s="7" t="n"/>
      <c r="V484" s="7" t="n"/>
      <c r="W484" s="7">
        <f>IF($D484="","",V484*AB484/100)</f>
        <v/>
      </c>
      <c r="X484" s="7">
        <f>IF($D484="","",V484-W484)</f>
        <v/>
      </c>
      <c r="Y484" s="7">
        <f>IF($D484="","",X484-N484)</f>
        <v/>
      </c>
      <c r="AB484">
        <f>IF($D484="","",IF($AN484=1,0,IF($AM484=1,Settings!$C$6,Settings!$C$7))*100)</f>
        <v/>
      </c>
      <c r="AF484" s="7" t="n"/>
      <c r="AI484" s="11" t="n"/>
      <c r="AK484">
        <f>IF($D484="","",IF(COUNTIF($D$2:$D484,$D484)=1,1,0))</f>
        <v/>
      </c>
      <c r="AL484">
        <f>IF($AK484=1,SUMPRODUCT(--($AO$2:$AO$1501&lt;$AO484))+1,"")</f>
        <v/>
      </c>
      <c r="AM484">
        <f>IF($D484="","",IF(OR($R484=TRUE(),$R484="TRUE"),1,0))</f>
        <v/>
      </c>
      <c r="AN484">
        <f>IF($D484="","",IF($AA484="Yes",1,0))</f>
        <v/>
      </c>
      <c r="AO484">
        <f>IF($AK484=1,IFERROR(IF(VALUE($D484)&lt;100000000,VALUE($D484),1000000000),IFERROR(IF(VALUE(MID($D484,2,20))&lt;100000000,VALUE(MID($D484,2,20)),1000000000),1000000000))+ROW()/100000,"")</f>
        <v/>
      </c>
    </row>
    <row r="485">
      <c r="F485" s="11" t="n"/>
      <c r="N485" s="7">
        <f>IF($D485="","",M485*V485/100)</f>
        <v/>
      </c>
      <c r="O485" s="7" t="n"/>
      <c r="U485" s="7" t="n"/>
      <c r="V485" s="7" t="n"/>
      <c r="W485" s="7">
        <f>IF($D485="","",V485*AB485/100)</f>
        <v/>
      </c>
      <c r="X485" s="7">
        <f>IF($D485="","",V485-W485)</f>
        <v/>
      </c>
      <c r="Y485" s="7">
        <f>IF($D485="","",X485-N485)</f>
        <v/>
      </c>
      <c r="AB485">
        <f>IF($D485="","",IF($AN485=1,0,IF($AM485=1,Settings!$C$6,Settings!$C$7))*100)</f>
        <v/>
      </c>
      <c r="AF485" s="7" t="n"/>
      <c r="AI485" s="11" t="n"/>
      <c r="AK485">
        <f>IF($D485="","",IF(COUNTIF($D$2:$D485,$D485)=1,1,0))</f>
        <v/>
      </c>
      <c r="AL485">
        <f>IF($AK485=1,SUMPRODUCT(--($AO$2:$AO$1501&lt;$AO485))+1,"")</f>
        <v/>
      </c>
      <c r="AM485">
        <f>IF($D485="","",IF(OR($R485=TRUE(),$R485="TRUE"),1,0))</f>
        <v/>
      </c>
      <c r="AN485">
        <f>IF($D485="","",IF($AA485="Yes",1,0))</f>
        <v/>
      </c>
      <c r="AO485">
        <f>IF($AK485=1,IFERROR(IF(VALUE($D485)&lt;100000000,VALUE($D485),1000000000),IFERROR(IF(VALUE(MID($D485,2,20))&lt;100000000,VALUE(MID($D485,2,20)),1000000000),1000000000))+ROW()/100000,"")</f>
        <v/>
      </c>
    </row>
    <row r="486">
      <c r="F486" s="11" t="n"/>
      <c r="N486" s="7">
        <f>IF($D486="","",M486*V486/100)</f>
        <v/>
      </c>
      <c r="O486" s="7" t="n"/>
      <c r="U486" s="7" t="n"/>
      <c r="V486" s="7" t="n"/>
      <c r="W486" s="7">
        <f>IF($D486="","",V486*AB486/100)</f>
        <v/>
      </c>
      <c r="X486" s="7">
        <f>IF($D486="","",V486-W486)</f>
        <v/>
      </c>
      <c r="Y486" s="7">
        <f>IF($D486="","",X486-N486)</f>
        <v/>
      </c>
      <c r="AB486">
        <f>IF($D486="","",IF($AN486=1,0,IF($AM486=1,Settings!$C$6,Settings!$C$7))*100)</f>
        <v/>
      </c>
      <c r="AF486" s="7" t="n"/>
      <c r="AI486" s="11" t="n"/>
      <c r="AK486">
        <f>IF($D486="","",IF(COUNTIF($D$2:$D486,$D486)=1,1,0))</f>
        <v/>
      </c>
      <c r="AL486">
        <f>IF($AK486=1,SUMPRODUCT(--($AO$2:$AO$1501&lt;$AO486))+1,"")</f>
        <v/>
      </c>
      <c r="AM486">
        <f>IF($D486="","",IF(OR($R486=TRUE(),$R486="TRUE"),1,0))</f>
        <v/>
      </c>
      <c r="AN486">
        <f>IF($D486="","",IF($AA486="Yes",1,0))</f>
        <v/>
      </c>
      <c r="AO486">
        <f>IF($AK486=1,IFERROR(IF(VALUE($D486)&lt;100000000,VALUE($D486),1000000000),IFERROR(IF(VALUE(MID($D486,2,20))&lt;100000000,VALUE(MID($D486,2,20)),1000000000),1000000000))+ROW()/100000,"")</f>
        <v/>
      </c>
    </row>
    <row r="487">
      <c r="F487" s="11" t="n"/>
      <c r="N487" s="7">
        <f>IF($D487="","",M487*V487/100)</f>
        <v/>
      </c>
      <c r="O487" s="7" t="n"/>
      <c r="U487" s="7" t="n"/>
      <c r="V487" s="7" t="n"/>
      <c r="W487" s="7">
        <f>IF($D487="","",V487*AB487/100)</f>
        <v/>
      </c>
      <c r="X487" s="7">
        <f>IF($D487="","",V487-W487)</f>
        <v/>
      </c>
      <c r="Y487" s="7">
        <f>IF($D487="","",X487-N487)</f>
        <v/>
      </c>
      <c r="AB487">
        <f>IF($D487="","",IF($AN487=1,0,IF($AM487=1,Settings!$C$6,Settings!$C$7))*100)</f>
        <v/>
      </c>
      <c r="AF487" s="7" t="n"/>
      <c r="AI487" s="11" t="n"/>
      <c r="AK487">
        <f>IF($D487="","",IF(COUNTIF($D$2:$D487,$D487)=1,1,0))</f>
        <v/>
      </c>
      <c r="AL487">
        <f>IF($AK487=1,SUMPRODUCT(--($AO$2:$AO$1501&lt;$AO487))+1,"")</f>
        <v/>
      </c>
      <c r="AM487">
        <f>IF($D487="","",IF(OR($R487=TRUE(),$R487="TRUE"),1,0))</f>
        <v/>
      </c>
      <c r="AN487">
        <f>IF($D487="","",IF($AA487="Yes",1,0))</f>
        <v/>
      </c>
      <c r="AO487">
        <f>IF($AK487=1,IFERROR(IF(VALUE($D487)&lt;100000000,VALUE($D487),1000000000),IFERROR(IF(VALUE(MID($D487,2,20))&lt;100000000,VALUE(MID($D487,2,20)),1000000000),1000000000))+ROW()/100000,"")</f>
        <v/>
      </c>
    </row>
    <row r="488">
      <c r="F488" s="11" t="n"/>
      <c r="N488" s="7">
        <f>IF($D488="","",M488*V488/100)</f>
        <v/>
      </c>
      <c r="O488" s="7" t="n"/>
      <c r="U488" s="7" t="n"/>
      <c r="V488" s="7" t="n"/>
      <c r="W488" s="7">
        <f>IF($D488="","",V488*AB488/100)</f>
        <v/>
      </c>
      <c r="X488" s="7">
        <f>IF($D488="","",V488-W488)</f>
        <v/>
      </c>
      <c r="Y488" s="7">
        <f>IF($D488="","",X488-N488)</f>
        <v/>
      </c>
      <c r="AB488">
        <f>IF($D488="","",IF($AN488=1,0,IF($AM488=1,Settings!$C$6,Settings!$C$7))*100)</f>
        <v/>
      </c>
      <c r="AF488" s="7" t="n"/>
      <c r="AI488" s="11" t="n"/>
      <c r="AK488">
        <f>IF($D488="","",IF(COUNTIF($D$2:$D488,$D488)=1,1,0))</f>
        <v/>
      </c>
      <c r="AL488">
        <f>IF($AK488=1,SUMPRODUCT(--($AO$2:$AO$1501&lt;$AO488))+1,"")</f>
        <v/>
      </c>
      <c r="AM488">
        <f>IF($D488="","",IF(OR($R488=TRUE(),$R488="TRUE"),1,0))</f>
        <v/>
      </c>
      <c r="AN488">
        <f>IF($D488="","",IF($AA488="Yes",1,0))</f>
        <v/>
      </c>
      <c r="AO488">
        <f>IF($AK488=1,IFERROR(IF(VALUE($D488)&lt;100000000,VALUE($D488),1000000000),IFERROR(IF(VALUE(MID($D488,2,20))&lt;100000000,VALUE(MID($D488,2,20)),1000000000),1000000000))+ROW()/100000,"")</f>
        <v/>
      </c>
    </row>
    <row r="489">
      <c r="F489" s="11" t="n"/>
      <c r="N489" s="7">
        <f>IF($D489="","",M489*V489/100)</f>
        <v/>
      </c>
      <c r="O489" s="7" t="n"/>
      <c r="U489" s="7" t="n"/>
      <c r="V489" s="7" t="n"/>
      <c r="W489" s="7">
        <f>IF($D489="","",V489*AB489/100)</f>
        <v/>
      </c>
      <c r="X489" s="7">
        <f>IF($D489="","",V489-W489)</f>
        <v/>
      </c>
      <c r="Y489" s="7">
        <f>IF($D489="","",X489-N489)</f>
        <v/>
      </c>
      <c r="AB489">
        <f>IF($D489="","",IF($AN489=1,0,IF($AM489=1,Settings!$C$6,Settings!$C$7))*100)</f>
        <v/>
      </c>
      <c r="AF489" s="7" t="n"/>
      <c r="AI489" s="11" t="n"/>
      <c r="AK489">
        <f>IF($D489="","",IF(COUNTIF($D$2:$D489,$D489)=1,1,0))</f>
        <v/>
      </c>
      <c r="AL489">
        <f>IF($AK489=1,SUMPRODUCT(--($AO$2:$AO$1501&lt;$AO489))+1,"")</f>
        <v/>
      </c>
      <c r="AM489">
        <f>IF($D489="","",IF(OR($R489=TRUE(),$R489="TRUE"),1,0))</f>
        <v/>
      </c>
      <c r="AN489">
        <f>IF($D489="","",IF($AA489="Yes",1,0))</f>
        <v/>
      </c>
      <c r="AO489">
        <f>IF($AK489=1,IFERROR(IF(VALUE($D489)&lt;100000000,VALUE($D489),1000000000),IFERROR(IF(VALUE(MID($D489,2,20))&lt;100000000,VALUE(MID($D489,2,20)),1000000000),1000000000))+ROW()/100000,"")</f>
        <v/>
      </c>
    </row>
    <row r="490">
      <c r="F490" s="11" t="n"/>
      <c r="N490" s="7">
        <f>IF($D490="","",M490*V490/100)</f>
        <v/>
      </c>
      <c r="O490" s="7" t="n"/>
      <c r="U490" s="7" t="n"/>
      <c r="V490" s="7" t="n"/>
      <c r="W490" s="7">
        <f>IF($D490="","",V490*AB490/100)</f>
        <v/>
      </c>
      <c r="X490" s="7">
        <f>IF($D490="","",V490-W490)</f>
        <v/>
      </c>
      <c r="Y490" s="7">
        <f>IF($D490="","",X490-N490)</f>
        <v/>
      </c>
      <c r="AB490">
        <f>IF($D490="","",IF($AN490=1,0,IF($AM490=1,Settings!$C$6,Settings!$C$7))*100)</f>
        <v/>
      </c>
      <c r="AF490" s="7" t="n"/>
      <c r="AI490" s="11" t="n"/>
      <c r="AK490">
        <f>IF($D490="","",IF(COUNTIF($D$2:$D490,$D490)=1,1,0))</f>
        <v/>
      </c>
      <c r="AL490">
        <f>IF($AK490=1,SUMPRODUCT(--($AO$2:$AO$1501&lt;$AO490))+1,"")</f>
        <v/>
      </c>
      <c r="AM490">
        <f>IF($D490="","",IF(OR($R490=TRUE(),$R490="TRUE"),1,0))</f>
        <v/>
      </c>
      <c r="AN490">
        <f>IF($D490="","",IF($AA490="Yes",1,0))</f>
        <v/>
      </c>
      <c r="AO490">
        <f>IF($AK490=1,IFERROR(IF(VALUE($D490)&lt;100000000,VALUE($D490),1000000000),IFERROR(IF(VALUE(MID($D490,2,20))&lt;100000000,VALUE(MID($D490,2,20)),1000000000),1000000000))+ROW()/100000,"")</f>
        <v/>
      </c>
    </row>
    <row r="491">
      <c r="F491" s="11" t="n"/>
      <c r="N491" s="7">
        <f>IF($D491="","",M491*V491/100)</f>
        <v/>
      </c>
      <c r="O491" s="7" t="n"/>
      <c r="U491" s="7" t="n"/>
      <c r="V491" s="7" t="n"/>
      <c r="W491" s="7">
        <f>IF($D491="","",V491*AB491/100)</f>
        <v/>
      </c>
      <c r="X491" s="7">
        <f>IF($D491="","",V491-W491)</f>
        <v/>
      </c>
      <c r="Y491" s="7">
        <f>IF($D491="","",X491-N491)</f>
        <v/>
      </c>
      <c r="AB491">
        <f>IF($D491="","",IF($AN491=1,0,IF($AM491=1,Settings!$C$6,Settings!$C$7))*100)</f>
        <v/>
      </c>
      <c r="AF491" s="7" t="n"/>
      <c r="AI491" s="11" t="n"/>
      <c r="AK491">
        <f>IF($D491="","",IF(COUNTIF($D$2:$D491,$D491)=1,1,0))</f>
        <v/>
      </c>
      <c r="AL491">
        <f>IF($AK491=1,SUMPRODUCT(--($AO$2:$AO$1501&lt;$AO491))+1,"")</f>
        <v/>
      </c>
      <c r="AM491">
        <f>IF($D491="","",IF(OR($R491=TRUE(),$R491="TRUE"),1,0))</f>
        <v/>
      </c>
      <c r="AN491">
        <f>IF($D491="","",IF($AA491="Yes",1,0))</f>
        <v/>
      </c>
      <c r="AO491">
        <f>IF($AK491=1,IFERROR(IF(VALUE($D491)&lt;100000000,VALUE($D491),1000000000),IFERROR(IF(VALUE(MID($D491,2,20))&lt;100000000,VALUE(MID($D491,2,20)),1000000000),1000000000))+ROW()/100000,"")</f>
        <v/>
      </c>
    </row>
    <row r="492">
      <c r="F492" s="11" t="n"/>
      <c r="N492" s="7">
        <f>IF($D492="","",M492*V492/100)</f>
        <v/>
      </c>
      <c r="O492" s="7" t="n"/>
      <c r="U492" s="7" t="n"/>
      <c r="V492" s="7" t="n"/>
      <c r="W492" s="7">
        <f>IF($D492="","",V492*AB492/100)</f>
        <v/>
      </c>
      <c r="X492" s="7">
        <f>IF($D492="","",V492-W492)</f>
        <v/>
      </c>
      <c r="Y492" s="7">
        <f>IF($D492="","",X492-N492)</f>
        <v/>
      </c>
      <c r="AB492">
        <f>IF($D492="","",IF($AN492=1,0,IF($AM492=1,Settings!$C$6,Settings!$C$7))*100)</f>
        <v/>
      </c>
      <c r="AF492" s="7" t="n"/>
      <c r="AI492" s="11" t="n"/>
      <c r="AK492">
        <f>IF($D492="","",IF(COUNTIF($D$2:$D492,$D492)=1,1,0))</f>
        <v/>
      </c>
      <c r="AL492">
        <f>IF($AK492=1,SUMPRODUCT(--($AO$2:$AO$1501&lt;$AO492))+1,"")</f>
        <v/>
      </c>
      <c r="AM492">
        <f>IF($D492="","",IF(OR($R492=TRUE(),$R492="TRUE"),1,0))</f>
        <v/>
      </c>
      <c r="AN492">
        <f>IF($D492="","",IF($AA492="Yes",1,0))</f>
        <v/>
      </c>
      <c r="AO492">
        <f>IF($AK492=1,IFERROR(IF(VALUE($D492)&lt;100000000,VALUE($D492),1000000000),IFERROR(IF(VALUE(MID($D492,2,20))&lt;100000000,VALUE(MID($D492,2,20)),1000000000),1000000000))+ROW()/100000,"")</f>
        <v/>
      </c>
    </row>
    <row r="493">
      <c r="F493" s="11" t="n"/>
      <c r="N493" s="7">
        <f>IF($D493="","",M493*V493/100)</f>
        <v/>
      </c>
      <c r="O493" s="7" t="n"/>
      <c r="U493" s="7" t="n"/>
      <c r="V493" s="7" t="n"/>
      <c r="W493" s="7">
        <f>IF($D493="","",V493*AB493/100)</f>
        <v/>
      </c>
      <c r="X493" s="7">
        <f>IF($D493="","",V493-W493)</f>
        <v/>
      </c>
      <c r="Y493" s="7">
        <f>IF($D493="","",X493-N493)</f>
        <v/>
      </c>
      <c r="AB493">
        <f>IF($D493="","",IF($AN493=1,0,IF($AM493=1,Settings!$C$6,Settings!$C$7))*100)</f>
        <v/>
      </c>
      <c r="AF493" s="7" t="n"/>
      <c r="AI493" s="11" t="n"/>
      <c r="AK493">
        <f>IF($D493="","",IF(COUNTIF($D$2:$D493,$D493)=1,1,0))</f>
        <v/>
      </c>
      <c r="AL493">
        <f>IF($AK493=1,SUMPRODUCT(--($AO$2:$AO$1501&lt;$AO493))+1,"")</f>
        <v/>
      </c>
      <c r="AM493">
        <f>IF($D493="","",IF(OR($R493=TRUE(),$R493="TRUE"),1,0))</f>
        <v/>
      </c>
      <c r="AN493">
        <f>IF($D493="","",IF($AA493="Yes",1,0))</f>
        <v/>
      </c>
      <c r="AO493">
        <f>IF($AK493=1,IFERROR(IF(VALUE($D493)&lt;100000000,VALUE($D493),1000000000),IFERROR(IF(VALUE(MID($D493,2,20))&lt;100000000,VALUE(MID($D493,2,20)),1000000000),1000000000))+ROW()/100000,"")</f>
        <v/>
      </c>
    </row>
    <row r="494">
      <c r="F494" s="11" t="n"/>
      <c r="N494" s="7">
        <f>IF($D494="","",M494*V494/100)</f>
        <v/>
      </c>
      <c r="O494" s="7" t="n"/>
      <c r="U494" s="7" t="n"/>
      <c r="V494" s="7" t="n"/>
      <c r="W494" s="7">
        <f>IF($D494="","",V494*AB494/100)</f>
        <v/>
      </c>
      <c r="X494" s="7">
        <f>IF($D494="","",V494-W494)</f>
        <v/>
      </c>
      <c r="Y494" s="7">
        <f>IF($D494="","",X494-N494)</f>
        <v/>
      </c>
      <c r="AB494">
        <f>IF($D494="","",IF($AN494=1,0,IF($AM494=1,Settings!$C$6,Settings!$C$7))*100)</f>
        <v/>
      </c>
      <c r="AF494" s="7" t="n"/>
      <c r="AI494" s="11" t="n"/>
      <c r="AK494">
        <f>IF($D494="","",IF(COUNTIF($D$2:$D494,$D494)=1,1,0))</f>
        <v/>
      </c>
      <c r="AL494">
        <f>IF($AK494=1,SUMPRODUCT(--($AO$2:$AO$1501&lt;$AO494))+1,"")</f>
        <v/>
      </c>
      <c r="AM494">
        <f>IF($D494="","",IF(OR($R494=TRUE(),$R494="TRUE"),1,0))</f>
        <v/>
      </c>
      <c r="AN494">
        <f>IF($D494="","",IF($AA494="Yes",1,0))</f>
        <v/>
      </c>
      <c r="AO494">
        <f>IF($AK494=1,IFERROR(IF(VALUE($D494)&lt;100000000,VALUE($D494),1000000000),IFERROR(IF(VALUE(MID($D494,2,20))&lt;100000000,VALUE(MID($D494,2,20)),1000000000),1000000000))+ROW()/100000,"")</f>
        <v/>
      </c>
    </row>
    <row r="495">
      <c r="F495" s="11" t="n"/>
      <c r="N495" s="7">
        <f>IF($D495="","",M495*V495/100)</f>
        <v/>
      </c>
      <c r="O495" s="7" t="n"/>
      <c r="U495" s="7" t="n"/>
      <c r="V495" s="7" t="n"/>
      <c r="W495" s="7">
        <f>IF($D495="","",V495*AB495/100)</f>
        <v/>
      </c>
      <c r="X495" s="7">
        <f>IF($D495="","",V495-W495)</f>
        <v/>
      </c>
      <c r="Y495" s="7">
        <f>IF($D495="","",X495-N495)</f>
        <v/>
      </c>
      <c r="AB495">
        <f>IF($D495="","",IF($AN495=1,0,IF($AM495=1,Settings!$C$6,Settings!$C$7))*100)</f>
        <v/>
      </c>
      <c r="AF495" s="7" t="n"/>
      <c r="AI495" s="11" t="n"/>
      <c r="AK495">
        <f>IF($D495="","",IF(COUNTIF($D$2:$D495,$D495)=1,1,0))</f>
        <v/>
      </c>
      <c r="AL495">
        <f>IF($AK495=1,SUMPRODUCT(--($AO$2:$AO$1501&lt;$AO495))+1,"")</f>
        <v/>
      </c>
      <c r="AM495">
        <f>IF($D495="","",IF(OR($R495=TRUE(),$R495="TRUE"),1,0))</f>
        <v/>
      </c>
      <c r="AN495">
        <f>IF($D495="","",IF($AA495="Yes",1,0))</f>
        <v/>
      </c>
      <c r="AO495">
        <f>IF($AK495=1,IFERROR(IF(VALUE($D495)&lt;100000000,VALUE($D495),1000000000),IFERROR(IF(VALUE(MID($D495,2,20))&lt;100000000,VALUE(MID($D495,2,20)),1000000000),1000000000))+ROW()/100000,"")</f>
        <v/>
      </c>
    </row>
    <row r="496">
      <c r="F496" s="11" t="n"/>
      <c r="N496" s="7">
        <f>IF($D496="","",M496*V496/100)</f>
        <v/>
      </c>
      <c r="O496" s="7" t="n"/>
      <c r="U496" s="7" t="n"/>
      <c r="V496" s="7" t="n"/>
      <c r="W496" s="7">
        <f>IF($D496="","",V496*AB496/100)</f>
        <v/>
      </c>
      <c r="X496" s="7">
        <f>IF($D496="","",V496-W496)</f>
        <v/>
      </c>
      <c r="Y496" s="7">
        <f>IF($D496="","",X496-N496)</f>
        <v/>
      </c>
      <c r="AB496">
        <f>IF($D496="","",IF($AN496=1,0,IF($AM496=1,Settings!$C$6,Settings!$C$7))*100)</f>
        <v/>
      </c>
      <c r="AF496" s="7" t="n"/>
      <c r="AI496" s="11" t="n"/>
      <c r="AK496">
        <f>IF($D496="","",IF(COUNTIF($D$2:$D496,$D496)=1,1,0))</f>
        <v/>
      </c>
      <c r="AL496">
        <f>IF($AK496=1,SUMPRODUCT(--($AO$2:$AO$1501&lt;$AO496))+1,"")</f>
        <v/>
      </c>
      <c r="AM496">
        <f>IF($D496="","",IF(OR($R496=TRUE(),$R496="TRUE"),1,0))</f>
        <v/>
      </c>
      <c r="AN496">
        <f>IF($D496="","",IF($AA496="Yes",1,0))</f>
        <v/>
      </c>
      <c r="AO496">
        <f>IF($AK496=1,IFERROR(IF(VALUE($D496)&lt;100000000,VALUE($D496),1000000000),IFERROR(IF(VALUE(MID($D496,2,20))&lt;100000000,VALUE(MID($D496,2,20)),1000000000),1000000000))+ROW()/100000,"")</f>
        <v/>
      </c>
    </row>
    <row r="497">
      <c r="F497" s="11" t="n"/>
      <c r="N497" s="7">
        <f>IF($D497="","",M497*V497/100)</f>
        <v/>
      </c>
      <c r="O497" s="7" t="n"/>
      <c r="U497" s="7" t="n"/>
      <c r="V497" s="7" t="n"/>
      <c r="W497" s="7">
        <f>IF($D497="","",V497*AB497/100)</f>
        <v/>
      </c>
      <c r="X497" s="7">
        <f>IF($D497="","",V497-W497)</f>
        <v/>
      </c>
      <c r="Y497" s="7">
        <f>IF($D497="","",X497-N497)</f>
        <v/>
      </c>
      <c r="AB497">
        <f>IF($D497="","",IF($AN497=1,0,IF($AM497=1,Settings!$C$6,Settings!$C$7))*100)</f>
        <v/>
      </c>
      <c r="AF497" s="7" t="n"/>
      <c r="AI497" s="11" t="n"/>
      <c r="AK497">
        <f>IF($D497="","",IF(COUNTIF($D$2:$D497,$D497)=1,1,0))</f>
        <v/>
      </c>
      <c r="AL497">
        <f>IF($AK497=1,SUMPRODUCT(--($AO$2:$AO$1501&lt;$AO497))+1,"")</f>
        <v/>
      </c>
      <c r="AM497">
        <f>IF($D497="","",IF(OR($R497=TRUE(),$R497="TRUE"),1,0))</f>
        <v/>
      </c>
      <c r="AN497">
        <f>IF($D497="","",IF($AA497="Yes",1,0))</f>
        <v/>
      </c>
      <c r="AO497">
        <f>IF($AK497=1,IFERROR(IF(VALUE($D497)&lt;100000000,VALUE($D497),1000000000),IFERROR(IF(VALUE(MID($D497,2,20))&lt;100000000,VALUE(MID($D497,2,20)),1000000000),1000000000))+ROW()/100000,"")</f>
        <v/>
      </c>
    </row>
    <row r="498">
      <c r="F498" s="11" t="n"/>
      <c r="N498" s="7">
        <f>IF($D498="","",M498*V498/100)</f>
        <v/>
      </c>
      <c r="O498" s="7" t="n"/>
      <c r="U498" s="7" t="n"/>
      <c r="V498" s="7" t="n"/>
      <c r="W498" s="7">
        <f>IF($D498="","",V498*AB498/100)</f>
        <v/>
      </c>
      <c r="X498" s="7">
        <f>IF($D498="","",V498-W498)</f>
        <v/>
      </c>
      <c r="Y498" s="7">
        <f>IF($D498="","",X498-N498)</f>
        <v/>
      </c>
      <c r="AB498">
        <f>IF($D498="","",IF($AN498=1,0,IF($AM498=1,Settings!$C$6,Settings!$C$7))*100)</f>
        <v/>
      </c>
      <c r="AF498" s="7" t="n"/>
      <c r="AI498" s="11" t="n"/>
      <c r="AK498">
        <f>IF($D498="","",IF(COUNTIF($D$2:$D498,$D498)=1,1,0))</f>
        <v/>
      </c>
      <c r="AL498">
        <f>IF($AK498=1,SUMPRODUCT(--($AO$2:$AO$1501&lt;$AO498))+1,"")</f>
        <v/>
      </c>
      <c r="AM498">
        <f>IF($D498="","",IF(OR($R498=TRUE(),$R498="TRUE"),1,0))</f>
        <v/>
      </c>
      <c r="AN498">
        <f>IF($D498="","",IF($AA498="Yes",1,0))</f>
        <v/>
      </c>
      <c r="AO498">
        <f>IF($AK498=1,IFERROR(IF(VALUE($D498)&lt;100000000,VALUE($D498),1000000000),IFERROR(IF(VALUE(MID($D498,2,20))&lt;100000000,VALUE(MID($D498,2,20)),1000000000),1000000000))+ROW()/100000,"")</f>
        <v/>
      </c>
    </row>
    <row r="499">
      <c r="F499" s="11" t="n"/>
      <c r="N499" s="7">
        <f>IF($D499="","",M499*V499/100)</f>
        <v/>
      </c>
      <c r="O499" s="7" t="n"/>
      <c r="U499" s="7" t="n"/>
      <c r="V499" s="7" t="n"/>
      <c r="W499" s="7">
        <f>IF($D499="","",V499*AB499/100)</f>
        <v/>
      </c>
      <c r="X499" s="7">
        <f>IF($D499="","",V499-W499)</f>
        <v/>
      </c>
      <c r="Y499" s="7">
        <f>IF($D499="","",X499-N499)</f>
        <v/>
      </c>
      <c r="AB499">
        <f>IF($D499="","",IF($AN499=1,0,IF($AM499=1,Settings!$C$6,Settings!$C$7))*100)</f>
        <v/>
      </c>
      <c r="AF499" s="7" t="n"/>
      <c r="AI499" s="11" t="n"/>
      <c r="AK499">
        <f>IF($D499="","",IF(COUNTIF($D$2:$D499,$D499)=1,1,0))</f>
        <v/>
      </c>
      <c r="AL499">
        <f>IF($AK499=1,SUMPRODUCT(--($AO$2:$AO$1501&lt;$AO499))+1,"")</f>
        <v/>
      </c>
      <c r="AM499">
        <f>IF($D499="","",IF(OR($R499=TRUE(),$R499="TRUE"),1,0))</f>
        <v/>
      </c>
      <c r="AN499">
        <f>IF($D499="","",IF($AA499="Yes",1,0))</f>
        <v/>
      </c>
      <c r="AO499">
        <f>IF($AK499=1,IFERROR(IF(VALUE($D499)&lt;100000000,VALUE($D499),1000000000),IFERROR(IF(VALUE(MID($D499,2,20))&lt;100000000,VALUE(MID($D499,2,20)),1000000000),1000000000))+ROW()/100000,"")</f>
        <v/>
      </c>
    </row>
    <row r="500">
      <c r="F500" s="11" t="n"/>
      <c r="N500" s="7">
        <f>IF($D500="","",M500*V500/100)</f>
        <v/>
      </c>
      <c r="O500" s="7" t="n"/>
      <c r="U500" s="7" t="n"/>
      <c r="V500" s="7" t="n"/>
      <c r="W500" s="7">
        <f>IF($D500="","",V500*AB500/100)</f>
        <v/>
      </c>
      <c r="X500" s="7">
        <f>IF($D500="","",V500-W500)</f>
        <v/>
      </c>
      <c r="Y500" s="7">
        <f>IF($D500="","",X500-N500)</f>
        <v/>
      </c>
      <c r="AB500">
        <f>IF($D500="","",IF($AN500=1,0,IF($AM500=1,Settings!$C$6,Settings!$C$7))*100)</f>
        <v/>
      </c>
      <c r="AF500" s="7" t="n"/>
      <c r="AI500" s="11" t="n"/>
      <c r="AK500">
        <f>IF($D500="","",IF(COUNTIF($D$2:$D500,$D500)=1,1,0))</f>
        <v/>
      </c>
      <c r="AL500">
        <f>IF($AK500=1,SUMPRODUCT(--($AO$2:$AO$1501&lt;$AO500))+1,"")</f>
        <v/>
      </c>
      <c r="AM500">
        <f>IF($D500="","",IF(OR($R500=TRUE(),$R500="TRUE"),1,0))</f>
        <v/>
      </c>
      <c r="AN500">
        <f>IF($D500="","",IF($AA500="Yes",1,0))</f>
        <v/>
      </c>
      <c r="AO500">
        <f>IF($AK500=1,IFERROR(IF(VALUE($D500)&lt;100000000,VALUE($D500),1000000000),IFERROR(IF(VALUE(MID($D500,2,20))&lt;100000000,VALUE(MID($D500,2,20)),1000000000),1000000000))+ROW()/100000,"")</f>
        <v/>
      </c>
    </row>
    <row r="501">
      <c r="F501" s="11" t="n"/>
      <c r="N501" s="7">
        <f>IF($D501="","",M501*V501/100)</f>
        <v/>
      </c>
      <c r="O501" s="7" t="n"/>
      <c r="U501" s="7" t="n"/>
      <c r="V501" s="7" t="n"/>
      <c r="W501" s="7">
        <f>IF($D501="","",V501*AB501/100)</f>
        <v/>
      </c>
      <c r="X501" s="7">
        <f>IF($D501="","",V501-W501)</f>
        <v/>
      </c>
      <c r="Y501" s="7">
        <f>IF($D501="","",X501-N501)</f>
        <v/>
      </c>
      <c r="AB501">
        <f>IF($D501="","",IF($AN501=1,0,IF($AM501=1,Settings!$C$6,Settings!$C$7))*100)</f>
        <v/>
      </c>
      <c r="AF501" s="7" t="n"/>
      <c r="AI501" s="11" t="n"/>
      <c r="AK501">
        <f>IF($D501="","",IF(COUNTIF($D$2:$D501,$D501)=1,1,0))</f>
        <v/>
      </c>
      <c r="AL501">
        <f>IF($AK501=1,SUMPRODUCT(--($AO$2:$AO$1501&lt;$AO501))+1,"")</f>
        <v/>
      </c>
      <c r="AM501">
        <f>IF($D501="","",IF(OR($R501=TRUE(),$R501="TRUE"),1,0))</f>
        <v/>
      </c>
      <c r="AN501">
        <f>IF($D501="","",IF($AA501="Yes",1,0))</f>
        <v/>
      </c>
      <c r="AO501">
        <f>IF($AK501=1,IFERROR(IF(VALUE($D501)&lt;100000000,VALUE($D501),1000000000),IFERROR(IF(VALUE(MID($D501,2,20))&lt;100000000,VALUE(MID($D501,2,20)),1000000000),1000000000))+ROW()/100000,"")</f>
        <v/>
      </c>
    </row>
    <row r="502">
      <c r="F502" s="11" t="n"/>
      <c r="N502" s="7">
        <f>IF($D502="","",M502*V502/100)</f>
        <v/>
      </c>
      <c r="O502" s="7" t="n"/>
      <c r="U502" s="7" t="n"/>
      <c r="V502" s="7" t="n"/>
      <c r="W502" s="7">
        <f>IF($D502="","",V502*AB502/100)</f>
        <v/>
      </c>
      <c r="X502" s="7">
        <f>IF($D502="","",V502-W502)</f>
        <v/>
      </c>
      <c r="Y502" s="7">
        <f>IF($D502="","",X502-N502)</f>
        <v/>
      </c>
      <c r="AB502">
        <f>IF($D502="","",IF($AN502=1,0,IF($AM502=1,Settings!$C$6,Settings!$C$7))*100)</f>
        <v/>
      </c>
      <c r="AF502" s="7" t="n"/>
      <c r="AI502" s="11" t="n"/>
      <c r="AK502">
        <f>IF($D502="","",IF(COUNTIF($D$2:$D502,$D502)=1,1,0))</f>
        <v/>
      </c>
      <c r="AL502">
        <f>IF($AK502=1,SUMPRODUCT(--($AO$2:$AO$1501&lt;$AO502))+1,"")</f>
        <v/>
      </c>
      <c r="AM502">
        <f>IF($D502="","",IF(OR($R502=TRUE(),$R502="TRUE"),1,0))</f>
        <v/>
      </c>
      <c r="AN502">
        <f>IF($D502="","",IF($AA502="Yes",1,0))</f>
        <v/>
      </c>
      <c r="AO502">
        <f>IF($AK502=1,IFERROR(IF(VALUE($D502)&lt;100000000,VALUE($D502),1000000000),IFERROR(IF(VALUE(MID($D502,2,20))&lt;100000000,VALUE(MID($D502,2,20)),1000000000),1000000000))+ROW()/100000,"")</f>
        <v/>
      </c>
    </row>
    <row r="503">
      <c r="F503" s="11" t="n"/>
      <c r="N503" s="7">
        <f>IF($D503="","",M503*V503/100)</f>
        <v/>
      </c>
      <c r="O503" s="7" t="n"/>
      <c r="U503" s="7" t="n"/>
      <c r="V503" s="7" t="n"/>
      <c r="W503" s="7">
        <f>IF($D503="","",V503*AB503/100)</f>
        <v/>
      </c>
      <c r="X503" s="7">
        <f>IF($D503="","",V503-W503)</f>
        <v/>
      </c>
      <c r="Y503" s="7">
        <f>IF($D503="","",X503-N503)</f>
        <v/>
      </c>
      <c r="AB503">
        <f>IF($D503="","",IF($AN503=1,0,IF($AM503=1,Settings!$C$6,Settings!$C$7))*100)</f>
        <v/>
      </c>
      <c r="AF503" s="7" t="n"/>
      <c r="AI503" s="11" t="n"/>
      <c r="AK503">
        <f>IF($D503="","",IF(COUNTIF($D$2:$D503,$D503)=1,1,0))</f>
        <v/>
      </c>
      <c r="AL503">
        <f>IF($AK503=1,SUMPRODUCT(--($AO$2:$AO$1501&lt;$AO503))+1,"")</f>
        <v/>
      </c>
      <c r="AM503">
        <f>IF($D503="","",IF(OR($R503=TRUE(),$R503="TRUE"),1,0))</f>
        <v/>
      </c>
      <c r="AN503">
        <f>IF($D503="","",IF($AA503="Yes",1,0))</f>
        <v/>
      </c>
      <c r="AO503">
        <f>IF($AK503=1,IFERROR(IF(VALUE($D503)&lt;100000000,VALUE($D503),1000000000),IFERROR(IF(VALUE(MID($D503,2,20))&lt;100000000,VALUE(MID($D503,2,20)),1000000000),1000000000))+ROW()/100000,"")</f>
        <v/>
      </c>
    </row>
    <row r="504">
      <c r="F504" s="11" t="n"/>
      <c r="N504" s="7">
        <f>IF($D504="","",M504*V504/100)</f>
        <v/>
      </c>
      <c r="O504" s="7" t="n"/>
      <c r="U504" s="7" t="n"/>
      <c r="V504" s="7" t="n"/>
      <c r="W504" s="7">
        <f>IF($D504="","",V504*AB504/100)</f>
        <v/>
      </c>
      <c r="X504" s="7">
        <f>IF($D504="","",V504-W504)</f>
        <v/>
      </c>
      <c r="Y504" s="7">
        <f>IF($D504="","",X504-N504)</f>
        <v/>
      </c>
      <c r="AB504">
        <f>IF($D504="","",IF($AN504=1,0,IF($AM504=1,Settings!$C$6,Settings!$C$7))*100)</f>
        <v/>
      </c>
      <c r="AF504" s="7" t="n"/>
      <c r="AI504" s="11" t="n"/>
      <c r="AK504">
        <f>IF($D504="","",IF(COUNTIF($D$2:$D504,$D504)=1,1,0))</f>
        <v/>
      </c>
      <c r="AL504">
        <f>IF($AK504=1,SUMPRODUCT(--($AO$2:$AO$1501&lt;$AO504))+1,"")</f>
        <v/>
      </c>
      <c r="AM504">
        <f>IF($D504="","",IF(OR($R504=TRUE(),$R504="TRUE"),1,0))</f>
        <v/>
      </c>
      <c r="AN504">
        <f>IF($D504="","",IF($AA504="Yes",1,0))</f>
        <v/>
      </c>
      <c r="AO504">
        <f>IF($AK504=1,IFERROR(IF(VALUE($D504)&lt;100000000,VALUE($D504),1000000000),IFERROR(IF(VALUE(MID($D504,2,20))&lt;100000000,VALUE(MID($D504,2,20)),1000000000),1000000000))+ROW()/100000,"")</f>
        <v/>
      </c>
    </row>
    <row r="505">
      <c r="F505" s="11" t="n"/>
      <c r="N505" s="7">
        <f>IF($D505="","",M505*V505/100)</f>
        <v/>
      </c>
      <c r="O505" s="7" t="n"/>
      <c r="U505" s="7" t="n"/>
      <c r="V505" s="7" t="n"/>
      <c r="W505" s="7">
        <f>IF($D505="","",V505*AB505/100)</f>
        <v/>
      </c>
      <c r="X505" s="7">
        <f>IF($D505="","",V505-W505)</f>
        <v/>
      </c>
      <c r="Y505" s="7">
        <f>IF($D505="","",X505-N505)</f>
        <v/>
      </c>
      <c r="AB505">
        <f>IF($D505="","",IF($AN505=1,0,IF($AM505=1,Settings!$C$6,Settings!$C$7))*100)</f>
        <v/>
      </c>
      <c r="AF505" s="7" t="n"/>
      <c r="AI505" s="11" t="n"/>
      <c r="AK505">
        <f>IF($D505="","",IF(COUNTIF($D$2:$D505,$D505)=1,1,0))</f>
        <v/>
      </c>
      <c r="AL505">
        <f>IF($AK505=1,SUMPRODUCT(--($AO$2:$AO$1501&lt;$AO505))+1,"")</f>
        <v/>
      </c>
      <c r="AM505">
        <f>IF($D505="","",IF(OR($R505=TRUE(),$R505="TRUE"),1,0))</f>
        <v/>
      </c>
      <c r="AN505">
        <f>IF($D505="","",IF($AA505="Yes",1,0))</f>
        <v/>
      </c>
      <c r="AO505">
        <f>IF($AK505=1,IFERROR(IF(VALUE($D505)&lt;100000000,VALUE($D505),1000000000),IFERROR(IF(VALUE(MID($D505,2,20))&lt;100000000,VALUE(MID($D505,2,20)),1000000000),1000000000))+ROW()/100000,"")</f>
        <v/>
      </c>
    </row>
    <row r="506">
      <c r="F506" s="11" t="n"/>
      <c r="N506" s="7">
        <f>IF($D506="","",M506*V506/100)</f>
        <v/>
      </c>
      <c r="O506" s="7" t="n"/>
      <c r="U506" s="7" t="n"/>
      <c r="V506" s="7" t="n"/>
      <c r="W506" s="7">
        <f>IF($D506="","",V506*AB506/100)</f>
        <v/>
      </c>
      <c r="X506" s="7">
        <f>IF($D506="","",V506-W506)</f>
        <v/>
      </c>
      <c r="Y506" s="7">
        <f>IF($D506="","",X506-N506)</f>
        <v/>
      </c>
      <c r="AB506">
        <f>IF($D506="","",IF($AN506=1,0,IF($AM506=1,Settings!$C$6,Settings!$C$7))*100)</f>
        <v/>
      </c>
      <c r="AF506" s="7" t="n"/>
      <c r="AI506" s="11" t="n"/>
      <c r="AK506">
        <f>IF($D506="","",IF(COUNTIF($D$2:$D506,$D506)=1,1,0))</f>
        <v/>
      </c>
      <c r="AL506">
        <f>IF($AK506=1,SUMPRODUCT(--($AO$2:$AO$1501&lt;$AO506))+1,"")</f>
        <v/>
      </c>
      <c r="AM506">
        <f>IF($D506="","",IF(OR($R506=TRUE(),$R506="TRUE"),1,0))</f>
        <v/>
      </c>
      <c r="AN506">
        <f>IF($D506="","",IF($AA506="Yes",1,0))</f>
        <v/>
      </c>
      <c r="AO506">
        <f>IF($AK506=1,IFERROR(IF(VALUE($D506)&lt;100000000,VALUE($D506),1000000000),IFERROR(IF(VALUE(MID($D506,2,20))&lt;100000000,VALUE(MID($D506,2,20)),1000000000),1000000000))+ROW()/100000,"")</f>
        <v/>
      </c>
    </row>
    <row r="507">
      <c r="F507" s="11" t="n"/>
      <c r="N507" s="7">
        <f>IF($D507="","",M507*V507/100)</f>
        <v/>
      </c>
      <c r="O507" s="7" t="n"/>
      <c r="U507" s="7" t="n"/>
      <c r="V507" s="7" t="n"/>
      <c r="W507" s="7">
        <f>IF($D507="","",V507*AB507/100)</f>
        <v/>
      </c>
      <c r="X507" s="7">
        <f>IF($D507="","",V507-W507)</f>
        <v/>
      </c>
      <c r="Y507" s="7">
        <f>IF($D507="","",X507-N507)</f>
        <v/>
      </c>
      <c r="AB507">
        <f>IF($D507="","",IF($AN507=1,0,IF($AM507=1,Settings!$C$6,Settings!$C$7))*100)</f>
        <v/>
      </c>
      <c r="AF507" s="7" t="n"/>
      <c r="AI507" s="11" t="n"/>
      <c r="AK507">
        <f>IF($D507="","",IF(COUNTIF($D$2:$D507,$D507)=1,1,0))</f>
        <v/>
      </c>
      <c r="AL507">
        <f>IF($AK507=1,SUMPRODUCT(--($AO$2:$AO$1501&lt;$AO507))+1,"")</f>
        <v/>
      </c>
      <c r="AM507">
        <f>IF($D507="","",IF(OR($R507=TRUE(),$R507="TRUE"),1,0))</f>
        <v/>
      </c>
      <c r="AN507">
        <f>IF($D507="","",IF($AA507="Yes",1,0))</f>
        <v/>
      </c>
      <c r="AO507">
        <f>IF($AK507=1,IFERROR(IF(VALUE($D507)&lt;100000000,VALUE($D507),1000000000),IFERROR(IF(VALUE(MID($D507,2,20))&lt;100000000,VALUE(MID($D507,2,20)),1000000000),1000000000))+ROW()/100000,"")</f>
        <v/>
      </c>
    </row>
    <row r="508">
      <c r="F508" s="11" t="n"/>
      <c r="N508" s="7">
        <f>IF($D508="","",M508*V508/100)</f>
        <v/>
      </c>
      <c r="O508" s="7" t="n"/>
      <c r="U508" s="7" t="n"/>
      <c r="V508" s="7" t="n"/>
      <c r="W508" s="7">
        <f>IF($D508="","",V508*AB508/100)</f>
        <v/>
      </c>
      <c r="X508" s="7">
        <f>IF($D508="","",V508-W508)</f>
        <v/>
      </c>
      <c r="Y508" s="7">
        <f>IF($D508="","",X508-N508)</f>
        <v/>
      </c>
      <c r="AB508">
        <f>IF($D508="","",IF($AN508=1,0,IF($AM508=1,Settings!$C$6,Settings!$C$7))*100)</f>
        <v/>
      </c>
      <c r="AF508" s="7" t="n"/>
      <c r="AI508" s="11" t="n"/>
      <c r="AK508">
        <f>IF($D508="","",IF(COUNTIF($D$2:$D508,$D508)=1,1,0))</f>
        <v/>
      </c>
      <c r="AL508">
        <f>IF($AK508=1,SUMPRODUCT(--($AO$2:$AO$1501&lt;$AO508))+1,"")</f>
        <v/>
      </c>
      <c r="AM508">
        <f>IF($D508="","",IF(OR($R508=TRUE(),$R508="TRUE"),1,0))</f>
        <v/>
      </c>
      <c r="AN508">
        <f>IF($D508="","",IF($AA508="Yes",1,0))</f>
        <v/>
      </c>
      <c r="AO508">
        <f>IF($AK508=1,IFERROR(IF(VALUE($D508)&lt;100000000,VALUE($D508),1000000000),IFERROR(IF(VALUE(MID($D508,2,20))&lt;100000000,VALUE(MID($D508,2,20)),1000000000),1000000000))+ROW()/100000,"")</f>
        <v/>
      </c>
    </row>
    <row r="509">
      <c r="F509" s="11" t="n"/>
      <c r="N509" s="7">
        <f>IF($D509="","",M509*V509/100)</f>
        <v/>
      </c>
      <c r="O509" s="7" t="n"/>
      <c r="U509" s="7" t="n"/>
      <c r="V509" s="7" t="n"/>
      <c r="W509" s="7">
        <f>IF($D509="","",V509*AB509/100)</f>
        <v/>
      </c>
      <c r="X509" s="7">
        <f>IF($D509="","",V509-W509)</f>
        <v/>
      </c>
      <c r="Y509" s="7">
        <f>IF($D509="","",X509-N509)</f>
        <v/>
      </c>
      <c r="AB509">
        <f>IF($D509="","",IF($AN509=1,0,IF($AM509=1,Settings!$C$6,Settings!$C$7))*100)</f>
        <v/>
      </c>
      <c r="AF509" s="7" t="n"/>
      <c r="AI509" s="11" t="n"/>
      <c r="AK509">
        <f>IF($D509="","",IF(COUNTIF($D$2:$D509,$D509)=1,1,0))</f>
        <v/>
      </c>
      <c r="AL509">
        <f>IF($AK509=1,SUMPRODUCT(--($AO$2:$AO$1501&lt;$AO509))+1,"")</f>
        <v/>
      </c>
      <c r="AM509">
        <f>IF($D509="","",IF(OR($R509=TRUE(),$R509="TRUE"),1,0))</f>
        <v/>
      </c>
      <c r="AN509">
        <f>IF($D509="","",IF($AA509="Yes",1,0))</f>
        <v/>
      </c>
      <c r="AO509">
        <f>IF($AK509=1,IFERROR(IF(VALUE($D509)&lt;100000000,VALUE($D509),1000000000),IFERROR(IF(VALUE(MID($D509,2,20))&lt;100000000,VALUE(MID($D509,2,20)),1000000000),1000000000))+ROW()/100000,"")</f>
        <v/>
      </c>
    </row>
    <row r="510">
      <c r="F510" s="11" t="n"/>
      <c r="N510" s="7">
        <f>IF($D510="","",M510*V510/100)</f>
        <v/>
      </c>
      <c r="O510" s="7" t="n"/>
      <c r="U510" s="7" t="n"/>
      <c r="V510" s="7" t="n"/>
      <c r="W510" s="7">
        <f>IF($D510="","",V510*AB510/100)</f>
        <v/>
      </c>
      <c r="X510" s="7">
        <f>IF($D510="","",V510-W510)</f>
        <v/>
      </c>
      <c r="Y510" s="7">
        <f>IF($D510="","",X510-N510)</f>
        <v/>
      </c>
      <c r="AB510">
        <f>IF($D510="","",IF($AN510=1,0,IF($AM510=1,Settings!$C$6,Settings!$C$7))*100)</f>
        <v/>
      </c>
      <c r="AF510" s="7" t="n"/>
      <c r="AI510" s="11" t="n"/>
      <c r="AK510">
        <f>IF($D510="","",IF(COUNTIF($D$2:$D510,$D510)=1,1,0))</f>
        <v/>
      </c>
      <c r="AL510">
        <f>IF($AK510=1,SUMPRODUCT(--($AO$2:$AO$1501&lt;$AO510))+1,"")</f>
        <v/>
      </c>
      <c r="AM510">
        <f>IF($D510="","",IF(OR($R510=TRUE(),$R510="TRUE"),1,0))</f>
        <v/>
      </c>
      <c r="AN510">
        <f>IF($D510="","",IF($AA510="Yes",1,0))</f>
        <v/>
      </c>
      <c r="AO510">
        <f>IF($AK510=1,IFERROR(IF(VALUE($D510)&lt;100000000,VALUE($D510),1000000000),IFERROR(IF(VALUE(MID($D510,2,20))&lt;100000000,VALUE(MID($D510,2,20)),1000000000),1000000000))+ROW()/100000,"")</f>
        <v/>
      </c>
    </row>
    <row r="511">
      <c r="F511" s="11" t="n"/>
      <c r="N511" s="7">
        <f>IF($D511="","",M511*V511/100)</f>
        <v/>
      </c>
      <c r="O511" s="7" t="n"/>
      <c r="U511" s="7" t="n"/>
      <c r="V511" s="7" t="n"/>
      <c r="W511" s="7">
        <f>IF($D511="","",V511*AB511/100)</f>
        <v/>
      </c>
      <c r="X511" s="7">
        <f>IF($D511="","",V511-W511)</f>
        <v/>
      </c>
      <c r="Y511" s="7">
        <f>IF($D511="","",X511-N511)</f>
        <v/>
      </c>
      <c r="AB511">
        <f>IF($D511="","",IF($AN511=1,0,IF($AM511=1,Settings!$C$6,Settings!$C$7))*100)</f>
        <v/>
      </c>
      <c r="AF511" s="7" t="n"/>
      <c r="AI511" s="11" t="n"/>
      <c r="AK511">
        <f>IF($D511="","",IF(COUNTIF($D$2:$D511,$D511)=1,1,0))</f>
        <v/>
      </c>
      <c r="AL511">
        <f>IF($AK511=1,SUMPRODUCT(--($AO$2:$AO$1501&lt;$AO511))+1,"")</f>
        <v/>
      </c>
      <c r="AM511">
        <f>IF($D511="","",IF(OR($R511=TRUE(),$R511="TRUE"),1,0))</f>
        <v/>
      </c>
      <c r="AN511">
        <f>IF($D511="","",IF($AA511="Yes",1,0))</f>
        <v/>
      </c>
      <c r="AO511">
        <f>IF($AK511=1,IFERROR(IF(VALUE($D511)&lt;100000000,VALUE($D511),1000000000),IFERROR(IF(VALUE(MID($D511,2,20))&lt;100000000,VALUE(MID($D511,2,20)),1000000000),1000000000))+ROW()/100000,"")</f>
        <v/>
      </c>
    </row>
    <row r="512">
      <c r="F512" s="11" t="n"/>
      <c r="N512" s="7">
        <f>IF($D512="","",M512*V512/100)</f>
        <v/>
      </c>
      <c r="O512" s="7" t="n"/>
      <c r="U512" s="7" t="n"/>
      <c r="V512" s="7" t="n"/>
      <c r="W512" s="7">
        <f>IF($D512="","",V512*AB512/100)</f>
        <v/>
      </c>
      <c r="X512" s="7">
        <f>IF($D512="","",V512-W512)</f>
        <v/>
      </c>
      <c r="Y512" s="7">
        <f>IF($D512="","",X512-N512)</f>
        <v/>
      </c>
      <c r="AB512">
        <f>IF($D512="","",IF($AN512=1,0,IF($AM512=1,Settings!$C$6,Settings!$C$7))*100)</f>
        <v/>
      </c>
      <c r="AF512" s="7" t="n"/>
      <c r="AI512" s="11" t="n"/>
      <c r="AK512">
        <f>IF($D512="","",IF(COUNTIF($D$2:$D512,$D512)=1,1,0))</f>
        <v/>
      </c>
      <c r="AL512">
        <f>IF($AK512=1,SUMPRODUCT(--($AO$2:$AO$1501&lt;$AO512))+1,"")</f>
        <v/>
      </c>
      <c r="AM512">
        <f>IF($D512="","",IF(OR($R512=TRUE(),$R512="TRUE"),1,0))</f>
        <v/>
      </c>
      <c r="AN512">
        <f>IF($D512="","",IF($AA512="Yes",1,0))</f>
        <v/>
      </c>
      <c r="AO512">
        <f>IF($AK512=1,IFERROR(IF(VALUE($D512)&lt;100000000,VALUE($D512),1000000000),IFERROR(IF(VALUE(MID($D512,2,20))&lt;100000000,VALUE(MID($D512,2,20)),1000000000),1000000000))+ROW()/100000,"")</f>
        <v/>
      </c>
    </row>
    <row r="513">
      <c r="F513" s="11" t="n"/>
      <c r="N513" s="7">
        <f>IF($D513="","",M513*V513/100)</f>
        <v/>
      </c>
      <c r="O513" s="7" t="n"/>
      <c r="U513" s="7" t="n"/>
      <c r="V513" s="7" t="n"/>
      <c r="W513" s="7">
        <f>IF($D513="","",V513*AB513/100)</f>
        <v/>
      </c>
      <c r="X513" s="7">
        <f>IF($D513="","",V513-W513)</f>
        <v/>
      </c>
      <c r="Y513" s="7">
        <f>IF($D513="","",X513-N513)</f>
        <v/>
      </c>
      <c r="AB513">
        <f>IF($D513="","",IF($AN513=1,0,IF($AM513=1,Settings!$C$6,Settings!$C$7))*100)</f>
        <v/>
      </c>
      <c r="AF513" s="7" t="n"/>
      <c r="AI513" s="11" t="n"/>
      <c r="AK513">
        <f>IF($D513="","",IF(COUNTIF($D$2:$D513,$D513)=1,1,0))</f>
        <v/>
      </c>
      <c r="AL513">
        <f>IF($AK513=1,SUMPRODUCT(--($AO$2:$AO$1501&lt;$AO513))+1,"")</f>
        <v/>
      </c>
      <c r="AM513">
        <f>IF($D513="","",IF(OR($R513=TRUE(),$R513="TRUE"),1,0))</f>
        <v/>
      </c>
      <c r="AN513">
        <f>IF($D513="","",IF($AA513="Yes",1,0))</f>
        <v/>
      </c>
      <c r="AO513">
        <f>IF($AK513=1,IFERROR(IF(VALUE($D513)&lt;100000000,VALUE($D513),1000000000),IFERROR(IF(VALUE(MID($D513,2,20))&lt;100000000,VALUE(MID($D513,2,20)),1000000000),1000000000))+ROW()/100000,"")</f>
        <v/>
      </c>
    </row>
    <row r="514">
      <c r="F514" s="11" t="n"/>
      <c r="N514" s="7">
        <f>IF($D514="","",M514*V514/100)</f>
        <v/>
      </c>
      <c r="O514" s="7" t="n"/>
      <c r="U514" s="7" t="n"/>
      <c r="V514" s="7" t="n"/>
      <c r="W514" s="7">
        <f>IF($D514="","",V514*AB514/100)</f>
        <v/>
      </c>
      <c r="X514" s="7">
        <f>IF($D514="","",V514-W514)</f>
        <v/>
      </c>
      <c r="Y514" s="7">
        <f>IF($D514="","",X514-N514)</f>
        <v/>
      </c>
      <c r="AB514">
        <f>IF($D514="","",IF($AN514=1,0,IF($AM514=1,Settings!$C$6,Settings!$C$7))*100)</f>
        <v/>
      </c>
      <c r="AF514" s="7" t="n"/>
      <c r="AI514" s="11" t="n"/>
      <c r="AK514">
        <f>IF($D514="","",IF(COUNTIF($D$2:$D514,$D514)=1,1,0))</f>
        <v/>
      </c>
      <c r="AL514">
        <f>IF($AK514=1,SUMPRODUCT(--($AO$2:$AO$1501&lt;$AO514))+1,"")</f>
        <v/>
      </c>
      <c r="AM514">
        <f>IF($D514="","",IF(OR($R514=TRUE(),$R514="TRUE"),1,0))</f>
        <v/>
      </c>
      <c r="AN514">
        <f>IF($D514="","",IF($AA514="Yes",1,0))</f>
        <v/>
      </c>
      <c r="AO514">
        <f>IF($AK514=1,IFERROR(IF(VALUE($D514)&lt;100000000,VALUE($D514),1000000000),IFERROR(IF(VALUE(MID($D514,2,20))&lt;100000000,VALUE(MID($D514,2,20)),1000000000),1000000000))+ROW()/100000,"")</f>
        <v/>
      </c>
    </row>
    <row r="515">
      <c r="F515" s="11" t="n"/>
      <c r="N515" s="7">
        <f>IF($D515="","",M515*V515/100)</f>
        <v/>
      </c>
      <c r="O515" s="7" t="n"/>
      <c r="U515" s="7" t="n"/>
      <c r="V515" s="7" t="n"/>
      <c r="W515" s="7">
        <f>IF($D515="","",V515*AB515/100)</f>
        <v/>
      </c>
      <c r="X515" s="7">
        <f>IF($D515="","",V515-W515)</f>
        <v/>
      </c>
      <c r="Y515" s="7">
        <f>IF($D515="","",X515-N515)</f>
        <v/>
      </c>
      <c r="AB515">
        <f>IF($D515="","",IF($AN515=1,0,IF($AM515=1,Settings!$C$6,Settings!$C$7))*100)</f>
        <v/>
      </c>
      <c r="AF515" s="7" t="n"/>
      <c r="AI515" s="11" t="n"/>
      <c r="AK515">
        <f>IF($D515="","",IF(COUNTIF($D$2:$D515,$D515)=1,1,0))</f>
        <v/>
      </c>
      <c r="AL515">
        <f>IF($AK515=1,SUMPRODUCT(--($AO$2:$AO$1501&lt;$AO515))+1,"")</f>
        <v/>
      </c>
      <c r="AM515">
        <f>IF($D515="","",IF(OR($R515=TRUE(),$R515="TRUE"),1,0))</f>
        <v/>
      </c>
      <c r="AN515">
        <f>IF($D515="","",IF($AA515="Yes",1,0))</f>
        <v/>
      </c>
      <c r="AO515">
        <f>IF($AK515=1,IFERROR(IF(VALUE($D515)&lt;100000000,VALUE($D515),1000000000),IFERROR(IF(VALUE(MID($D515,2,20))&lt;100000000,VALUE(MID($D515,2,20)),1000000000),1000000000))+ROW()/100000,"")</f>
        <v/>
      </c>
    </row>
    <row r="516">
      <c r="F516" s="11" t="n"/>
      <c r="N516" s="7">
        <f>IF($D516="","",M516*V516/100)</f>
        <v/>
      </c>
      <c r="O516" s="7" t="n"/>
      <c r="U516" s="7" t="n"/>
      <c r="V516" s="7" t="n"/>
      <c r="W516" s="7">
        <f>IF($D516="","",V516*AB516/100)</f>
        <v/>
      </c>
      <c r="X516" s="7">
        <f>IF($D516="","",V516-W516)</f>
        <v/>
      </c>
      <c r="Y516" s="7">
        <f>IF($D516="","",X516-N516)</f>
        <v/>
      </c>
      <c r="AB516">
        <f>IF($D516="","",IF($AN516=1,0,IF($AM516=1,Settings!$C$6,Settings!$C$7))*100)</f>
        <v/>
      </c>
      <c r="AF516" s="7" t="n"/>
      <c r="AI516" s="11" t="n"/>
      <c r="AK516">
        <f>IF($D516="","",IF(COUNTIF($D$2:$D516,$D516)=1,1,0))</f>
        <v/>
      </c>
      <c r="AL516">
        <f>IF($AK516=1,SUMPRODUCT(--($AO$2:$AO$1501&lt;$AO516))+1,"")</f>
        <v/>
      </c>
      <c r="AM516">
        <f>IF($D516="","",IF(OR($R516=TRUE(),$R516="TRUE"),1,0))</f>
        <v/>
      </c>
      <c r="AN516">
        <f>IF($D516="","",IF($AA516="Yes",1,0))</f>
        <v/>
      </c>
      <c r="AO516">
        <f>IF($AK516=1,IFERROR(IF(VALUE($D516)&lt;100000000,VALUE($D516),1000000000),IFERROR(IF(VALUE(MID($D516,2,20))&lt;100000000,VALUE(MID($D516,2,20)),1000000000),1000000000))+ROW()/100000,"")</f>
        <v/>
      </c>
    </row>
    <row r="517">
      <c r="F517" s="11" t="n"/>
      <c r="N517" s="7">
        <f>IF($D517="","",M517*V517/100)</f>
        <v/>
      </c>
      <c r="O517" s="7" t="n"/>
      <c r="U517" s="7" t="n"/>
      <c r="V517" s="7" t="n"/>
      <c r="W517" s="7">
        <f>IF($D517="","",V517*AB517/100)</f>
        <v/>
      </c>
      <c r="X517" s="7">
        <f>IF($D517="","",V517-W517)</f>
        <v/>
      </c>
      <c r="Y517" s="7">
        <f>IF($D517="","",X517-N517)</f>
        <v/>
      </c>
      <c r="AB517">
        <f>IF($D517="","",IF($AN517=1,0,IF($AM517=1,Settings!$C$6,Settings!$C$7))*100)</f>
        <v/>
      </c>
      <c r="AF517" s="7" t="n"/>
      <c r="AI517" s="11" t="n"/>
      <c r="AK517">
        <f>IF($D517="","",IF(COUNTIF($D$2:$D517,$D517)=1,1,0))</f>
        <v/>
      </c>
      <c r="AL517">
        <f>IF($AK517=1,SUMPRODUCT(--($AO$2:$AO$1501&lt;$AO517))+1,"")</f>
        <v/>
      </c>
      <c r="AM517">
        <f>IF($D517="","",IF(OR($R517=TRUE(),$R517="TRUE"),1,0))</f>
        <v/>
      </c>
      <c r="AN517">
        <f>IF($D517="","",IF($AA517="Yes",1,0))</f>
        <v/>
      </c>
      <c r="AO517">
        <f>IF($AK517=1,IFERROR(IF(VALUE($D517)&lt;100000000,VALUE($D517),1000000000),IFERROR(IF(VALUE(MID($D517,2,20))&lt;100000000,VALUE(MID($D517,2,20)),1000000000),1000000000))+ROW()/100000,"")</f>
        <v/>
      </c>
    </row>
    <row r="518">
      <c r="F518" s="11" t="n"/>
      <c r="N518" s="7">
        <f>IF($D518="","",M518*V518/100)</f>
        <v/>
      </c>
      <c r="O518" s="7" t="n"/>
      <c r="U518" s="7" t="n"/>
      <c r="V518" s="7" t="n"/>
      <c r="W518" s="7">
        <f>IF($D518="","",V518*AB518/100)</f>
        <v/>
      </c>
      <c r="X518" s="7">
        <f>IF($D518="","",V518-W518)</f>
        <v/>
      </c>
      <c r="Y518" s="7">
        <f>IF($D518="","",X518-N518)</f>
        <v/>
      </c>
      <c r="AB518">
        <f>IF($D518="","",IF($AN518=1,0,IF($AM518=1,Settings!$C$6,Settings!$C$7))*100)</f>
        <v/>
      </c>
      <c r="AF518" s="7" t="n"/>
      <c r="AI518" s="11" t="n"/>
      <c r="AK518">
        <f>IF($D518="","",IF(COUNTIF($D$2:$D518,$D518)=1,1,0))</f>
        <v/>
      </c>
      <c r="AL518">
        <f>IF($AK518=1,SUMPRODUCT(--($AO$2:$AO$1501&lt;$AO518))+1,"")</f>
        <v/>
      </c>
      <c r="AM518">
        <f>IF($D518="","",IF(OR($R518=TRUE(),$R518="TRUE"),1,0))</f>
        <v/>
      </c>
      <c r="AN518">
        <f>IF($D518="","",IF($AA518="Yes",1,0))</f>
        <v/>
      </c>
      <c r="AO518">
        <f>IF($AK518=1,IFERROR(IF(VALUE($D518)&lt;100000000,VALUE($D518),1000000000),IFERROR(IF(VALUE(MID($D518,2,20))&lt;100000000,VALUE(MID($D518,2,20)),1000000000),1000000000))+ROW()/100000,"")</f>
        <v/>
      </c>
    </row>
    <row r="519">
      <c r="F519" s="11" t="n"/>
      <c r="N519" s="7">
        <f>IF($D519="","",M519*V519/100)</f>
        <v/>
      </c>
      <c r="O519" s="7" t="n"/>
      <c r="U519" s="7" t="n"/>
      <c r="V519" s="7" t="n"/>
      <c r="W519" s="7">
        <f>IF($D519="","",V519*AB519/100)</f>
        <v/>
      </c>
      <c r="X519" s="7">
        <f>IF($D519="","",V519-W519)</f>
        <v/>
      </c>
      <c r="Y519" s="7">
        <f>IF($D519="","",X519-N519)</f>
        <v/>
      </c>
      <c r="AB519">
        <f>IF($D519="","",IF($AN519=1,0,IF($AM519=1,Settings!$C$6,Settings!$C$7))*100)</f>
        <v/>
      </c>
      <c r="AF519" s="7" t="n"/>
      <c r="AI519" s="11" t="n"/>
      <c r="AK519">
        <f>IF($D519="","",IF(COUNTIF($D$2:$D519,$D519)=1,1,0))</f>
        <v/>
      </c>
      <c r="AL519">
        <f>IF($AK519=1,SUMPRODUCT(--($AO$2:$AO$1501&lt;$AO519))+1,"")</f>
        <v/>
      </c>
      <c r="AM519">
        <f>IF($D519="","",IF(OR($R519=TRUE(),$R519="TRUE"),1,0))</f>
        <v/>
      </c>
      <c r="AN519">
        <f>IF($D519="","",IF($AA519="Yes",1,0))</f>
        <v/>
      </c>
      <c r="AO519">
        <f>IF($AK519=1,IFERROR(IF(VALUE($D519)&lt;100000000,VALUE($D519),1000000000),IFERROR(IF(VALUE(MID($D519,2,20))&lt;100000000,VALUE(MID($D519,2,20)),1000000000),1000000000))+ROW()/100000,"")</f>
        <v/>
      </c>
    </row>
    <row r="520">
      <c r="F520" s="11" t="n"/>
      <c r="N520" s="7">
        <f>IF($D520="","",M520*V520/100)</f>
        <v/>
      </c>
      <c r="O520" s="7" t="n"/>
      <c r="U520" s="7" t="n"/>
      <c r="V520" s="7" t="n"/>
      <c r="W520" s="7">
        <f>IF($D520="","",V520*AB520/100)</f>
        <v/>
      </c>
      <c r="X520" s="7">
        <f>IF($D520="","",V520-W520)</f>
        <v/>
      </c>
      <c r="Y520" s="7">
        <f>IF($D520="","",X520-N520)</f>
        <v/>
      </c>
      <c r="AB520">
        <f>IF($D520="","",IF($AN520=1,0,IF($AM520=1,Settings!$C$6,Settings!$C$7))*100)</f>
        <v/>
      </c>
      <c r="AF520" s="7" t="n"/>
      <c r="AI520" s="11" t="n"/>
      <c r="AK520">
        <f>IF($D520="","",IF(COUNTIF($D$2:$D520,$D520)=1,1,0))</f>
        <v/>
      </c>
      <c r="AL520">
        <f>IF($AK520=1,SUMPRODUCT(--($AO$2:$AO$1501&lt;$AO520))+1,"")</f>
        <v/>
      </c>
      <c r="AM520">
        <f>IF($D520="","",IF(OR($R520=TRUE(),$R520="TRUE"),1,0))</f>
        <v/>
      </c>
      <c r="AN520">
        <f>IF($D520="","",IF($AA520="Yes",1,0))</f>
        <v/>
      </c>
      <c r="AO520">
        <f>IF($AK520=1,IFERROR(IF(VALUE($D520)&lt;100000000,VALUE($D520),1000000000),IFERROR(IF(VALUE(MID($D520,2,20))&lt;100000000,VALUE(MID($D520,2,20)),1000000000),1000000000))+ROW()/100000,"")</f>
        <v/>
      </c>
    </row>
    <row r="521">
      <c r="F521" s="11" t="n"/>
      <c r="N521" s="7">
        <f>IF($D521="","",M521*V521/100)</f>
        <v/>
      </c>
      <c r="O521" s="7" t="n"/>
      <c r="U521" s="7" t="n"/>
      <c r="V521" s="7" t="n"/>
      <c r="W521" s="7">
        <f>IF($D521="","",V521*AB521/100)</f>
        <v/>
      </c>
      <c r="X521" s="7">
        <f>IF($D521="","",V521-W521)</f>
        <v/>
      </c>
      <c r="Y521" s="7">
        <f>IF($D521="","",X521-N521)</f>
        <v/>
      </c>
      <c r="AB521">
        <f>IF($D521="","",IF($AN521=1,0,IF($AM521=1,Settings!$C$6,Settings!$C$7))*100)</f>
        <v/>
      </c>
      <c r="AF521" s="7" t="n"/>
      <c r="AI521" s="11" t="n"/>
      <c r="AK521">
        <f>IF($D521="","",IF(COUNTIF($D$2:$D521,$D521)=1,1,0))</f>
        <v/>
      </c>
      <c r="AL521">
        <f>IF($AK521=1,SUMPRODUCT(--($AO$2:$AO$1501&lt;$AO521))+1,"")</f>
        <v/>
      </c>
      <c r="AM521">
        <f>IF($D521="","",IF(OR($R521=TRUE(),$R521="TRUE"),1,0))</f>
        <v/>
      </c>
      <c r="AN521">
        <f>IF($D521="","",IF($AA521="Yes",1,0))</f>
        <v/>
      </c>
      <c r="AO521">
        <f>IF($AK521=1,IFERROR(IF(VALUE($D521)&lt;100000000,VALUE($D521),1000000000),IFERROR(IF(VALUE(MID($D521,2,20))&lt;100000000,VALUE(MID($D521,2,20)),1000000000),1000000000))+ROW()/100000,"")</f>
        <v/>
      </c>
    </row>
    <row r="522">
      <c r="F522" s="11" t="n"/>
      <c r="N522" s="7">
        <f>IF($D522="","",M522*V522/100)</f>
        <v/>
      </c>
      <c r="O522" s="7" t="n"/>
      <c r="U522" s="7" t="n"/>
      <c r="V522" s="7" t="n"/>
      <c r="W522" s="7">
        <f>IF($D522="","",V522*AB522/100)</f>
        <v/>
      </c>
      <c r="X522" s="7">
        <f>IF($D522="","",V522-W522)</f>
        <v/>
      </c>
      <c r="Y522" s="7">
        <f>IF($D522="","",X522-N522)</f>
        <v/>
      </c>
      <c r="AB522">
        <f>IF($D522="","",IF($AN522=1,0,IF($AM522=1,Settings!$C$6,Settings!$C$7))*100)</f>
        <v/>
      </c>
      <c r="AF522" s="7" t="n"/>
      <c r="AI522" s="11" t="n"/>
      <c r="AK522">
        <f>IF($D522="","",IF(COUNTIF($D$2:$D522,$D522)=1,1,0))</f>
        <v/>
      </c>
      <c r="AL522">
        <f>IF($AK522=1,SUMPRODUCT(--($AO$2:$AO$1501&lt;$AO522))+1,"")</f>
        <v/>
      </c>
      <c r="AM522">
        <f>IF($D522="","",IF(OR($R522=TRUE(),$R522="TRUE"),1,0))</f>
        <v/>
      </c>
      <c r="AN522">
        <f>IF($D522="","",IF($AA522="Yes",1,0))</f>
        <v/>
      </c>
      <c r="AO522">
        <f>IF($AK522=1,IFERROR(IF(VALUE($D522)&lt;100000000,VALUE($D522),1000000000),IFERROR(IF(VALUE(MID($D522,2,20))&lt;100000000,VALUE(MID($D522,2,20)),1000000000),1000000000))+ROW()/100000,"")</f>
        <v/>
      </c>
    </row>
    <row r="523">
      <c r="F523" s="11" t="n"/>
      <c r="N523" s="7">
        <f>IF($D523="","",M523*V523/100)</f>
        <v/>
      </c>
      <c r="O523" s="7" t="n"/>
      <c r="U523" s="7" t="n"/>
      <c r="V523" s="7" t="n"/>
      <c r="W523" s="7">
        <f>IF($D523="","",V523*AB523/100)</f>
        <v/>
      </c>
      <c r="X523" s="7">
        <f>IF($D523="","",V523-W523)</f>
        <v/>
      </c>
      <c r="Y523" s="7">
        <f>IF($D523="","",X523-N523)</f>
        <v/>
      </c>
      <c r="AB523">
        <f>IF($D523="","",IF($AN523=1,0,IF($AM523=1,Settings!$C$6,Settings!$C$7))*100)</f>
        <v/>
      </c>
      <c r="AF523" s="7" t="n"/>
      <c r="AI523" s="11" t="n"/>
      <c r="AK523">
        <f>IF($D523="","",IF(COUNTIF($D$2:$D523,$D523)=1,1,0))</f>
        <v/>
      </c>
      <c r="AL523">
        <f>IF($AK523=1,SUMPRODUCT(--($AO$2:$AO$1501&lt;$AO523))+1,"")</f>
        <v/>
      </c>
      <c r="AM523">
        <f>IF($D523="","",IF(OR($R523=TRUE(),$R523="TRUE"),1,0))</f>
        <v/>
      </c>
      <c r="AN523">
        <f>IF($D523="","",IF($AA523="Yes",1,0))</f>
        <v/>
      </c>
      <c r="AO523">
        <f>IF($AK523=1,IFERROR(IF(VALUE($D523)&lt;100000000,VALUE($D523),1000000000),IFERROR(IF(VALUE(MID($D523,2,20))&lt;100000000,VALUE(MID($D523,2,20)),1000000000),1000000000))+ROW()/100000,"")</f>
        <v/>
      </c>
    </row>
    <row r="524">
      <c r="F524" s="11" t="n"/>
      <c r="N524" s="7">
        <f>IF($D524="","",M524*V524/100)</f>
        <v/>
      </c>
      <c r="O524" s="7" t="n"/>
      <c r="U524" s="7" t="n"/>
      <c r="V524" s="7" t="n"/>
      <c r="W524" s="7">
        <f>IF($D524="","",V524*AB524/100)</f>
        <v/>
      </c>
      <c r="X524" s="7">
        <f>IF($D524="","",V524-W524)</f>
        <v/>
      </c>
      <c r="Y524" s="7">
        <f>IF($D524="","",X524-N524)</f>
        <v/>
      </c>
      <c r="AB524">
        <f>IF($D524="","",IF($AN524=1,0,IF($AM524=1,Settings!$C$6,Settings!$C$7))*100)</f>
        <v/>
      </c>
      <c r="AF524" s="7" t="n"/>
      <c r="AI524" s="11" t="n"/>
      <c r="AK524">
        <f>IF($D524="","",IF(COUNTIF($D$2:$D524,$D524)=1,1,0))</f>
        <v/>
      </c>
      <c r="AL524">
        <f>IF($AK524=1,SUMPRODUCT(--($AO$2:$AO$1501&lt;$AO524))+1,"")</f>
        <v/>
      </c>
      <c r="AM524">
        <f>IF($D524="","",IF(OR($R524=TRUE(),$R524="TRUE"),1,0))</f>
        <v/>
      </c>
      <c r="AN524">
        <f>IF($D524="","",IF($AA524="Yes",1,0))</f>
        <v/>
      </c>
      <c r="AO524">
        <f>IF($AK524=1,IFERROR(IF(VALUE($D524)&lt;100000000,VALUE($D524),1000000000),IFERROR(IF(VALUE(MID($D524,2,20))&lt;100000000,VALUE(MID($D524,2,20)),1000000000),1000000000))+ROW()/100000,"")</f>
        <v/>
      </c>
    </row>
    <row r="525">
      <c r="F525" s="11" t="n"/>
      <c r="N525" s="7">
        <f>IF($D525="","",M525*V525/100)</f>
        <v/>
      </c>
      <c r="O525" s="7" t="n"/>
      <c r="U525" s="7" t="n"/>
      <c r="V525" s="7" t="n"/>
      <c r="W525" s="7">
        <f>IF($D525="","",V525*AB525/100)</f>
        <v/>
      </c>
      <c r="X525" s="7">
        <f>IF($D525="","",V525-W525)</f>
        <v/>
      </c>
      <c r="Y525" s="7">
        <f>IF($D525="","",X525-N525)</f>
        <v/>
      </c>
      <c r="AB525">
        <f>IF($D525="","",IF($AN525=1,0,IF($AM525=1,Settings!$C$6,Settings!$C$7))*100)</f>
        <v/>
      </c>
      <c r="AF525" s="7" t="n"/>
      <c r="AI525" s="11" t="n"/>
      <c r="AK525">
        <f>IF($D525="","",IF(COUNTIF($D$2:$D525,$D525)=1,1,0))</f>
        <v/>
      </c>
      <c r="AL525">
        <f>IF($AK525=1,SUMPRODUCT(--($AO$2:$AO$1501&lt;$AO525))+1,"")</f>
        <v/>
      </c>
      <c r="AM525">
        <f>IF($D525="","",IF(OR($R525=TRUE(),$R525="TRUE"),1,0))</f>
        <v/>
      </c>
      <c r="AN525">
        <f>IF($D525="","",IF($AA525="Yes",1,0))</f>
        <v/>
      </c>
      <c r="AO525">
        <f>IF($AK525=1,IFERROR(IF(VALUE($D525)&lt;100000000,VALUE($D525),1000000000),IFERROR(IF(VALUE(MID($D525,2,20))&lt;100000000,VALUE(MID($D525,2,20)),1000000000),1000000000))+ROW()/100000,"")</f>
        <v/>
      </c>
    </row>
    <row r="526">
      <c r="F526" s="11" t="n"/>
      <c r="N526" s="7">
        <f>IF($D526="","",M526*V526/100)</f>
        <v/>
      </c>
      <c r="O526" s="7" t="n"/>
      <c r="U526" s="7" t="n"/>
      <c r="V526" s="7" t="n"/>
      <c r="W526" s="7">
        <f>IF($D526="","",V526*AB526/100)</f>
        <v/>
      </c>
      <c r="X526" s="7">
        <f>IF($D526="","",V526-W526)</f>
        <v/>
      </c>
      <c r="Y526" s="7">
        <f>IF($D526="","",X526-N526)</f>
        <v/>
      </c>
      <c r="AB526">
        <f>IF($D526="","",IF($AN526=1,0,IF($AM526=1,Settings!$C$6,Settings!$C$7))*100)</f>
        <v/>
      </c>
      <c r="AF526" s="7" t="n"/>
      <c r="AI526" s="11" t="n"/>
      <c r="AK526">
        <f>IF($D526="","",IF(COUNTIF($D$2:$D526,$D526)=1,1,0))</f>
        <v/>
      </c>
      <c r="AL526">
        <f>IF($AK526=1,SUMPRODUCT(--($AO$2:$AO$1501&lt;$AO526))+1,"")</f>
        <v/>
      </c>
      <c r="AM526">
        <f>IF($D526="","",IF(OR($R526=TRUE(),$R526="TRUE"),1,0))</f>
        <v/>
      </c>
      <c r="AN526">
        <f>IF($D526="","",IF($AA526="Yes",1,0))</f>
        <v/>
      </c>
      <c r="AO526">
        <f>IF($AK526=1,IFERROR(IF(VALUE($D526)&lt;100000000,VALUE($D526),1000000000),IFERROR(IF(VALUE(MID($D526,2,20))&lt;100000000,VALUE(MID($D526,2,20)),1000000000),1000000000))+ROW()/100000,"")</f>
        <v/>
      </c>
    </row>
    <row r="527">
      <c r="F527" s="11" t="n"/>
      <c r="N527" s="7">
        <f>IF($D527="","",M527*V527/100)</f>
        <v/>
      </c>
      <c r="O527" s="7" t="n"/>
      <c r="U527" s="7" t="n"/>
      <c r="V527" s="7" t="n"/>
      <c r="W527" s="7">
        <f>IF($D527="","",V527*AB527/100)</f>
        <v/>
      </c>
      <c r="X527" s="7">
        <f>IF($D527="","",V527-W527)</f>
        <v/>
      </c>
      <c r="Y527" s="7">
        <f>IF($D527="","",X527-N527)</f>
        <v/>
      </c>
      <c r="AB527">
        <f>IF($D527="","",IF($AN527=1,0,IF($AM527=1,Settings!$C$6,Settings!$C$7))*100)</f>
        <v/>
      </c>
      <c r="AF527" s="7" t="n"/>
      <c r="AI527" s="11" t="n"/>
      <c r="AK527">
        <f>IF($D527="","",IF(COUNTIF($D$2:$D527,$D527)=1,1,0))</f>
        <v/>
      </c>
      <c r="AL527">
        <f>IF($AK527=1,SUMPRODUCT(--($AO$2:$AO$1501&lt;$AO527))+1,"")</f>
        <v/>
      </c>
      <c r="AM527">
        <f>IF($D527="","",IF(OR($R527=TRUE(),$R527="TRUE"),1,0))</f>
        <v/>
      </c>
      <c r="AN527">
        <f>IF($D527="","",IF($AA527="Yes",1,0))</f>
        <v/>
      </c>
      <c r="AO527">
        <f>IF($AK527=1,IFERROR(IF(VALUE($D527)&lt;100000000,VALUE($D527),1000000000),IFERROR(IF(VALUE(MID($D527,2,20))&lt;100000000,VALUE(MID($D527,2,20)),1000000000),1000000000))+ROW()/100000,"")</f>
        <v/>
      </c>
    </row>
    <row r="528">
      <c r="F528" s="11" t="n"/>
      <c r="N528" s="7">
        <f>IF($D528="","",M528*V528/100)</f>
        <v/>
      </c>
      <c r="O528" s="7" t="n"/>
      <c r="U528" s="7" t="n"/>
      <c r="V528" s="7" t="n"/>
      <c r="W528" s="7">
        <f>IF($D528="","",V528*AB528/100)</f>
        <v/>
      </c>
      <c r="X528" s="7">
        <f>IF($D528="","",V528-W528)</f>
        <v/>
      </c>
      <c r="Y528" s="7">
        <f>IF($D528="","",X528-N528)</f>
        <v/>
      </c>
      <c r="AB528">
        <f>IF($D528="","",IF($AN528=1,0,IF($AM528=1,Settings!$C$6,Settings!$C$7))*100)</f>
        <v/>
      </c>
      <c r="AF528" s="7" t="n"/>
      <c r="AI528" s="11" t="n"/>
      <c r="AK528">
        <f>IF($D528="","",IF(COUNTIF($D$2:$D528,$D528)=1,1,0))</f>
        <v/>
      </c>
      <c r="AL528">
        <f>IF($AK528=1,SUMPRODUCT(--($AO$2:$AO$1501&lt;$AO528))+1,"")</f>
        <v/>
      </c>
      <c r="AM528">
        <f>IF($D528="","",IF(OR($R528=TRUE(),$R528="TRUE"),1,0))</f>
        <v/>
      </c>
      <c r="AN528">
        <f>IF($D528="","",IF($AA528="Yes",1,0))</f>
        <v/>
      </c>
      <c r="AO528">
        <f>IF($AK528=1,IFERROR(IF(VALUE($D528)&lt;100000000,VALUE($D528),1000000000),IFERROR(IF(VALUE(MID($D528,2,20))&lt;100000000,VALUE(MID($D528,2,20)),1000000000),1000000000))+ROW()/100000,"")</f>
        <v/>
      </c>
    </row>
    <row r="529">
      <c r="F529" s="11" t="n"/>
      <c r="N529" s="7">
        <f>IF($D529="","",M529*V529/100)</f>
        <v/>
      </c>
      <c r="O529" s="7" t="n"/>
      <c r="U529" s="7" t="n"/>
      <c r="V529" s="7" t="n"/>
      <c r="W529" s="7">
        <f>IF($D529="","",V529*AB529/100)</f>
        <v/>
      </c>
      <c r="X529" s="7">
        <f>IF($D529="","",V529-W529)</f>
        <v/>
      </c>
      <c r="Y529" s="7">
        <f>IF($D529="","",X529-N529)</f>
        <v/>
      </c>
      <c r="AB529">
        <f>IF($D529="","",IF($AN529=1,0,IF($AM529=1,Settings!$C$6,Settings!$C$7))*100)</f>
        <v/>
      </c>
      <c r="AF529" s="7" t="n"/>
      <c r="AI529" s="11" t="n"/>
      <c r="AK529">
        <f>IF($D529="","",IF(COUNTIF($D$2:$D529,$D529)=1,1,0))</f>
        <v/>
      </c>
      <c r="AL529">
        <f>IF($AK529=1,SUMPRODUCT(--($AO$2:$AO$1501&lt;$AO529))+1,"")</f>
        <v/>
      </c>
      <c r="AM529">
        <f>IF($D529="","",IF(OR($R529=TRUE(),$R529="TRUE"),1,0))</f>
        <v/>
      </c>
      <c r="AN529">
        <f>IF($D529="","",IF($AA529="Yes",1,0))</f>
        <v/>
      </c>
      <c r="AO529">
        <f>IF($AK529=1,IFERROR(IF(VALUE($D529)&lt;100000000,VALUE($D529),1000000000),IFERROR(IF(VALUE(MID($D529,2,20))&lt;100000000,VALUE(MID($D529,2,20)),1000000000),1000000000))+ROW()/100000,"")</f>
        <v/>
      </c>
    </row>
    <row r="530">
      <c r="F530" s="11" t="n"/>
      <c r="N530" s="7">
        <f>IF($D530="","",M530*V530/100)</f>
        <v/>
      </c>
      <c r="O530" s="7" t="n"/>
      <c r="U530" s="7" t="n"/>
      <c r="V530" s="7" t="n"/>
      <c r="W530" s="7">
        <f>IF($D530="","",V530*AB530/100)</f>
        <v/>
      </c>
      <c r="X530" s="7">
        <f>IF($D530="","",V530-W530)</f>
        <v/>
      </c>
      <c r="Y530" s="7">
        <f>IF($D530="","",X530-N530)</f>
        <v/>
      </c>
      <c r="AB530">
        <f>IF($D530="","",IF($AN530=1,0,IF($AM530=1,Settings!$C$6,Settings!$C$7))*100)</f>
        <v/>
      </c>
      <c r="AF530" s="7" t="n"/>
      <c r="AI530" s="11" t="n"/>
      <c r="AK530">
        <f>IF($D530="","",IF(COUNTIF($D$2:$D530,$D530)=1,1,0))</f>
        <v/>
      </c>
      <c r="AL530">
        <f>IF($AK530=1,SUMPRODUCT(--($AO$2:$AO$1501&lt;$AO530))+1,"")</f>
        <v/>
      </c>
      <c r="AM530">
        <f>IF($D530="","",IF(OR($R530=TRUE(),$R530="TRUE"),1,0))</f>
        <v/>
      </c>
      <c r="AN530">
        <f>IF($D530="","",IF($AA530="Yes",1,0))</f>
        <v/>
      </c>
      <c r="AO530">
        <f>IF($AK530=1,IFERROR(IF(VALUE($D530)&lt;100000000,VALUE($D530),1000000000),IFERROR(IF(VALUE(MID($D530,2,20))&lt;100000000,VALUE(MID($D530,2,20)),1000000000),1000000000))+ROW()/100000,"")</f>
        <v/>
      </c>
    </row>
    <row r="531">
      <c r="F531" s="11" t="n"/>
      <c r="N531" s="7">
        <f>IF($D531="","",M531*V531/100)</f>
        <v/>
      </c>
      <c r="O531" s="7" t="n"/>
      <c r="U531" s="7" t="n"/>
      <c r="V531" s="7" t="n"/>
      <c r="W531" s="7">
        <f>IF($D531="","",V531*AB531/100)</f>
        <v/>
      </c>
      <c r="X531" s="7">
        <f>IF($D531="","",V531-W531)</f>
        <v/>
      </c>
      <c r="Y531" s="7">
        <f>IF($D531="","",X531-N531)</f>
        <v/>
      </c>
      <c r="AB531">
        <f>IF($D531="","",IF($AN531=1,0,IF($AM531=1,Settings!$C$6,Settings!$C$7))*100)</f>
        <v/>
      </c>
      <c r="AF531" s="7" t="n"/>
      <c r="AI531" s="11" t="n"/>
      <c r="AK531">
        <f>IF($D531="","",IF(COUNTIF($D$2:$D531,$D531)=1,1,0))</f>
        <v/>
      </c>
      <c r="AL531">
        <f>IF($AK531=1,SUMPRODUCT(--($AO$2:$AO$1501&lt;$AO531))+1,"")</f>
        <v/>
      </c>
      <c r="AM531">
        <f>IF($D531="","",IF(OR($R531=TRUE(),$R531="TRUE"),1,0))</f>
        <v/>
      </c>
      <c r="AN531">
        <f>IF($D531="","",IF($AA531="Yes",1,0))</f>
        <v/>
      </c>
      <c r="AO531">
        <f>IF($AK531=1,IFERROR(IF(VALUE($D531)&lt;100000000,VALUE($D531),1000000000),IFERROR(IF(VALUE(MID($D531,2,20))&lt;100000000,VALUE(MID($D531,2,20)),1000000000),1000000000))+ROW()/100000,"")</f>
        <v/>
      </c>
    </row>
    <row r="532">
      <c r="F532" s="11" t="n"/>
      <c r="N532" s="7">
        <f>IF($D532="","",M532*V532/100)</f>
        <v/>
      </c>
      <c r="O532" s="7" t="n"/>
      <c r="U532" s="7" t="n"/>
      <c r="V532" s="7" t="n"/>
      <c r="W532" s="7">
        <f>IF($D532="","",V532*AB532/100)</f>
        <v/>
      </c>
      <c r="X532" s="7">
        <f>IF($D532="","",V532-W532)</f>
        <v/>
      </c>
      <c r="Y532" s="7">
        <f>IF($D532="","",X532-N532)</f>
        <v/>
      </c>
      <c r="AB532">
        <f>IF($D532="","",IF($AN532=1,0,IF($AM532=1,Settings!$C$6,Settings!$C$7))*100)</f>
        <v/>
      </c>
      <c r="AF532" s="7" t="n"/>
      <c r="AI532" s="11" t="n"/>
      <c r="AK532">
        <f>IF($D532="","",IF(COUNTIF($D$2:$D532,$D532)=1,1,0))</f>
        <v/>
      </c>
      <c r="AL532">
        <f>IF($AK532=1,SUMPRODUCT(--($AO$2:$AO$1501&lt;$AO532))+1,"")</f>
        <v/>
      </c>
      <c r="AM532">
        <f>IF($D532="","",IF(OR($R532=TRUE(),$R532="TRUE"),1,0))</f>
        <v/>
      </c>
      <c r="AN532">
        <f>IF($D532="","",IF($AA532="Yes",1,0))</f>
        <v/>
      </c>
      <c r="AO532">
        <f>IF($AK532=1,IFERROR(IF(VALUE($D532)&lt;100000000,VALUE($D532),1000000000),IFERROR(IF(VALUE(MID($D532,2,20))&lt;100000000,VALUE(MID($D532,2,20)),1000000000),1000000000))+ROW()/100000,"")</f>
        <v/>
      </c>
    </row>
    <row r="533">
      <c r="F533" s="11" t="n"/>
      <c r="N533" s="7">
        <f>IF($D533="","",M533*V533/100)</f>
        <v/>
      </c>
      <c r="O533" s="7" t="n"/>
      <c r="U533" s="7" t="n"/>
      <c r="V533" s="7" t="n"/>
      <c r="W533" s="7">
        <f>IF($D533="","",V533*AB533/100)</f>
        <v/>
      </c>
      <c r="X533" s="7">
        <f>IF($D533="","",V533-W533)</f>
        <v/>
      </c>
      <c r="Y533" s="7">
        <f>IF($D533="","",X533-N533)</f>
        <v/>
      </c>
      <c r="AB533">
        <f>IF($D533="","",IF($AN533=1,0,IF($AM533=1,Settings!$C$6,Settings!$C$7))*100)</f>
        <v/>
      </c>
      <c r="AF533" s="7" t="n"/>
      <c r="AI533" s="11" t="n"/>
      <c r="AK533">
        <f>IF($D533="","",IF(COUNTIF($D$2:$D533,$D533)=1,1,0))</f>
        <v/>
      </c>
      <c r="AL533">
        <f>IF($AK533=1,SUMPRODUCT(--($AO$2:$AO$1501&lt;$AO533))+1,"")</f>
        <v/>
      </c>
      <c r="AM533">
        <f>IF($D533="","",IF(OR($R533=TRUE(),$R533="TRUE"),1,0))</f>
        <v/>
      </c>
      <c r="AN533">
        <f>IF($D533="","",IF($AA533="Yes",1,0))</f>
        <v/>
      </c>
      <c r="AO533">
        <f>IF($AK533=1,IFERROR(IF(VALUE($D533)&lt;100000000,VALUE($D533),1000000000),IFERROR(IF(VALUE(MID($D533,2,20))&lt;100000000,VALUE(MID($D533,2,20)),1000000000),1000000000))+ROW()/100000,"")</f>
        <v/>
      </c>
    </row>
    <row r="534">
      <c r="F534" s="11" t="n"/>
      <c r="N534" s="7">
        <f>IF($D534="","",M534*V534/100)</f>
        <v/>
      </c>
      <c r="O534" s="7" t="n"/>
      <c r="U534" s="7" t="n"/>
      <c r="V534" s="7" t="n"/>
      <c r="W534" s="7">
        <f>IF($D534="","",V534*AB534/100)</f>
        <v/>
      </c>
      <c r="X534" s="7">
        <f>IF($D534="","",V534-W534)</f>
        <v/>
      </c>
      <c r="Y534" s="7">
        <f>IF($D534="","",X534-N534)</f>
        <v/>
      </c>
      <c r="AB534">
        <f>IF($D534="","",IF($AN534=1,0,IF($AM534=1,Settings!$C$6,Settings!$C$7))*100)</f>
        <v/>
      </c>
      <c r="AF534" s="7" t="n"/>
      <c r="AI534" s="11" t="n"/>
      <c r="AK534">
        <f>IF($D534="","",IF(COUNTIF($D$2:$D534,$D534)=1,1,0))</f>
        <v/>
      </c>
      <c r="AL534">
        <f>IF($AK534=1,SUMPRODUCT(--($AO$2:$AO$1501&lt;$AO534))+1,"")</f>
        <v/>
      </c>
      <c r="AM534">
        <f>IF($D534="","",IF(OR($R534=TRUE(),$R534="TRUE"),1,0))</f>
        <v/>
      </c>
      <c r="AN534">
        <f>IF($D534="","",IF($AA534="Yes",1,0))</f>
        <v/>
      </c>
      <c r="AO534">
        <f>IF($AK534=1,IFERROR(IF(VALUE($D534)&lt;100000000,VALUE($D534),1000000000),IFERROR(IF(VALUE(MID($D534,2,20))&lt;100000000,VALUE(MID($D534,2,20)),1000000000),1000000000))+ROW()/100000,"")</f>
        <v/>
      </c>
    </row>
    <row r="535">
      <c r="F535" s="11" t="n"/>
      <c r="N535" s="7">
        <f>IF($D535="","",M535*V535/100)</f>
        <v/>
      </c>
      <c r="O535" s="7" t="n"/>
      <c r="U535" s="7" t="n"/>
      <c r="V535" s="7" t="n"/>
      <c r="W535" s="7">
        <f>IF($D535="","",V535*AB535/100)</f>
        <v/>
      </c>
      <c r="X535" s="7">
        <f>IF($D535="","",V535-W535)</f>
        <v/>
      </c>
      <c r="Y535" s="7">
        <f>IF($D535="","",X535-N535)</f>
        <v/>
      </c>
      <c r="AB535">
        <f>IF($D535="","",IF($AN535=1,0,IF($AM535=1,Settings!$C$6,Settings!$C$7))*100)</f>
        <v/>
      </c>
      <c r="AF535" s="7" t="n"/>
      <c r="AI535" s="11" t="n"/>
      <c r="AK535">
        <f>IF($D535="","",IF(COUNTIF($D$2:$D535,$D535)=1,1,0))</f>
        <v/>
      </c>
      <c r="AL535">
        <f>IF($AK535=1,SUMPRODUCT(--($AO$2:$AO$1501&lt;$AO535))+1,"")</f>
        <v/>
      </c>
      <c r="AM535">
        <f>IF($D535="","",IF(OR($R535=TRUE(),$R535="TRUE"),1,0))</f>
        <v/>
      </c>
      <c r="AN535">
        <f>IF($D535="","",IF($AA535="Yes",1,0))</f>
        <v/>
      </c>
      <c r="AO535">
        <f>IF($AK535=1,IFERROR(IF(VALUE($D535)&lt;100000000,VALUE($D535),1000000000),IFERROR(IF(VALUE(MID($D535,2,20))&lt;100000000,VALUE(MID($D535,2,20)),1000000000),1000000000))+ROW()/100000,"")</f>
        <v/>
      </c>
    </row>
    <row r="536">
      <c r="F536" s="11" t="n"/>
      <c r="N536" s="7">
        <f>IF($D536="","",M536*V536/100)</f>
        <v/>
      </c>
      <c r="O536" s="7" t="n"/>
      <c r="U536" s="7" t="n"/>
      <c r="V536" s="7" t="n"/>
      <c r="W536" s="7">
        <f>IF($D536="","",V536*AB536/100)</f>
        <v/>
      </c>
      <c r="X536" s="7">
        <f>IF($D536="","",V536-W536)</f>
        <v/>
      </c>
      <c r="Y536" s="7">
        <f>IF($D536="","",X536-N536)</f>
        <v/>
      </c>
      <c r="AB536">
        <f>IF($D536="","",IF($AN536=1,0,IF($AM536=1,Settings!$C$6,Settings!$C$7))*100)</f>
        <v/>
      </c>
      <c r="AF536" s="7" t="n"/>
      <c r="AI536" s="11" t="n"/>
      <c r="AK536">
        <f>IF($D536="","",IF(COUNTIF($D$2:$D536,$D536)=1,1,0))</f>
        <v/>
      </c>
      <c r="AL536">
        <f>IF($AK536=1,SUMPRODUCT(--($AO$2:$AO$1501&lt;$AO536))+1,"")</f>
        <v/>
      </c>
      <c r="AM536">
        <f>IF($D536="","",IF(OR($R536=TRUE(),$R536="TRUE"),1,0))</f>
        <v/>
      </c>
      <c r="AN536">
        <f>IF($D536="","",IF($AA536="Yes",1,0))</f>
        <v/>
      </c>
      <c r="AO536">
        <f>IF($AK536=1,IFERROR(IF(VALUE($D536)&lt;100000000,VALUE($D536),1000000000),IFERROR(IF(VALUE(MID($D536,2,20))&lt;100000000,VALUE(MID($D536,2,20)),1000000000),1000000000))+ROW()/100000,"")</f>
        <v/>
      </c>
    </row>
    <row r="537">
      <c r="F537" s="11" t="n"/>
      <c r="N537" s="7">
        <f>IF($D537="","",M537*V537/100)</f>
        <v/>
      </c>
      <c r="O537" s="7" t="n"/>
      <c r="U537" s="7" t="n"/>
      <c r="V537" s="7" t="n"/>
      <c r="W537" s="7">
        <f>IF($D537="","",V537*AB537/100)</f>
        <v/>
      </c>
      <c r="X537" s="7">
        <f>IF($D537="","",V537-W537)</f>
        <v/>
      </c>
      <c r="Y537" s="7">
        <f>IF($D537="","",X537-N537)</f>
        <v/>
      </c>
      <c r="AB537">
        <f>IF($D537="","",IF($AN537=1,0,IF($AM537=1,Settings!$C$6,Settings!$C$7))*100)</f>
        <v/>
      </c>
      <c r="AF537" s="7" t="n"/>
      <c r="AI537" s="11" t="n"/>
      <c r="AK537">
        <f>IF($D537="","",IF(COUNTIF($D$2:$D537,$D537)=1,1,0))</f>
        <v/>
      </c>
      <c r="AL537">
        <f>IF($AK537=1,SUMPRODUCT(--($AO$2:$AO$1501&lt;$AO537))+1,"")</f>
        <v/>
      </c>
      <c r="AM537">
        <f>IF($D537="","",IF(OR($R537=TRUE(),$R537="TRUE"),1,0))</f>
        <v/>
      </c>
      <c r="AN537">
        <f>IF($D537="","",IF($AA537="Yes",1,0))</f>
        <v/>
      </c>
      <c r="AO537">
        <f>IF($AK537=1,IFERROR(IF(VALUE($D537)&lt;100000000,VALUE($D537),1000000000),IFERROR(IF(VALUE(MID($D537,2,20))&lt;100000000,VALUE(MID($D537,2,20)),1000000000),1000000000))+ROW()/100000,"")</f>
        <v/>
      </c>
    </row>
    <row r="538">
      <c r="F538" s="11" t="n"/>
      <c r="N538" s="7">
        <f>IF($D538="","",M538*V538/100)</f>
        <v/>
      </c>
      <c r="O538" s="7" t="n"/>
      <c r="U538" s="7" t="n"/>
      <c r="V538" s="7" t="n"/>
      <c r="W538" s="7">
        <f>IF($D538="","",V538*AB538/100)</f>
        <v/>
      </c>
      <c r="X538" s="7">
        <f>IF($D538="","",V538-W538)</f>
        <v/>
      </c>
      <c r="Y538" s="7">
        <f>IF($D538="","",X538-N538)</f>
        <v/>
      </c>
      <c r="AB538">
        <f>IF($D538="","",IF($AN538=1,0,IF($AM538=1,Settings!$C$6,Settings!$C$7))*100)</f>
        <v/>
      </c>
      <c r="AF538" s="7" t="n"/>
      <c r="AI538" s="11" t="n"/>
      <c r="AK538">
        <f>IF($D538="","",IF(COUNTIF($D$2:$D538,$D538)=1,1,0))</f>
        <v/>
      </c>
      <c r="AL538">
        <f>IF($AK538=1,SUMPRODUCT(--($AO$2:$AO$1501&lt;$AO538))+1,"")</f>
        <v/>
      </c>
      <c r="AM538">
        <f>IF($D538="","",IF(OR($R538=TRUE(),$R538="TRUE"),1,0))</f>
        <v/>
      </c>
      <c r="AN538">
        <f>IF($D538="","",IF($AA538="Yes",1,0))</f>
        <v/>
      </c>
      <c r="AO538">
        <f>IF($AK538=1,IFERROR(IF(VALUE($D538)&lt;100000000,VALUE($D538),1000000000),IFERROR(IF(VALUE(MID($D538,2,20))&lt;100000000,VALUE(MID($D538,2,20)),1000000000),1000000000))+ROW()/100000,"")</f>
        <v/>
      </c>
    </row>
    <row r="539">
      <c r="F539" s="11" t="n"/>
      <c r="N539" s="7">
        <f>IF($D539="","",M539*V539/100)</f>
        <v/>
      </c>
      <c r="O539" s="7" t="n"/>
      <c r="U539" s="7" t="n"/>
      <c r="V539" s="7" t="n"/>
      <c r="W539" s="7">
        <f>IF($D539="","",V539*AB539/100)</f>
        <v/>
      </c>
      <c r="X539" s="7">
        <f>IF($D539="","",V539-W539)</f>
        <v/>
      </c>
      <c r="Y539" s="7">
        <f>IF($D539="","",X539-N539)</f>
        <v/>
      </c>
      <c r="AB539">
        <f>IF($D539="","",IF($AN539=1,0,IF($AM539=1,Settings!$C$6,Settings!$C$7))*100)</f>
        <v/>
      </c>
      <c r="AF539" s="7" t="n"/>
      <c r="AI539" s="11" t="n"/>
      <c r="AK539">
        <f>IF($D539="","",IF(COUNTIF($D$2:$D539,$D539)=1,1,0))</f>
        <v/>
      </c>
      <c r="AL539">
        <f>IF($AK539=1,SUMPRODUCT(--($AO$2:$AO$1501&lt;$AO539))+1,"")</f>
        <v/>
      </c>
      <c r="AM539">
        <f>IF($D539="","",IF(OR($R539=TRUE(),$R539="TRUE"),1,0))</f>
        <v/>
      </c>
      <c r="AN539">
        <f>IF($D539="","",IF($AA539="Yes",1,0))</f>
        <v/>
      </c>
      <c r="AO539">
        <f>IF($AK539=1,IFERROR(IF(VALUE($D539)&lt;100000000,VALUE($D539),1000000000),IFERROR(IF(VALUE(MID($D539,2,20))&lt;100000000,VALUE(MID($D539,2,20)),1000000000),1000000000))+ROW()/100000,"")</f>
        <v/>
      </c>
    </row>
    <row r="540">
      <c r="F540" s="11" t="n"/>
      <c r="N540" s="7">
        <f>IF($D540="","",M540*V540/100)</f>
        <v/>
      </c>
      <c r="O540" s="7" t="n"/>
      <c r="U540" s="7" t="n"/>
      <c r="V540" s="7" t="n"/>
      <c r="W540" s="7">
        <f>IF($D540="","",V540*AB540/100)</f>
        <v/>
      </c>
      <c r="X540" s="7">
        <f>IF($D540="","",V540-W540)</f>
        <v/>
      </c>
      <c r="Y540" s="7">
        <f>IF($D540="","",X540-N540)</f>
        <v/>
      </c>
      <c r="AB540">
        <f>IF($D540="","",IF($AN540=1,0,IF($AM540=1,Settings!$C$6,Settings!$C$7))*100)</f>
        <v/>
      </c>
      <c r="AF540" s="7" t="n"/>
      <c r="AI540" s="11" t="n"/>
      <c r="AK540">
        <f>IF($D540="","",IF(COUNTIF($D$2:$D540,$D540)=1,1,0))</f>
        <v/>
      </c>
      <c r="AL540">
        <f>IF($AK540=1,SUMPRODUCT(--($AO$2:$AO$1501&lt;$AO540))+1,"")</f>
        <v/>
      </c>
      <c r="AM540">
        <f>IF($D540="","",IF(OR($R540=TRUE(),$R540="TRUE"),1,0))</f>
        <v/>
      </c>
      <c r="AN540">
        <f>IF($D540="","",IF($AA540="Yes",1,0))</f>
        <v/>
      </c>
      <c r="AO540">
        <f>IF($AK540=1,IFERROR(IF(VALUE($D540)&lt;100000000,VALUE($D540),1000000000),IFERROR(IF(VALUE(MID($D540,2,20))&lt;100000000,VALUE(MID($D540,2,20)),1000000000),1000000000))+ROW()/100000,"")</f>
        <v/>
      </c>
    </row>
    <row r="541">
      <c r="F541" s="11" t="n"/>
      <c r="N541" s="7">
        <f>IF($D541="","",M541*V541/100)</f>
        <v/>
      </c>
      <c r="O541" s="7" t="n"/>
      <c r="U541" s="7" t="n"/>
      <c r="V541" s="7" t="n"/>
      <c r="W541" s="7">
        <f>IF($D541="","",V541*AB541/100)</f>
        <v/>
      </c>
      <c r="X541" s="7">
        <f>IF($D541="","",V541-W541)</f>
        <v/>
      </c>
      <c r="Y541" s="7">
        <f>IF($D541="","",X541-N541)</f>
        <v/>
      </c>
      <c r="AB541">
        <f>IF($D541="","",IF($AN541=1,0,IF($AM541=1,Settings!$C$6,Settings!$C$7))*100)</f>
        <v/>
      </c>
      <c r="AF541" s="7" t="n"/>
      <c r="AI541" s="11" t="n"/>
      <c r="AK541">
        <f>IF($D541="","",IF(COUNTIF($D$2:$D541,$D541)=1,1,0))</f>
        <v/>
      </c>
      <c r="AL541">
        <f>IF($AK541=1,SUMPRODUCT(--($AO$2:$AO$1501&lt;$AO541))+1,"")</f>
        <v/>
      </c>
      <c r="AM541">
        <f>IF($D541="","",IF(OR($R541=TRUE(),$R541="TRUE"),1,0))</f>
        <v/>
      </c>
      <c r="AN541">
        <f>IF($D541="","",IF($AA541="Yes",1,0))</f>
        <v/>
      </c>
      <c r="AO541">
        <f>IF($AK541=1,IFERROR(IF(VALUE($D541)&lt;100000000,VALUE($D541),1000000000),IFERROR(IF(VALUE(MID($D541,2,20))&lt;100000000,VALUE(MID($D541,2,20)),1000000000),1000000000))+ROW()/100000,"")</f>
        <v/>
      </c>
    </row>
    <row r="542">
      <c r="F542" s="11" t="n"/>
      <c r="N542" s="7">
        <f>IF($D542="","",M542*V542/100)</f>
        <v/>
      </c>
      <c r="O542" s="7" t="n"/>
      <c r="U542" s="7" t="n"/>
      <c r="V542" s="7" t="n"/>
      <c r="W542" s="7">
        <f>IF($D542="","",V542*AB542/100)</f>
        <v/>
      </c>
      <c r="X542" s="7">
        <f>IF($D542="","",V542-W542)</f>
        <v/>
      </c>
      <c r="Y542" s="7">
        <f>IF($D542="","",X542-N542)</f>
        <v/>
      </c>
      <c r="AB542">
        <f>IF($D542="","",IF($AN542=1,0,IF($AM542=1,Settings!$C$6,Settings!$C$7))*100)</f>
        <v/>
      </c>
      <c r="AF542" s="7" t="n"/>
      <c r="AI542" s="11" t="n"/>
      <c r="AK542">
        <f>IF($D542="","",IF(COUNTIF($D$2:$D542,$D542)=1,1,0))</f>
        <v/>
      </c>
      <c r="AL542">
        <f>IF($AK542=1,SUMPRODUCT(--($AO$2:$AO$1501&lt;$AO542))+1,"")</f>
        <v/>
      </c>
      <c r="AM542">
        <f>IF($D542="","",IF(OR($R542=TRUE(),$R542="TRUE"),1,0))</f>
        <v/>
      </c>
      <c r="AN542">
        <f>IF($D542="","",IF($AA542="Yes",1,0))</f>
        <v/>
      </c>
      <c r="AO542">
        <f>IF($AK542=1,IFERROR(IF(VALUE($D542)&lt;100000000,VALUE($D542),1000000000),IFERROR(IF(VALUE(MID($D542,2,20))&lt;100000000,VALUE(MID($D542,2,20)),1000000000),1000000000))+ROW()/100000,"")</f>
        <v/>
      </c>
    </row>
    <row r="543">
      <c r="F543" s="11" t="n"/>
      <c r="N543" s="7">
        <f>IF($D543="","",M543*V543/100)</f>
        <v/>
      </c>
      <c r="O543" s="7" t="n"/>
      <c r="U543" s="7" t="n"/>
      <c r="V543" s="7" t="n"/>
      <c r="W543" s="7">
        <f>IF($D543="","",V543*AB543/100)</f>
        <v/>
      </c>
      <c r="X543" s="7">
        <f>IF($D543="","",V543-W543)</f>
        <v/>
      </c>
      <c r="Y543" s="7">
        <f>IF($D543="","",X543-N543)</f>
        <v/>
      </c>
      <c r="AB543">
        <f>IF($D543="","",IF($AN543=1,0,IF($AM543=1,Settings!$C$6,Settings!$C$7))*100)</f>
        <v/>
      </c>
      <c r="AF543" s="7" t="n"/>
      <c r="AI543" s="11" t="n"/>
      <c r="AK543">
        <f>IF($D543="","",IF(COUNTIF($D$2:$D543,$D543)=1,1,0))</f>
        <v/>
      </c>
      <c r="AL543">
        <f>IF($AK543=1,SUMPRODUCT(--($AO$2:$AO$1501&lt;$AO543))+1,"")</f>
        <v/>
      </c>
      <c r="AM543">
        <f>IF($D543="","",IF(OR($R543=TRUE(),$R543="TRUE"),1,0))</f>
        <v/>
      </c>
      <c r="AN543">
        <f>IF($D543="","",IF($AA543="Yes",1,0))</f>
        <v/>
      </c>
      <c r="AO543">
        <f>IF($AK543=1,IFERROR(IF(VALUE($D543)&lt;100000000,VALUE($D543),1000000000),IFERROR(IF(VALUE(MID($D543,2,20))&lt;100000000,VALUE(MID($D543,2,20)),1000000000),1000000000))+ROW()/100000,"")</f>
        <v/>
      </c>
    </row>
    <row r="544">
      <c r="F544" s="11" t="n"/>
      <c r="N544" s="7">
        <f>IF($D544="","",M544*V544/100)</f>
        <v/>
      </c>
      <c r="O544" s="7" t="n"/>
      <c r="U544" s="7" t="n"/>
      <c r="V544" s="7" t="n"/>
      <c r="W544" s="7">
        <f>IF($D544="","",V544*AB544/100)</f>
        <v/>
      </c>
      <c r="X544" s="7">
        <f>IF($D544="","",V544-W544)</f>
        <v/>
      </c>
      <c r="Y544" s="7">
        <f>IF($D544="","",X544-N544)</f>
        <v/>
      </c>
      <c r="AB544">
        <f>IF($D544="","",IF($AN544=1,0,IF($AM544=1,Settings!$C$6,Settings!$C$7))*100)</f>
        <v/>
      </c>
      <c r="AF544" s="7" t="n"/>
      <c r="AI544" s="11" t="n"/>
      <c r="AK544">
        <f>IF($D544="","",IF(COUNTIF($D$2:$D544,$D544)=1,1,0))</f>
        <v/>
      </c>
      <c r="AL544">
        <f>IF($AK544=1,SUMPRODUCT(--($AO$2:$AO$1501&lt;$AO544))+1,"")</f>
        <v/>
      </c>
      <c r="AM544">
        <f>IF($D544="","",IF(OR($R544=TRUE(),$R544="TRUE"),1,0))</f>
        <v/>
      </c>
      <c r="AN544">
        <f>IF($D544="","",IF($AA544="Yes",1,0))</f>
        <v/>
      </c>
      <c r="AO544">
        <f>IF($AK544=1,IFERROR(IF(VALUE($D544)&lt;100000000,VALUE($D544),1000000000),IFERROR(IF(VALUE(MID($D544,2,20))&lt;100000000,VALUE(MID($D544,2,20)),1000000000),1000000000))+ROW()/100000,"")</f>
        <v/>
      </c>
    </row>
    <row r="545">
      <c r="F545" s="11" t="n"/>
      <c r="N545" s="7">
        <f>IF($D545="","",M545*V545/100)</f>
        <v/>
      </c>
      <c r="O545" s="7" t="n"/>
      <c r="U545" s="7" t="n"/>
      <c r="V545" s="7" t="n"/>
      <c r="W545" s="7">
        <f>IF($D545="","",V545*AB545/100)</f>
        <v/>
      </c>
      <c r="X545" s="7">
        <f>IF($D545="","",V545-W545)</f>
        <v/>
      </c>
      <c r="Y545" s="7">
        <f>IF($D545="","",X545-N545)</f>
        <v/>
      </c>
      <c r="AB545">
        <f>IF($D545="","",IF($AN545=1,0,IF($AM545=1,Settings!$C$6,Settings!$C$7))*100)</f>
        <v/>
      </c>
      <c r="AF545" s="7" t="n"/>
      <c r="AI545" s="11" t="n"/>
      <c r="AK545">
        <f>IF($D545="","",IF(COUNTIF($D$2:$D545,$D545)=1,1,0))</f>
        <v/>
      </c>
      <c r="AL545">
        <f>IF($AK545=1,SUMPRODUCT(--($AO$2:$AO$1501&lt;$AO545))+1,"")</f>
        <v/>
      </c>
      <c r="AM545">
        <f>IF($D545="","",IF(OR($R545=TRUE(),$R545="TRUE"),1,0))</f>
        <v/>
      </c>
      <c r="AN545">
        <f>IF($D545="","",IF($AA545="Yes",1,0))</f>
        <v/>
      </c>
      <c r="AO545">
        <f>IF($AK545=1,IFERROR(IF(VALUE($D545)&lt;100000000,VALUE($D545),1000000000),IFERROR(IF(VALUE(MID($D545,2,20))&lt;100000000,VALUE(MID($D545,2,20)),1000000000),1000000000))+ROW()/100000,"")</f>
        <v/>
      </c>
    </row>
    <row r="546">
      <c r="F546" s="11" t="n"/>
      <c r="N546" s="7">
        <f>IF($D546="","",M546*V546/100)</f>
        <v/>
      </c>
      <c r="O546" s="7" t="n"/>
      <c r="U546" s="7" t="n"/>
      <c r="V546" s="7" t="n"/>
      <c r="W546" s="7">
        <f>IF($D546="","",V546*AB546/100)</f>
        <v/>
      </c>
      <c r="X546" s="7">
        <f>IF($D546="","",V546-W546)</f>
        <v/>
      </c>
      <c r="Y546" s="7">
        <f>IF($D546="","",X546-N546)</f>
        <v/>
      </c>
      <c r="AB546">
        <f>IF($D546="","",IF($AN546=1,0,IF($AM546=1,Settings!$C$6,Settings!$C$7))*100)</f>
        <v/>
      </c>
      <c r="AF546" s="7" t="n"/>
      <c r="AI546" s="11" t="n"/>
      <c r="AK546">
        <f>IF($D546="","",IF(COUNTIF($D$2:$D546,$D546)=1,1,0))</f>
        <v/>
      </c>
      <c r="AL546">
        <f>IF($AK546=1,SUMPRODUCT(--($AO$2:$AO$1501&lt;$AO546))+1,"")</f>
        <v/>
      </c>
      <c r="AM546">
        <f>IF($D546="","",IF(OR($R546=TRUE(),$R546="TRUE"),1,0))</f>
        <v/>
      </c>
      <c r="AN546">
        <f>IF($D546="","",IF($AA546="Yes",1,0))</f>
        <v/>
      </c>
      <c r="AO546">
        <f>IF($AK546=1,IFERROR(IF(VALUE($D546)&lt;100000000,VALUE($D546),1000000000),IFERROR(IF(VALUE(MID($D546,2,20))&lt;100000000,VALUE(MID($D546,2,20)),1000000000),1000000000))+ROW()/100000,"")</f>
        <v/>
      </c>
    </row>
    <row r="547">
      <c r="F547" s="11" t="n"/>
      <c r="N547" s="7">
        <f>IF($D547="","",M547*V547/100)</f>
        <v/>
      </c>
      <c r="O547" s="7" t="n"/>
      <c r="U547" s="7" t="n"/>
      <c r="V547" s="7" t="n"/>
      <c r="W547" s="7">
        <f>IF($D547="","",V547*AB547/100)</f>
        <v/>
      </c>
      <c r="X547" s="7">
        <f>IF($D547="","",V547-W547)</f>
        <v/>
      </c>
      <c r="Y547" s="7">
        <f>IF($D547="","",X547-N547)</f>
        <v/>
      </c>
      <c r="AB547">
        <f>IF($D547="","",IF($AN547=1,0,IF($AM547=1,Settings!$C$6,Settings!$C$7))*100)</f>
        <v/>
      </c>
      <c r="AF547" s="7" t="n"/>
      <c r="AI547" s="11" t="n"/>
      <c r="AK547">
        <f>IF($D547="","",IF(COUNTIF($D$2:$D547,$D547)=1,1,0))</f>
        <v/>
      </c>
      <c r="AL547">
        <f>IF($AK547=1,SUMPRODUCT(--($AO$2:$AO$1501&lt;$AO547))+1,"")</f>
        <v/>
      </c>
      <c r="AM547">
        <f>IF($D547="","",IF(OR($R547=TRUE(),$R547="TRUE"),1,0))</f>
        <v/>
      </c>
      <c r="AN547">
        <f>IF($D547="","",IF($AA547="Yes",1,0))</f>
        <v/>
      </c>
      <c r="AO547">
        <f>IF($AK547=1,IFERROR(IF(VALUE($D547)&lt;100000000,VALUE($D547),1000000000),IFERROR(IF(VALUE(MID($D547,2,20))&lt;100000000,VALUE(MID($D547,2,20)),1000000000),1000000000))+ROW()/100000,"")</f>
        <v/>
      </c>
    </row>
    <row r="548">
      <c r="F548" s="11" t="n"/>
      <c r="N548" s="7">
        <f>IF($D548="","",M548*V548/100)</f>
        <v/>
      </c>
      <c r="O548" s="7" t="n"/>
      <c r="U548" s="7" t="n"/>
      <c r="V548" s="7" t="n"/>
      <c r="W548" s="7">
        <f>IF($D548="","",V548*AB548/100)</f>
        <v/>
      </c>
      <c r="X548" s="7">
        <f>IF($D548="","",V548-W548)</f>
        <v/>
      </c>
      <c r="Y548" s="7">
        <f>IF($D548="","",X548-N548)</f>
        <v/>
      </c>
      <c r="AB548">
        <f>IF($D548="","",IF($AN548=1,0,IF($AM548=1,Settings!$C$6,Settings!$C$7))*100)</f>
        <v/>
      </c>
      <c r="AF548" s="7" t="n"/>
      <c r="AI548" s="11" t="n"/>
      <c r="AK548">
        <f>IF($D548="","",IF(COUNTIF($D$2:$D548,$D548)=1,1,0))</f>
        <v/>
      </c>
      <c r="AL548">
        <f>IF($AK548=1,SUMPRODUCT(--($AO$2:$AO$1501&lt;$AO548))+1,"")</f>
        <v/>
      </c>
      <c r="AM548">
        <f>IF($D548="","",IF(OR($R548=TRUE(),$R548="TRUE"),1,0))</f>
        <v/>
      </c>
      <c r="AN548">
        <f>IF($D548="","",IF($AA548="Yes",1,0))</f>
        <v/>
      </c>
      <c r="AO548">
        <f>IF($AK548=1,IFERROR(IF(VALUE($D548)&lt;100000000,VALUE($D548),1000000000),IFERROR(IF(VALUE(MID($D548,2,20))&lt;100000000,VALUE(MID($D548,2,20)),1000000000),1000000000))+ROW()/100000,"")</f>
        <v/>
      </c>
    </row>
    <row r="549">
      <c r="F549" s="11" t="n"/>
      <c r="N549" s="7">
        <f>IF($D549="","",M549*V549/100)</f>
        <v/>
      </c>
      <c r="O549" s="7" t="n"/>
      <c r="U549" s="7" t="n"/>
      <c r="V549" s="7" t="n"/>
      <c r="W549" s="7">
        <f>IF($D549="","",V549*AB549/100)</f>
        <v/>
      </c>
      <c r="X549" s="7">
        <f>IF($D549="","",V549-W549)</f>
        <v/>
      </c>
      <c r="Y549" s="7">
        <f>IF($D549="","",X549-N549)</f>
        <v/>
      </c>
      <c r="AB549">
        <f>IF($D549="","",IF($AN549=1,0,IF($AM549=1,Settings!$C$6,Settings!$C$7))*100)</f>
        <v/>
      </c>
      <c r="AF549" s="7" t="n"/>
      <c r="AI549" s="11" t="n"/>
      <c r="AK549">
        <f>IF($D549="","",IF(COUNTIF($D$2:$D549,$D549)=1,1,0))</f>
        <v/>
      </c>
      <c r="AL549">
        <f>IF($AK549=1,SUMPRODUCT(--($AO$2:$AO$1501&lt;$AO549))+1,"")</f>
        <v/>
      </c>
      <c r="AM549">
        <f>IF($D549="","",IF(OR($R549=TRUE(),$R549="TRUE"),1,0))</f>
        <v/>
      </c>
      <c r="AN549">
        <f>IF($D549="","",IF($AA549="Yes",1,0))</f>
        <v/>
      </c>
      <c r="AO549">
        <f>IF($AK549=1,IFERROR(IF(VALUE($D549)&lt;100000000,VALUE($D549),1000000000),IFERROR(IF(VALUE(MID($D549,2,20))&lt;100000000,VALUE(MID($D549,2,20)),1000000000),1000000000))+ROW()/100000,"")</f>
        <v/>
      </c>
    </row>
    <row r="550">
      <c r="F550" s="11" t="n"/>
      <c r="N550" s="7">
        <f>IF($D550="","",M550*V550/100)</f>
        <v/>
      </c>
      <c r="O550" s="7" t="n"/>
      <c r="U550" s="7" t="n"/>
      <c r="V550" s="7" t="n"/>
      <c r="W550" s="7">
        <f>IF($D550="","",V550*AB550/100)</f>
        <v/>
      </c>
      <c r="X550" s="7">
        <f>IF($D550="","",V550-W550)</f>
        <v/>
      </c>
      <c r="Y550" s="7">
        <f>IF($D550="","",X550-N550)</f>
        <v/>
      </c>
      <c r="AB550">
        <f>IF($D550="","",IF($AN550=1,0,IF($AM550=1,Settings!$C$6,Settings!$C$7))*100)</f>
        <v/>
      </c>
      <c r="AF550" s="7" t="n"/>
      <c r="AI550" s="11" t="n"/>
      <c r="AK550">
        <f>IF($D550="","",IF(COUNTIF($D$2:$D550,$D550)=1,1,0))</f>
        <v/>
      </c>
      <c r="AL550">
        <f>IF($AK550=1,SUMPRODUCT(--($AO$2:$AO$1501&lt;$AO550))+1,"")</f>
        <v/>
      </c>
      <c r="AM550">
        <f>IF($D550="","",IF(OR($R550=TRUE(),$R550="TRUE"),1,0))</f>
        <v/>
      </c>
      <c r="AN550">
        <f>IF($D550="","",IF($AA550="Yes",1,0))</f>
        <v/>
      </c>
      <c r="AO550">
        <f>IF($AK550=1,IFERROR(IF(VALUE($D550)&lt;100000000,VALUE($D550),1000000000),IFERROR(IF(VALUE(MID($D550,2,20))&lt;100000000,VALUE(MID($D550,2,20)),1000000000),1000000000))+ROW()/100000,"")</f>
        <v/>
      </c>
    </row>
    <row r="551">
      <c r="F551" s="11" t="n"/>
      <c r="N551" s="7">
        <f>IF($D551="","",M551*V551/100)</f>
        <v/>
      </c>
      <c r="O551" s="7" t="n"/>
      <c r="U551" s="7" t="n"/>
      <c r="V551" s="7" t="n"/>
      <c r="W551" s="7">
        <f>IF($D551="","",V551*AB551/100)</f>
        <v/>
      </c>
      <c r="X551" s="7">
        <f>IF($D551="","",V551-W551)</f>
        <v/>
      </c>
      <c r="Y551" s="7">
        <f>IF($D551="","",X551-N551)</f>
        <v/>
      </c>
      <c r="AB551">
        <f>IF($D551="","",IF($AN551=1,0,IF($AM551=1,Settings!$C$6,Settings!$C$7))*100)</f>
        <v/>
      </c>
      <c r="AF551" s="7" t="n"/>
      <c r="AI551" s="11" t="n"/>
      <c r="AK551">
        <f>IF($D551="","",IF(COUNTIF($D$2:$D551,$D551)=1,1,0))</f>
        <v/>
      </c>
      <c r="AL551">
        <f>IF($AK551=1,SUMPRODUCT(--($AO$2:$AO$1501&lt;$AO551))+1,"")</f>
        <v/>
      </c>
      <c r="AM551">
        <f>IF($D551="","",IF(OR($R551=TRUE(),$R551="TRUE"),1,0))</f>
        <v/>
      </c>
      <c r="AN551">
        <f>IF($D551="","",IF($AA551="Yes",1,0))</f>
        <v/>
      </c>
      <c r="AO551">
        <f>IF($AK551=1,IFERROR(IF(VALUE($D551)&lt;100000000,VALUE($D551),1000000000),IFERROR(IF(VALUE(MID($D551,2,20))&lt;100000000,VALUE(MID($D551,2,20)),1000000000),1000000000))+ROW()/100000,"")</f>
        <v/>
      </c>
    </row>
    <row r="552">
      <c r="F552" s="11" t="n"/>
      <c r="N552" s="7">
        <f>IF($D552="","",M552*V552/100)</f>
        <v/>
      </c>
      <c r="O552" s="7" t="n"/>
      <c r="U552" s="7" t="n"/>
      <c r="V552" s="7" t="n"/>
      <c r="W552" s="7">
        <f>IF($D552="","",V552*AB552/100)</f>
        <v/>
      </c>
      <c r="X552" s="7">
        <f>IF($D552="","",V552-W552)</f>
        <v/>
      </c>
      <c r="Y552" s="7">
        <f>IF($D552="","",X552-N552)</f>
        <v/>
      </c>
      <c r="AB552">
        <f>IF($D552="","",IF($AN552=1,0,IF($AM552=1,Settings!$C$6,Settings!$C$7))*100)</f>
        <v/>
      </c>
      <c r="AF552" s="7" t="n"/>
      <c r="AI552" s="11" t="n"/>
      <c r="AK552">
        <f>IF($D552="","",IF(COUNTIF($D$2:$D552,$D552)=1,1,0))</f>
        <v/>
      </c>
      <c r="AL552">
        <f>IF($AK552=1,SUMPRODUCT(--($AO$2:$AO$1501&lt;$AO552))+1,"")</f>
        <v/>
      </c>
      <c r="AM552">
        <f>IF($D552="","",IF(OR($R552=TRUE(),$R552="TRUE"),1,0))</f>
        <v/>
      </c>
      <c r="AN552">
        <f>IF($D552="","",IF($AA552="Yes",1,0))</f>
        <v/>
      </c>
      <c r="AO552">
        <f>IF($AK552=1,IFERROR(IF(VALUE($D552)&lt;100000000,VALUE($D552),1000000000),IFERROR(IF(VALUE(MID($D552,2,20))&lt;100000000,VALUE(MID($D552,2,20)),1000000000),1000000000))+ROW()/100000,"")</f>
        <v/>
      </c>
    </row>
    <row r="553">
      <c r="F553" s="11" t="n"/>
      <c r="N553" s="7">
        <f>IF($D553="","",M553*V553/100)</f>
        <v/>
      </c>
      <c r="O553" s="7" t="n"/>
      <c r="U553" s="7" t="n"/>
      <c r="V553" s="7" t="n"/>
      <c r="W553" s="7">
        <f>IF($D553="","",V553*AB553/100)</f>
        <v/>
      </c>
      <c r="X553" s="7">
        <f>IF($D553="","",V553-W553)</f>
        <v/>
      </c>
      <c r="Y553" s="7">
        <f>IF($D553="","",X553-N553)</f>
        <v/>
      </c>
      <c r="AB553">
        <f>IF($D553="","",IF($AN553=1,0,IF($AM553=1,Settings!$C$6,Settings!$C$7))*100)</f>
        <v/>
      </c>
      <c r="AF553" s="7" t="n"/>
      <c r="AI553" s="11" t="n"/>
      <c r="AK553">
        <f>IF($D553="","",IF(COUNTIF($D$2:$D553,$D553)=1,1,0))</f>
        <v/>
      </c>
      <c r="AL553">
        <f>IF($AK553=1,SUMPRODUCT(--($AO$2:$AO$1501&lt;$AO553))+1,"")</f>
        <v/>
      </c>
      <c r="AM553">
        <f>IF($D553="","",IF(OR($R553=TRUE(),$R553="TRUE"),1,0))</f>
        <v/>
      </c>
      <c r="AN553">
        <f>IF($D553="","",IF($AA553="Yes",1,0))</f>
        <v/>
      </c>
      <c r="AO553">
        <f>IF($AK553=1,IFERROR(IF(VALUE($D553)&lt;100000000,VALUE($D553),1000000000),IFERROR(IF(VALUE(MID($D553,2,20))&lt;100000000,VALUE(MID($D553,2,20)),1000000000),1000000000))+ROW()/100000,"")</f>
        <v/>
      </c>
    </row>
    <row r="554">
      <c r="F554" s="11" t="n"/>
      <c r="N554" s="7">
        <f>IF($D554="","",M554*V554/100)</f>
        <v/>
      </c>
      <c r="O554" s="7" t="n"/>
      <c r="U554" s="7" t="n"/>
      <c r="V554" s="7" t="n"/>
      <c r="W554" s="7">
        <f>IF($D554="","",V554*AB554/100)</f>
        <v/>
      </c>
      <c r="X554" s="7">
        <f>IF($D554="","",V554-W554)</f>
        <v/>
      </c>
      <c r="Y554" s="7">
        <f>IF($D554="","",X554-N554)</f>
        <v/>
      </c>
      <c r="AB554">
        <f>IF($D554="","",IF($AN554=1,0,IF($AM554=1,Settings!$C$6,Settings!$C$7))*100)</f>
        <v/>
      </c>
      <c r="AF554" s="7" t="n"/>
      <c r="AI554" s="11" t="n"/>
      <c r="AK554">
        <f>IF($D554="","",IF(COUNTIF($D$2:$D554,$D554)=1,1,0))</f>
        <v/>
      </c>
      <c r="AL554">
        <f>IF($AK554=1,SUMPRODUCT(--($AO$2:$AO$1501&lt;$AO554))+1,"")</f>
        <v/>
      </c>
      <c r="AM554">
        <f>IF($D554="","",IF(OR($R554=TRUE(),$R554="TRUE"),1,0))</f>
        <v/>
      </c>
      <c r="AN554">
        <f>IF($D554="","",IF($AA554="Yes",1,0))</f>
        <v/>
      </c>
      <c r="AO554">
        <f>IF($AK554=1,IFERROR(IF(VALUE($D554)&lt;100000000,VALUE($D554),1000000000),IFERROR(IF(VALUE(MID($D554,2,20))&lt;100000000,VALUE(MID($D554,2,20)),1000000000),1000000000))+ROW()/100000,"")</f>
        <v/>
      </c>
    </row>
    <row r="555">
      <c r="F555" s="11" t="n"/>
      <c r="N555" s="7">
        <f>IF($D555="","",M555*V555/100)</f>
        <v/>
      </c>
      <c r="O555" s="7" t="n"/>
      <c r="U555" s="7" t="n"/>
      <c r="V555" s="7" t="n"/>
      <c r="W555" s="7">
        <f>IF($D555="","",V555*AB555/100)</f>
        <v/>
      </c>
      <c r="X555" s="7">
        <f>IF($D555="","",V555-W555)</f>
        <v/>
      </c>
      <c r="Y555" s="7">
        <f>IF($D555="","",X555-N555)</f>
        <v/>
      </c>
      <c r="AB555">
        <f>IF($D555="","",IF($AN555=1,0,IF($AM555=1,Settings!$C$6,Settings!$C$7))*100)</f>
        <v/>
      </c>
      <c r="AF555" s="7" t="n"/>
      <c r="AI555" s="11" t="n"/>
      <c r="AK555">
        <f>IF($D555="","",IF(COUNTIF($D$2:$D555,$D555)=1,1,0))</f>
        <v/>
      </c>
      <c r="AL555">
        <f>IF($AK555=1,SUMPRODUCT(--($AO$2:$AO$1501&lt;$AO555))+1,"")</f>
        <v/>
      </c>
      <c r="AM555">
        <f>IF($D555="","",IF(OR($R555=TRUE(),$R555="TRUE"),1,0))</f>
        <v/>
      </c>
      <c r="AN555">
        <f>IF($D555="","",IF($AA555="Yes",1,0))</f>
        <v/>
      </c>
      <c r="AO555">
        <f>IF($AK555=1,IFERROR(IF(VALUE($D555)&lt;100000000,VALUE($D555),1000000000),IFERROR(IF(VALUE(MID($D555,2,20))&lt;100000000,VALUE(MID($D555,2,20)),1000000000),1000000000))+ROW()/100000,"")</f>
        <v/>
      </c>
    </row>
    <row r="556">
      <c r="F556" s="11" t="n"/>
      <c r="N556" s="7">
        <f>IF($D556="","",M556*V556/100)</f>
        <v/>
      </c>
      <c r="O556" s="7" t="n"/>
      <c r="U556" s="7" t="n"/>
      <c r="V556" s="7" t="n"/>
      <c r="W556" s="7">
        <f>IF($D556="","",V556*AB556/100)</f>
        <v/>
      </c>
      <c r="X556" s="7">
        <f>IF($D556="","",V556-W556)</f>
        <v/>
      </c>
      <c r="Y556" s="7">
        <f>IF($D556="","",X556-N556)</f>
        <v/>
      </c>
      <c r="AB556">
        <f>IF($D556="","",IF($AN556=1,0,IF($AM556=1,Settings!$C$6,Settings!$C$7))*100)</f>
        <v/>
      </c>
      <c r="AF556" s="7" t="n"/>
      <c r="AI556" s="11" t="n"/>
      <c r="AK556">
        <f>IF($D556="","",IF(COUNTIF($D$2:$D556,$D556)=1,1,0))</f>
        <v/>
      </c>
      <c r="AL556">
        <f>IF($AK556=1,SUMPRODUCT(--($AO$2:$AO$1501&lt;$AO556))+1,"")</f>
        <v/>
      </c>
      <c r="AM556">
        <f>IF($D556="","",IF(OR($R556=TRUE(),$R556="TRUE"),1,0))</f>
        <v/>
      </c>
      <c r="AN556">
        <f>IF($D556="","",IF($AA556="Yes",1,0))</f>
        <v/>
      </c>
      <c r="AO556">
        <f>IF($AK556=1,IFERROR(IF(VALUE($D556)&lt;100000000,VALUE($D556),1000000000),IFERROR(IF(VALUE(MID($D556,2,20))&lt;100000000,VALUE(MID($D556,2,20)),1000000000),1000000000))+ROW()/100000,"")</f>
        <v/>
      </c>
    </row>
    <row r="557">
      <c r="F557" s="11" t="n"/>
      <c r="N557" s="7">
        <f>IF($D557="","",M557*V557/100)</f>
        <v/>
      </c>
      <c r="O557" s="7" t="n"/>
      <c r="U557" s="7" t="n"/>
      <c r="V557" s="7" t="n"/>
      <c r="W557" s="7">
        <f>IF($D557="","",V557*AB557/100)</f>
        <v/>
      </c>
      <c r="X557" s="7">
        <f>IF($D557="","",V557-W557)</f>
        <v/>
      </c>
      <c r="Y557" s="7">
        <f>IF($D557="","",X557-N557)</f>
        <v/>
      </c>
      <c r="AB557">
        <f>IF($D557="","",IF($AN557=1,0,IF($AM557=1,Settings!$C$6,Settings!$C$7))*100)</f>
        <v/>
      </c>
      <c r="AF557" s="7" t="n"/>
      <c r="AI557" s="11" t="n"/>
      <c r="AK557">
        <f>IF($D557="","",IF(COUNTIF($D$2:$D557,$D557)=1,1,0))</f>
        <v/>
      </c>
      <c r="AL557">
        <f>IF($AK557=1,SUMPRODUCT(--($AO$2:$AO$1501&lt;$AO557))+1,"")</f>
        <v/>
      </c>
      <c r="AM557">
        <f>IF($D557="","",IF(OR($R557=TRUE(),$R557="TRUE"),1,0))</f>
        <v/>
      </c>
      <c r="AN557">
        <f>IF($D557="","",IF($AA557="Yes",1,0))</f>
        <v/>
      </c>
      <c r="AO557">
        <f>IF($AK557=1,IFERROR(IF(VALUE($D557)&lt;100000000,VALUE($D557),1000000000),IFERROR(IF(VALUE(MID($D557,2,20))&lt;100000000,VALUE(MID($D557,2,20)),1000000000),1000000000))+ROW()/100000,"")</f>
        <v/>
      </c>
    </row>
    <row r="558">
      <c r="F558" s="11" t="n"/>
      <c r="N558" s="7">
        <f>IF($D558="","",M558*V558/100)</f>
        <v/>
      </c>
      <c r="O558" s="7" t="n"/>
      <c r="U558" s="7" t="n"/>
      <c r="V558" s="7" t="n"/>
      <c r="W558" s="7">
        <f>IF($D558="","",V558*AB558/100)</f>
        <v/>
      </c>
      <c r="X558" s="7">
        <f>IF($D558="","",V558-W558)</f>
        <v/>
      </c>
      <c r="Y558" s="7">
        <f>IF($D558="","",X558-N558)</f>
        <v/>
      </c>
      <c r="AB558">
        <f>IF($D558="","",IF($AN558=1,0,IF($AM558=1,Settings!$C$6,Settings!$C$7))*100)</f>
        <v/>
      </c>
      <c r="AF558" s="7" t="n"/>
      <c r="AI558" s="11" t="n"/>
      <c r="AK558">
        <f>IF($D558="","",IF(COUNTIF($D$2:$D558,$D558)=1,1,0))</f>
        <v/>
      </c>
      <c r="AL558">
        <f>IF($AK558=1,SUMPRODUCT(--($AO$2:$AO$1501&lt;$AO558))+1,"")</f>
        <v/>
      </c>
      <c r="AM558">
        <f>IF($D558="","",IF(OR($R558=TRUE(),$R558="TRUE"),1,0))</f>
        <v/>
      </c>
      <c r="AN558">
        <f>IF($D558="","",IF($AA558="Yes",1,0))</f>
        <v/>
      </c>
      <c r="AO558">
        <f>IF($AK558=1,IFERROR(IF(VALUE($D558)&lt;100000000,VALUE($D558),1000000000),IFERROR(IF(VALUE(MID($D558,2,20))&lt;100000000,VALUE(MID($D558,2,20)),1000000000),1000000000))+ROW()/100000,"")</f>
        <v/>
      </c>
    </row>
    <row r="559">
      <c r="F559" s="11" t="n"/>
      <c r="N559" s="7">
        <f>IF($D559="","",M559*V559/100)</f>
        <v/>
      </c>
      <c r="O559" s="7" t="n"/>
      <c r="U559" s="7" t="n"/>
      <c r="V559" s="7" t="n"/>
      <c r="W559" s="7">
        <f>IF($D559="","",V559*AB559/100)</f>
        <v/>
      </c>
      <c r="X559" s="7">
        <f>IF($D559="","",V559-W559)</f>
        <v/>
      </c>
      <c r="Y559" s="7">
        <f>IF($D559="","",X559-N559)</f>
        <v/>
      </c>
      <c r="AB559">
        <f>IF($D559="","",IF($AN559=1,0,IF($AM559=1,Settings!$C$6,Settings!$C$7))*100)</f>
        <v/>
      </c>
      <c r="AF559" s="7" t="n"/>
      <c r="AI559" s="11" t="n"/>
      <c r="AK559">
        <f>IF($D559="","",IF(COUNTIF($D$2:$D559,$D559)=1,1,0))</f>
        <v/>
      </c>
      <c r="AL559">
        <f>IF($AK559=1,SUMPRODUCT(--($AO$2:$AO$1501&lt;$AO559))+1,"")</f>
        <v/>
      </c>
      <c r="AM559">
        <f>IF($D559="","",IF(OR($R559=TRUE(),$R559="TRUE"),1,0))</f>
        <v/>
      </c>
      <c r="AN559">
        <f>IF($D559="","",IF($AA559="Yes",1,0))</f>
        <v/>
      </c>
      <c r="AO559">
        <f>IF($AK559=1,IFERROR(IF(VALUE($D559)&lt;100000000,VALUE($D559),1000000000),IFERROR(IF(VALUE(MID($D559,2,20))&lt;100000000,VALUE(MID($D559,2,20)),1000000000),1000000000))+ROW()/100000,"")</f>
        <v/>
      </c>
    </row>
    <row r="560">
      <c r="F560" s="11" t="n"/>
      <c r="N560" s="7">
        <f>IF($D560="","",M560*V560/100)</f>
        <v/>
      </c>
      <c r="O560" s="7" t="n"/>
      <c r="U560" s="7" t="n"/>
      <c r="V560" s="7" t="n"/>
      <c r="W560" s="7">
        <f>IF($D560="","",V560*AB560/100)</f>
        <v/>
      </c>
      <c r="X560" s="7">
        <f>IF($D560="","",V560-W560)</f>
        <v/>
      </c>
      <c r="Y560" s="7">
        <f>IF($D560="","",X560-N560)</f>
        <v/>
      </c>
      <c r="AB560">
        <f>IF($D560="","",IF($AN560=1,0,IF($AM560=1,Settings!$C$6,Settings!$C$7))*100)</f>
        <v/>
      </c>
      <c r="AF560" s="7" t="n"/>
      <c r="AI560" s="11" t="n"/>
      <c r="AK560">
        <f>IF($D560="","",IF(COUNTIF($D$2:$D560,$D560)=1,1,0))</f>
        <v/>
      </c>
      <c r="AL560">
        <f>IF($AK560=1,SUMPRODUCT(--($AO$2:$AO$1501&lt;$AO560))+1,"")</f>
        <v/>
      </c>
      <c r="AM560">
        <f>IF($D560="","",IF(OR($R560=TRUE(),$R560="TRUE"),1,0))</f>
        <v/>
      </c>
      <c r="AN560">
        <f>IF($D560="","",IF($AA560="Yes",1,0))</f>
        <v/>
      </c>
      <c r="AO560">
        <f>IF($AK560=1,IFERROR(IF(VALUE($D560)&lt;100000000,VALUE($D560),1000000000),IFERROR(IF(VALUE(MID($D560,2,20))&lt;100000000,VALUE(MID($D560,2,20)),1000000000),1000000000))+ROW()/100000,"")</f>
        <v/>
      </c>
    </row>
    <row r="561">
      <c r="F561" s="11" t="n"/>
      <c r="N561" s="7">
        <f>IF($D561="","",M561*V561/100)</f>
        <v/>
      </c>
      <c r="O561" s="7" t="n"/>
      <c r="U561" s="7" t="n"/>
      <c r="V561" s="7" t="n"/>
      <c r="W561" s="7">
        <f>IF($D561="","",V561*AB561/100)</f>
        <v/>
      </c>
      <c r="X561" s="7">
        <f>IF($D561="","",V561-W561)</f>
        <v/>
      </c>
      <c r="Y561" s="7">
        <f>IF($D561="","",X561-N561)</f>
        <v/>
      </c>
      <c r="AB561">
        <f>IF($D561="","",IF($AN561=1,0,IF($AM561=1,Settings!$C$6,Settings!$C$7))*100)</f>
        <v/>
      </c>
      <c r="AF561" s="7" t="n"/>
      <c r="AI561" s="11" t="n"/>
      <c r="AK561">
        <f>IF($D561="","",IF(COUNTIF($D$2:$D561,$D561)=1,1,0))</f>
        <v/>
      </c>
      <c r="AL561">
        <f>IF($AK561=1,SUMPRODUCT(--($AO$2:$AO$1501&lt;$AO561))+1,"")</f>
        <v/>
      </c>
      <c r="AM561">
        <f>IF($D561="","",IF(OR($R561=TRUE(),$R561="TRUE"),1,0))</f>
        <v/>
      </c>
      <c r="AN561">
        <f>IF($D561="","",IF($AA561="Yes",1,0))</f>
        <v/>
      </c>
      <c r="AO561">
        <f>IF($AK561=1,IFERROR(IF(VALUE($D561)&lt;100000000,VALUE($D561),1000000000),IFERROR(IF(VALUE(MID($D561,2,20))&lt;100000000,VALUE(MID($D561,2,20)),1000000000),1000000000))+ROW()/100000,"")</f>
        <v/>
      </c>
    </row>
    <row r="562">
      <c r="F562" s="11" t="n"/>
      <c r="N562" s="7">
        <f>IF($D562="","",M562*V562/100)</f>
        <v/>
      </c>
      <c r="O562" s="7" t="n"/>
      <c r="U562" s="7" t="n"/>
      <c r="V562" s="7" t="n"/>
      <c r="W562" s="7">
        <f>IF($D562="","",V562*AB562/100)</f>
        <v/>
      </c>
      <c r="X562" s="7">
        <f>IF($D562="","",V562-W562)</f>
        <v/>
      </c>
      <c r="Y562" s="7">
        <f>IF($D562="","",X562-N562)</f>
        <v/>
      </c>
      <c r="AB562">
        <f>IF($D562="","",IF($AN562=1,0,IF($AM562=1,Settings!$C$6,Settings!$C$7))*100)</f>
        <v/>
      </c>
      <c r="AF562" s="7" t="n"/>
      <c r="AI562" s="11" t="n"/>
      <c r="AK562">
        <f>IF($D562="","",IF(COUNTIF($D$2:$D562,$D562)=1,1,0))</f>
        <v/>
      </c>
      <c r="AL562">
        <f>IF($AK562=1,SUMPRODUCT(--($AO$2:$AO$1501&lt;$AO562))+1,"")</f>
        <v/>
      </c>
      <c r="AM562">
        <f>IF($D562="","",IF(OR($R562=TRUE(),$R562="TRUE"),1,0))</f>
        <v/>
      </c>
      <c r="AN562">
        <f>IF($D562="","",IF($AA562="Yes",1,0))</f>
        <v/>
      </c>
      <c r="AO562">
        <f>IF($AK562=1,IFERROR(IF(VALUE($D562)&lt;100000000,VALUE($D562),1000000000),IFERROR(IF(VALUE(MID($D562,2,20))&lt;100000000,VALUE(MID($D562,2,20)),1000000000),1000000000))+ROW()/100000,"")</f>
        <v/>
      </c>
    </row>
    <row r="563">
      <c r="F563" s="11" t="n"/>
      <c r="N563" s="7">
        <f>IF($D563="","",M563*V563/100)</f>
        <v/>
      </c>
      <c r="O563" s="7" t="n"/>
      <c r="U563" s="7" t="n"/>
      <c r="V563" s="7" t="n"/>
      <c r="W563" s="7">
        <f>IF($D563="","",V563*AB563/100)</f>
        <v/>
      </c>
      <c r="X563" s="7">
        <f>IF($D563="","",V563-W563)</f>
        <v/>
      </c>
      <c r="Y563" s="7">
        <f>IF($D563="","",X563-N563)</f>
        <v/>
      </c>
      <c r="AB563">
        <f>IF($D563="","",IF($AN563=1,0,IF($AM563=1,Settings!$C$6,Settings!$C$7))*100)</f>
        <v/>
      </c>
      <c r="AF563" s="7" t="n"/>
      <c r="AI563" s="11" t="n"/>
      <c r="AK563">
        <f>IF($D563="","",IF(COUNTIF($D$2:$D563,$D563)=1,1,0))</f>
        <v/>
      </c>
      <c r="AL563">
        <f>IF($AK563=1,SUMPRODUCT(--($AO$2:$AO$1501&lt;$AO563))+1,"")</f>
        <v/>
      </c>
      <c r="AM563">
        <f>IF($D563="","",IF(OR($R563=TRUE(),$R563="TRUE"),1,0))</f>
        <v/>
      </c>
      <c r="AN563">
        <f>IF($D563="","",IF($AA563="Yes",1,0))</f>
        <v/>
      </c>
      <c r="AO563">
        <f>IF($AK563=1,IFERROR(IF(VALUE($D563)&lt;100000000,VALUE($D563),1000000000),IFERROR(IF(VALUE(MID($D563,2,20))&lt;100000000,VALUE(MID($D563,2,20)),1000000000),1000000000))+ROW()/100000,"")</f>
        <v/>
      </c>
    </row>
    <row r="564">
      <c r="F564" s="11" t="n"/>
      <c r="N564" s="7">
        <f>IF($D564="","",M564*V564/100)</f>
        <v/>
      </c>
      <c r="O564" s="7" t="n"/>
      <c r="U564" s="7" t="n"/>
      <c r="V564" s="7" t="n"/>
      <c r="W564" s="7">
        <f>IF($D564="","",V564*AB564/100)</f>
        <v/>
      </c>
      <c r="X564" s="7">
        <f>IF($D564="","",V564-W564)</f>
        <v/>
      </c>
      <c r="Y564" s="7">
        <f>IF($D564="","",X564-N564)</f>
        <v/>
      </c>
      <c r="AB564">
        <f>IF($D564="","",IF($AN564=1,0,IF($AM564=1,Settings!$C$6,Settings!$C$7))*100)</f>
        <v/>
      </c>
      <c r="AF564" s="7" t="n"/>
      <c r="AI564" s="11" t="n"/>
      <c r="AK564">
        <f>IF($D564="","",IF(COUNTIF($D$2:$D564,$D564)=1,1,0))</f>
        <v/>
      </c>
      <c r="AL564">
        <f>IF($AK564=1,SUMPRODUCT(--($AO$2:$AO$1501&lt;$AO564))+1,"")</f>
        <v/>
      </c>
      <c r="AM564">
        <f>IF($D564="","",IF(OR($R564=TRUE(),$R564="TRUE"),1,0))</f>
        <v/>
      </c>
      <c r="AN564">
        <f>IF($D564="","",IF($AA564="Yes",1,0))</f>
        <v/>
      </c>
      <c r="AO564">
        <f>IF($AK564=1,IFERROR(IF(VALUE($D564)&lt;100000000,VALUE($D564),1000000000),IFERROR(IF(VALUE(MID($D564,2,20))&lt;100000000,VALUE(MID($D564,2,20)),1000000000),1000000000))+ROW()/100000,"")</f>
        <v/>
      </c>
    </row>
    <row r="565">
      <c r="F565" s="11" t="n"/>
      <c r="N565" s="7">
        <f>IF($D565="","",M565*V565/100)</f>
        <v/>
      </c>
      <c r="O565" s="7" t="n"/>
      <c r="U565" s="7" t="n"/>
      <c r="V565" s="7" t="n"/>
      <c r="W565" s="7">
        <f>IF($D565="","",V565*AB565/100)</f>
        <v/>
      </c>
      <c r="X565" s="7">
        <f>IF($D565="","",V565-W565)</f>
        <v/>
      </c>
      <c r="Y565" s="7">
        <f>IF($D565="","",X565-N565)</f>
        <v/>
      </c>
      <c r="AB565">
        <f>IF($D565="","",IF($AN565=1,0,IF($AM565=1,Settings!$C$6,Settings!$C$7))*100)</f>
        <v/>
      </c>
      <c r="AF565" s="7" t="n"/>
      <c r="AI565" s="11" t="n"/>
      <c r="AK565">
        <f>IF($D565="","",IF(COUNTIF($D$2:$D565,$D565)=1,1,0))</f>
        <v/>
      </c>
      <c r="AL565">
        <f>IF($AK565=1,SUMPRODUCT(--($AO$2:$AO$1501&lt;$AO565))+1,"")</f>
        <v/>
      </c>
      <c r="AM565">
        <f>IF($D565="","",IF(OR($R565=TRUE(),$R565="TRUE"),1,0))</f>
        <v/>
      </c>
      <c r="AN565">
        <f>IF($D565="","",IF($AA565="Yes",1,0))</f>
        <v/>
      </c>
      <c r="AO565">
        <f>IF($AK565=1,IFERROR(IF(VALUE($D565)&lt;100000000,VALUE($D565),1000000000),IFERROR(IF(VALUE(MID($D565,2,20))&lt;100000000,VALUE(MID($D565,2,20)),1000000000),1000000000))+ROW()/100000,"")</f>
        <v/>
      </c>
    </row>
    <row r="566">
      <c r="F566" s="11" t="n"/>
      <c r="N566" s="7">
        <f>IF($D566="","",M566*V566/100)</f>
        <v/>
      </c>
      <c r="O566" s="7" t="n"/>
      <c r="U566" s="7" t="n"/>
      <c r="V566" s="7" t="n"/>
      <c r="W566" s="7">
        <f>IF($D566="","",V566*AB566/100)</f>
        <v/>
      </c>
      <c r="X566" s="7">
        <f>IF($D566="","",V566-W566)</f>
        <v/>
      </c>
      <c r="Y566" s="7">
        <f>IF($D566="","",X566-N566)</f>
        <v/>
      </c>
      <c r="AB566">
        <f>IF($D566="","",IF($AN566=1,0,IF($AM566=1,Settings!$C$6,Settings!$C$7))*100)</f>
        <v/>
      </c>
      <c r="AF566" s="7" t="n"/>
      <c r="AI566" s="11" t="n"/>
      <c r="AK566">
        <f>IF($D566="","",IF(COUNTIF($D$2:$D566,$D566)=1,1,0))</f>
        <v/>
      </c>
      <c r="AL566">
        <f>IF($AK566=1,SUMPRODUCT(--($AO$2:$AO$1501&lt;$AO566))+1,"")</f>
        <v/>
      </c>
      <c r="AM566">
        <f>IF($D566="","",IF(OR($R566=TRUE(),$R566="TRUE"),1,0))</f>
        <v/>
      </c>
      <c r="AN566">
        <f>IF($D566="","",IF($AA566="Yes",1,0))</f>
        <v/>
      </c>
      <c r="AO566">
        <f>IF($AK566=1,IFERROR(IF(VALUE($D566)&lt;100000000,VALUE($D566),1000000000),IFERROR(IF(VALUE(MID($D566,2,20))&lt;100000000,VALUE(MID($D566,2,20)),1000000000),1000000000))+ROW()/100000,"")</f>
        <v/>
      </c>
    </row>
    <row r="567">
      <c r="F567" s="11" t="n"/>
      <c r="N567" s="7">
        <f>IF($D567="","",M567*V567/100)</f>
        <v/>
      </c>
      <c r="O567" s="7" t="n"/>
      <c r="U567" s="7" t="n"/>
      <c r="V567" s="7" t="n"/>
      <c r="W567" s="7">
        <f>IF($D567="","",V567*AB567/100)</f>
        <v/>
      </c>
      <c r="X567" s="7">
        <f>IF($D567="","",V567-W567)</f>
        <v/>
      </c>
      <c r="Y567" s="7">
        <f>IF($D567="","",X567-N567)</f>
        <v/>
      </c>
      <c r="AB567">
        <f>IF($D567="","",IF($AN567=1,0,IF($AM567=1,Settings!$C$6,Settings!$C$7))*100)</f>
        <v/>
      </c>
      <c r="AF567" s="7" t="n"/>
      <c r="AI567" s="11" t="n"/>
      <c r="AK567">
        <f>IF($D567="","",IF(COUNTIF($D$2:$D567,$D567)=1,1,0))</f>
        <v/>
      </c>
      <c r="AL567">
        <f>IF($AK567=1,SUMPRODUCT(--($AO$2:$AO$1501&lt;$AO567))+1,"")</f>
        <v/>
      </c>
      <c r="AM567">
        <f>IF($D567="","",IF(OR($R567=TRUE(),$R567="TRUE"),1,0))</f>
        <v/>
      </c>
      <c r="AN567">
        <f>IF($D567="","",IF($AA567="Yes",1,0))</f>
        <v/>
      </c>
      <c r="AO567">
        <f>IF($AK567=1,IFERROR(IF(VALUE($D567)&lt;100000000,VALUE($D567),1000000000),IFERROR(IF(VALUE(MID($D567,2,20))&lt;100000000,VALUE(MID($D567,2,20)),1000000000),1000000000))+ROW()/100000,"")</f>
        <v/>
      </c>
    </row>
    <row r="568">
      <c r="F568" s="11" t="n"/>
      <c r="N568" s="7">
        <f>IF($D568="","",M568*V568/100)</f>
        <v/>
      </c>
      <c r="O568" s="7" t="n"/>
      <c r="U568" s="7" t="n"/>
      <c r="V568" s="7" t="n"/>
      <c r="W568" s="7">
        <f>IF($D568="","",V568*AB568/100)</f>
        <v/>
      </c>
      <c r="X568" s="7">
        <f>IF($D568="","",V568-W568)</f>
        <v/>
      </c>
      <c r="Y568" s="7">
        <f>IF($D568="","",X568-N568)</f>
        <v/>
      </c>
      <c r="AB568">
        <f>IF($D568="","",IF($AN568=1,0,IF($AM568=1,Settings!$C$6,Settings!$C$7))*100)</f>
        <v/>
      </c>
      <c r="AF568" s="7" t="n"/>
      <c r="AI568" s="11" t="n"/>
      <c r="AK568">
        <f>IF($D568="","",IF(COUNTIF($D$2:$D568,$D568)=1,1,0))</f>
        <v/>
      </c>
      <c r="AL568">
        <f>IF($AK568=1,SUMPRODUCT(--($AO$2:$AO$1501&lt;$AO568))+1,"")</f>
        <v/>
      </c>
      <c r="AM568">
        <f>IF($D568="","",IF(OR($R568=TRUE(),$R568="TRUE"),1,0))</f>
        <v/>
      </c>
      <c r="AN568">
        <f>IF($D568="","",IF($AA568="Yes",1,0))</f>
        <v/>
      </c>
      <c r="AO568">
        <f>IF($AK568=1,IFERROR(IF(VALUE($D568)&lt;100000000,VALUE($D568),1000000000),IFERROR(IF(VALUE(MID($D568,2,20))&lt;100000000,VALUE(MID($D568,2,20)),1000000000),1000000000))+ROW()/100000,"")</f>
        <v/>
      </c>
    </row>
    <row r="569">
      <c r="F569" s="11" t="n"/>
      <c r="N569" s="7">
        <f>IF($D569="","",M569*V569/100)</f>
        <v/>
      </c>
      <c r="O569" s="7" t="n"/>
      <c r="U569" s="7" t="n"/>
      <c r="V569" s="7" t="n"/>
      <c r="W569" s="7">
        <f>IF($D569="","",V569*AB569/100)</f>
        <v/>
      </c>
      <c r="X569" s="7">
        <f>IF($D569="","",V569-W569)</f>
        <v/>
      </c>
      <c r="Y569" s="7">
        <f>IF($D569="","",X569-N569)</f>
        <v/>
      </c>
      <c r="AB569">
        <f>IF($D569="","",IF($AN569=1,0,IF($AM569=1,Settings!$C$6,Settings!$C$7))*100)</f>
        <v/>
      </c>
      <c r="AF569" s="7" t="n"/>
      <c r="AI569" s="11" t="n"/>
      <c r="AK569">
        <f>IF($D569="","",IF(COUNTIF($D$2:$D569,$D569)=1,1,0))</f>
        <v/>
      </c>
      <c r="AL569">
        <f>IF($AK569=1,SUMPRODUCT(--($AO$2:$AO$1501&lt;$AO569))+1,"")</f>
        <v/>
      </c>
      <c r="AM569">
        <f>IF($D569="","",IF(OR($R569=TRUE(),$R569="TRUE"),1,0))</f>
        <v/>
      </c>
      <c r="AN569">
        <f>IF($D569="","",IF($AA569="Yes",1,0))</f>
        <v/>
      </c>
      <c r="AO569">
        <f>IF($AK569=1,IFERROR(IF(VALUE($D569)&lt;100000000,VALUE($D569),1000000000),IFERROR(IF(VALUE(MID($D569,2,20))&lt;100000000,VALUE(MID($D569,2,20)),1000000000),1000000000))+ROW()/100000,"")</f>
        <v/>
      </c>
    </row>
    <row r="570">
      <c r="F570" s="11" t="n"/>
      <c r="N570" s="7">
        <f>IF($D570="","",M570*V570/100)</f>
        <v/>
      </c>
      <c r="O570" s="7" t="n"/>
      <c r="U570" s="7" t="n"/>
      <c r="V570" s="7" t="n"/>
      <c r="W570" s="7">
        <f>IF($D570="","",V570*AB570/100)</f>
        <v/>
      </c>
      <c r="X570" s="7">
        <f>IF($D570="","",V570-W570)</f>
        <v/>
      </c>
      <c r="Y570" s="7">
        <f>IF($D570="","",X570-N570)</f>
        <v/>
      </c>
      <c r="AB570">
        <f>IF($D570="","",IF($AN570=1,0,IF($AM570=1,Settings!$C$6,Settings!$C$7))*100)</f>
        <v/>
      </c>
      <c r="AF570" s="7" t="n"/>
      <c r="AI570" s="11" t="n"/>
      <c r="AK570">
        <f>IF($D570="","",IF(COUNTIF($D$2:$D570,$D570)=1,1,0))</f>
        <v/>
      </c>
      <c r="AL570">
        <f>IF($AK570=1,SUMPRODUCT(--($AO$2:$AO$1501&lt;$AO570))+1,"")</f>
        <v/>
      </c>
      <c r="AM570">
        <f>IF($D570="","",IF(OR($R570=TRUE(),$R570="TRUE"),1,0))</f>
        <v/>
      </c>
      <c r="AN570">
        <f>IF($D570="","",IF($AA570="Yes",1,0))</f>
        <v/>
      </c>
      <c r="AO570">
        <f>IF($AK570=1,IFERROR(IF(VALUE($D570)&lt;100000000,VALUE($D570),1000000000),IFERROR(IF(VALUE(MID($D570,2,20))&lt;100000000,VALUE(MID($D570,2,20)),1000000000),1000000000))+ROW()/100000,"")</f>
        <v/>
      </c>
    </row>
    <row r="571">
      <c r="F571" s="11" t="n"/>
      <c r="N571" s="7">
        <f>IF($D571="","",M571*V571/100)</f>
        <v/>
      </c>
      <c r="O571" s="7" t="n"/>
      <c r="U571" s="7" t="n"/>
      <c r="V571" s="7" t="n"/>
      <c r="W571" s="7">
        <f>IF($D571="","",V571*AB571/100)</f>
        <v/>
      </c>
      <c r="X571" s="7">
        <f>IF($D571="","",V571-W571)</f>
        <v/>
      </c>
      <c r="Y571" s="7">
        <f>IF($D571="","",X571-N571)</f>
        <v/>
      </c>
      <c r="AB571">
        <f>IF($D571="","",IF($AN571=1,0,IF($AM571=1,Settings!$C$6,Settings!$C$7))*100)</f>
        <v/>
      </c>
      <c r="AF571" s="7" t="n"/>
      <c r="AI571" s="11" t="n"/>
      <c r="AK571">
        <f>IF($D571="","",IF(COUNTIF($D$2:$D571,$D571)=1,1,0))</f>
        <v/>
      </c>
      <c r="AL571">
        <f>IF($AK571=1,SUMPRODUCT(--($AO$2:$AO$1501&lt;$AO571))+1,"")</f>
        <v/>
      </c>
      <c r="AM571">
        <f>IF($D571="","",IF(OR($R571=TRUE(),$R571="TRUE"),1,0))</f>
        <v/>
      </c>
      <c r="AN571">
        <f>IF($D571="","",IF($AA571="Yes",1,0))</f>
        <v/>
      </c>
      <c r="AO571">
        <f>IF($AK571=1,IFERROR(IF(VALUE($D571)&lt;100000000,VALUE($D571),1000000000),IFERROR(IF(VALUE(MID($D571,2,20))&lt;100000000,VALUE(MID($D571,2,20)),1000000000),1000000000))+ROW()/100000,"")</f>
        <v/>
      </c>
    </row>
    <row r="572">
      <c r="F572" s="11" t="n"/>
      <c r="N572" s="7">
        <f>IF($D572="","",M572*V572/100)</f>
        <v/>
      </c>
      <c r="O572" s="7" t="n"/>
      <c r="U572" s="7" t="n"/>
      <c r="V572" s="7" t="n"/>
      <c r="W572" s="7">
        <f>IF($D572="","",V572*AB572/100)</f>
        <v/>
      </c>
      <c r="X572" s="7">
        <f>IF($D572="","",V572-W572)</f>
        <v/>
      </c>
      <c r="Y572" s="7">
        <f>IF($D572="","",X572-N572)</f>
        <v/>
      </c>
      <c r="AB572">
        <f>IF($D572="","",IF($AN572=1,0,IF($AM572=1,Settings!$C$6,Settings!$C$7))*100)</f>
        <v/>
      </c>
      <c r="AF572" s="7" t="n"/>
      <c r="AI572" s="11" t="n"/>
      <c r="AK572">
        <f>IF($D572="","",IF(COUNTIF($D$2:$D572,$D572)=1,1,0))</f>
        <v/>
      </c>
      <c r="AL572">
        <f>IF($AK572=1,SUMPRODUCT(--($AO$2:$AO$1501&lt;$AO572))+1,"")</f>
        <v/>
      </c>
      <c r="AM572">
        <f>IF($D572="","",IF(OR($R572=TRUE(),$R572="TRUE"),1,0))</f>
        <v/>
      </c>
      <c r="AN572">
        <f>IF($D572="","",IF($AA572="Yes",1,0))</f>
        <v/>
      </c>
      <c r="AO572">
        <f>IF($AK572=1,IFERROR(IF(VALUE($D572)&lt;100000000,VALUE($D572),1000000000),IFERROR(IF(VALUE(MID($D572,2,20))&lt;100000000,VALUE(MID($D572,2,20)),1000000000),1000000000))+ROW()/100000,"")</f>
        <v/>
      </c>
    </row>
    <row r="573">
      <c r="F573" s="11" t="n"/>
      <c r="N573" s="7">
        <f>IF($D573="","",M573*V573/100)</f>
        <v/>
      </c>
      <c r="O573" s="7" t="n"/>
      <c r="U573" s="7" t="n"/>
      <c r="V573" s="7" t="n"/>
      <c r="W573" s="7">
        <f>IF($D573="","",V573*AB573/100)</f>
        <v/>
      </c>
      <c r="X573" s="7">
        <f>IF($D573="","",V573-W573)</f>
        <v/>
      </c>
      <c r="Y573" s="7">
        <f>IF($D573="","",X573-N573)</f>
        <v/>
      </c>
      <c r="AB573">
        <f>IF($D573="","",IF($AN573=1,0,IF($AM573=1,Settings!$C$6,Settings!$C$7))*100)</f>
        <v/>
      </c>
      <c r="AF573" s="7" t="n"/>
      <c r="AI573" s="11" t="n"/>
      <c r="AK573">
        <f>IF($D573="","",IF(COUNTIF($D$2:$D573,$D573)=1,1,0))</f>
        <v/>
      </c>
      <c r="AL573">
        <f>IF($AK573=1,SUMPRODUCT(--($AO$2:$AO$1501&lt;$AO573))+1,"")</f>
        <v/>
      </c>
      <c r="AM573">
        <f>IF($D573="","",IF(OR($R573=TRUE(),$R573="TRUE"),1,0))</f>
        <v/>
      </c>
      <c r="AN573">
        <f>IF($D573="","",IF($AA573="Yes",1,0))</f>
        <v/>
      </c>
      <c r="AO573">
        <f>IF($AK573=1,IFERROR(IF(VALUE($D573)&lt;100000000,VALUE($D573),1000000000),IFERROR(IF(VALUE(MID($D573,2,20))&lt;100000000,VALUE(MID($D573,2,20)),1000000000),1000000000))+ROW()/100000,"")</f>
        <v/>
      </c>
    </row>
    <row r="574">
      <c r="F574" s="11" t="n"/>
      <c r="N574" s="7">
        <f>IF($D574="","",M574*V574/100)</f>
        <v/>
      </c>
      <c r="O574" s="7" t="n"/>
      <c r="U574" s="7" t="n"/>
      <c r="V574" s="7" t="n"/>
      <c r="W574" s="7">
        <f>IF($D574="","",V574*AB574/100)</f>
        <v/>
      </c>
      <c r="X574" s="7">
        <f>IF($D574="","",V574-W574)</f>
        <v/>
      </c>
      <c r="Y574" s="7">
        <f>IF($D574="","",X574-N574)</f>
        <v/>
      </c>
      <c r="AB574">
        <f>IF($D574="","",IF($AN574=1,0,IF($AM574=1,Settings!$C$6,Settings!$C$7))*100)</f>
        <v/>
      </c>
      <c r="AF574" s="7" t="n"/>
      <c r="AI574" s="11" t="n"/>
      <c r="AK574">
        <f>IF($D574="","",IF(COUNTIF($D$2:$D574,$D574)=1,1,0))</f>
        <v/>
      </c>
      <c r="AL574">
        <f>IF($AK574=1,SUMPRODUCT(--($AO$2:$AO$1501&lt;$AO574))+1,"")</f>
        <v/>
      </c>
      <c r="AM574">
        <f>IF($D574="","",IF(OR($R574=TRUE(),$R574="TRUE"),1,0))</f>
        <v/>
      </c>
      <c r="AN574">
        <f>IF($D574="","",IF($AA574="Yes",1,0))</f>
        <v/>
      </c>
      <c r="AO574">
        <f>IF($AK574=1,IFERROR(IF(VALUE($D574)&lt;100000000,VALUE($D574),1000000000),IFERROR(IF(VALUE(MID($D574,2,20))&lt;100000000,VALUE(MID($D574,2,20)),1000000000),1000000000))+ROW()/100000,"")</f>
        <v/>
      </c>
    </row>
    <row r="575">
      <c r="F575" s="11" t="n"/>
      <c r="N575" s="7">
        <f>IF($D575="","",M575*V575/100)</f>
        <v/>
      </c>
      <c r="O575" s="7" t="n"/>
      <c r="U575" s="7" t="n"/>
      <c r="V575" s="7" t="n"/>
      <c r="W575" s="7">
        <f>IF($D575="","",V575*AB575/100)</f>
        <v/>
      </c>
      <c r="X575" s="7">
        <f>IF($D575="","",V575-W575)</f>
        <v/>
      </c>
      <c r="Y575" s="7">
        <f>IF($D575="","",X575-N575)</f>
        <v/>
      </c>
      <c r="AB575">
        <f>IF($D575="","",IF($AN575=1,0,IF($AM575=1,Settings!$C$6,Settings!$C$7))*100)</f>
        <v/>
      </c>
      <c r="AF575" s="7" t="n"/>
      <c r="AI575" s="11" t="n"/>
      <c r="AK575">
        <f>IF($D575="","",IF(COUNTIF($D$2:$D575,$D575)=1,1,0))</f>
        <v/>
      </c>
      <c r="AL575">
        <f>IF($AK575=1,SUMPRODUCT(--($AO$2:$AO$1501&lt;$AO575))+1,"")</f>
        <v/>
      </c>
      <c r="AM575">
        <f>IF($D575="","",IF(OR($R575=TRUE(),$R575="TRUE"),1,0))</f>
        <v/>
      </c>
      <c r="AN575">
        <f>IF($D575="","",IF($AA575="Yes",1,0))</f>
        <v/>
      </c>
      <c r="AO575">
        <f>IF($AK575=1,IFERROR(IF(VALUE($D575)&lt;100000000,VALUE($D575),1000000000),IFERROR(IF(VALUE(MID($D575,2,20))&lt;100000000,VALUE(MID($D575,2,20)),1000000000),1000000000))+ROW()/100000,"")</f>
        <v/>
      </c>
    </row>
    <row r="576">
      <c r="F576" s="11" t="n"/>
      <c r="N576" s="7">
        <f>IF($D576="","",M576*V576/100)</f>
        <v/>
      </c>
      <c r="O576" s="7" t="n"/>
      <c r="U576" s="7" t="n"/>
      <c r="V576" s="7" t="n"/>
      <c r="W576" s="7">
        <f>IF($D576="","",V576*AB576/100)</f>
        <v/>
      </c>
      <c r="X576" s="7">
        <f>IF($D576="","",V576-W576)</f>
        <v/>
      </c>
      <c r="Y576" s="7">
        <f>IF($D576="","",X576-N576)</f>
        <v/>
      </c>
      <c r="AB576">
        <f>IF($D576="","",IF($AN576=1,0,IF($AM576=1,Settings!$C$6,Settings!$C$7))*100)</f>
        <v/>
      </c>
      <c r="AF576" s="7" t="n"/>
      <c r="AI576" s="11" t="n"/>
      <c r="AK576">
        <f>IF($D576="","",IF(COUNTIF($D$2:$D576,$D576)=1,1,0))</f>
        <v/>
      </c>
      <c r="AL576">
        <f>IF($AK576=1,SUMPRODUCT(--($AO$2:$AO$1501&lt;$AO576))+1,"")</f>
        <v/>
      </c>
      <c r="AM576">
        <f>IF($D576="","",IF(OR($R576=TRUE(),$R576="TRUE"),1,0))</f>
        <v/>
      </c>
      <c r="AN576">
        <f>IF($D576="","",IF($AA576="Yes",1,0))</f>
        <v/>
      </c>
      <c r="AO576">
        <f>IF($AK576=1,IFERROR(IF(VALUE($D576)&lt;100000000,VALUE($D576),1000000000),IFERROR(IF(VALUE(MID($D576,2,20))&lt;100000000,VALUE(MID($D576,2,20)),1000000000),1000000000))+ROW()/100000,"")</f>
        <v/>
      </c>
    </row>
    <row r="577">
      <c r="F577" s="11" t="n"/>
      <c r="N577" s="7">
        <f>IF($D577="","",M577*V577/100)</f>
        <v/>
      </c>
      <c r="O577" s="7" t="n"/>
      <c r="U577" s="7" t="n"/>
      <c r="V577" s="7" t="n"/>
      <c r="W577" s="7">
        <f>IF($D577="","",V577*AB577/100)</f>
        <v/>
      </c>
      <c r="X577" s="7">
        <f>IF($D577="","",V577-W577)</f>
        <v/>
      </c>
      <c r="Y577" s="7">
        <f>IF($D577="","",X577-N577)</f>
        <v/>
      </c>
      <c r="AB577">
        <f>IF($D577="","",IF($AN577=1,0,IF($AM577=1,Settings!$C$6,Settings!$C$7))*100)</f>
        <v/>
      </c>
      <c r="AF577" s="7" t="n"/>
      <c r="AI577" s="11" t="n"/>
      <c r="AK577">
        <f>IF($D577="","",IF(COUNTIF($D$2:$D577,$D577)=1,1,0))</f>
        <v/>
      </c>
      <c r="AL577">
        <f>IF($AK577=1,SUMPRODUCT(--($AO$2:$AO$1501&lt;$AO577))+1,"")</f>
        <v/>
      </c>
      <c r="AM577">
        <f>IF($D577="","",IF(OR($R577=TRUE(),$R577="TRUE"),1,0))</f>
        <v/>
      </c>
      <c r="AN577">
        <f>IF($D577="","",IF($AA577="Yes",1,0))</f>
        <v/>
      </c>
      <c r="AO577">
        <f>IF($AK577=1,IFERROR(IF(VALUE($D577)&lt;100000000,VALUE($D577),1000000000),IFERROR(IF(VALUE(MID($D577,2,20))&lt;100000000,VALUE(MID($D577,2,20)),1000000000),1000000000))+ROW()/100000,"")</f>
        <v/>
      </c>
    </row>
    <row r="578">
      <c r="F578" s="11" t="n"/>
      <c r="N578" s="7">
        <f>IF($D578="","",M578*V578/100)</f>
        <v/>
      </c>
      <c r="O578" s="7" t="n"/>
      <c r="U578" s="7" t="n"/>
      <c r="V578" s="7" t="n"/>
      <c r="W578" s="7">
        <f>IF($D578="","",V578*AB578/100)</f>
        <v/>
      </c>
      <c r="X578" s="7">
        <f>IF($D578="","",V578-W578)</f>
        <v/>
      </c>
      <c r="Y578" s="7">
        <f>IF($D578="","",X578-N578)</f>
        <v/>
      </c>
      <c r="AB578">
        <f>IF($D578="","",IF($AN578=1,0,IF($AM578=1,Settings!$C$6,Settings!$C$7))*100)</f>
        <v/>
      </c>
      <c r="AF578" s="7" t="n"/>
      <c r="AI578" s="11" t="n"/>
      <c r="AK578">
        <f>IF($D578="","",IF(COUNTIF($D$2:$D578,$D578)=1,1,0))</f>
        <v/>
      </c>
      <c r="AL578">
        <f>IF($AK578=1,SUMPRODUCT(--($AO$2:$AO$1501&lt;$AO578))+1,"")</f>
        <v/>
      </c>
      <c r="AM578">
        <f>IF($D578="","",IF(OR($R578=TRUE(),$R578="TRUE"),1,0))</f>
        <v/>
      </c>
      <c r="AN578">
        <f>IF($D578="","",IF($AA578="Yes",1,0))</f>
        <v/>
      </c>
      <c r="AO578">
        <f>IF($AK578=1,IFERROR(IF(VALUE($D578)&lt;100000000,VALUE($D578),1000000000),IFERROR(IF(VALUE(MID($D578,2,20))&lt;100000000,VALUE(MID($D578,2,20)),1000000000),1000000000))+ROW()/100000,"")</f>
        <v/>
      </c>
    </row>
    <row r="579">
      <c r="F579" s="11" t="n"/>
      <c r="N579" s="7">
        <f>IF($D579="","",M579*V579/100)</f>
        <v/>
      </c>
      <c r="O579" s="7" t="n"/>
      <c r="U579" s="7" t="n"/>
      <c r="V579" s="7" t="n"/>
      <c r="W579" s="7">
        <f>IF($D579="","",V579*AB579/100)</f>
        <v/>
      </c>
      <c r="X579" s="7">
        <f>IF($D579="","",V579-W579)</f>
        <v/>
      </c>
      <c r="Y579" s="7">
        <f>IF($D579="","",X579-N579)</f>
        <v/>
      </c>
      <c r="AB579">
        <f>IF($D579="","",IF($AN579=1,0,IF($AM579=1,Settings!$C$6,Settings!$C$7))*100)</f>
        <v/>
      </c>
      <c r="AF579" s="7" t="n"/>
      <c r="AI579" s="11" t="n"/>
      <c r="AK579">
        <f>IF($D579="","",IF(COUNTIF($D$2:$D579,$D579)=1,1,0))</f>
        <v/>
      </c>
      <c r="AL579">
        <f>IF($AK579=1,SUMPRODUCT(--($AO$2:$AO$1501&lt;$AO579))+1,"")</f>
        <v/>
      </c>
      <c r="AM579">
        <f>IF($D579="","",IF(OR($R579=TRUE(),$R579="TRUE"),1,0))</f>
        <v/>
      </c>
      <c r="AN579">
        <f>IF($D579="","",IF($AA579="Yes",1,0))</f>
        <v/>
      </c>
      <c r="AO579">
        <f>IF($AK579=1,IFERROR(IF(VALUE($D579)&lt;100000000,VALUE($D579),1000000000),IFERROR(IF(VALUE(MID($D579,2,20))&lt;100000000,VALUE(MID($D579,2,20)),1000000000),1000000000))+ROW()/100000,"")</f>
        <v/>
      </c>
    </row>
    <row r="580">
      <c r="F580" s="11" t="n"/>
      <c r="N580" s="7">
        <f>IF($D580="","",M580*V580/100)</f>
        <v/>
      </c>
      <c r="O580" s="7" t="n"/>
      <c r="U580" s="7" t="n"/>
      <c r="V580" s="7" t="n"/>
      <c r="W580" s="7">
        <f>IF($D580="","",V580*AB580/100)</f>
        <v/>
      </c>
      <c r="X580" s="7">
        <f>IF($D580="","",V580-W580)</f>
        <v/>
      </c>
      <c r="Y580" s="7">
        <f>IF($D580="","",X580-N580)</f>
        <v/>
      </c>
      <c r="AB580">
        <f>IF($D580="","",IF($AN580=1,0,IF($AM580=1,Settings!$C$6,Settings!$C$7))*100)</f>
        <v/>
      </c>
      <c r="AF580" s="7" t="n"/>
      <c r="AI580" s="11" t="n"/>
      <c r="AK580">
        <f>IF($D580="","",IF(COUNTIF($D$2:$D580,$D580)=1,1,0))</f>
        <v/>
      </c>
      <c r="AL580">
        <f>IF($AK580=1,SUMPRODUCT(--($AO$2:$AO$1501&lt;$AO580))+1,"")</f>
        <v/>
      </c>
      <c r="AM580">
        <f>IF($D580="","",IF(OR($R580=TRUE(),$R580="TRUE"),1,0))</f>
        <v/>
      </c>
      <c r="AN580">
        <f>IF($D580="","",IF($AA580="Yes",1,0))</f>
        <v/>
      </c>
      <c r="AO580">
        <f>IF($AK580=1,IFERROR(IF(VALUE($D580)&lt;100000000,VALUE($D580),1000000000),IFERROR(IF(VALUE(MID($D580,2,20))&lt;100000000,VALUE(MID($D580,2,20)),1000000000),1000000000))+ROW()/100000,"")</f>
        <v/>
      </c>
    </row>
    <row r="581">
      <c r="F581" s="11" t="n"/>
      <c r="N581" s="7">
        <f>IF($D581="","",M581*V581/100)</f>
        <v/>
      </c>
      <c r="O581" s="7" t="n"/>
      <c r="U581" s="7" t="n"/>
      <c r="V581" s="7" t="n"/>
      <c r="W581" s="7">
        <f>IF($D581="","",V581*AB581/100)</f>
        <v/>
      </c>
      <c r="X581" s="7">
        <f>IF($D581="","",V581-W581)</f>
        <v/>
      </c>
      <c r="Y581" s="7">
        <f>IF($D581="","",X581-N581)</f>
        <v/>
      </c>
      <c r="AB581">
        <f>IF($D581="","",IF($AN581=1,0,IF($AM581=1,Settings!$C$6,Settings!$C$7))*100)</f>
        <v/>
      </c>
      <c r="AF581" s="7" t="n"/>
      <c r="AI581" s="11" t="n"/>
      <c r="AK581">
        <f>IF($D581="","",IF(COUNTIF($D$2:$D581,$D581)=1,1,0))</f>
        <v/>
      </c>
      <c r="AL581">
        <f>IF($AK581=1,SUMPRODUCT(--($AO$2:$AO$1501&lt;$AO581))+1,"")</f>
        <v/>
      </c>
      <c r="AM581">
        <f>IF($D581="","",IF(OR($R581=TRUE(),$R581="TRUE"),1,0))</f>
        <v/>
      </c>
      <c r="AN581">
        <f>IF($D581="","",IF($AA581="Yes",1,0))</f>
        <v/>
      </c>
      <c r="AO581">
        <f>IF($AK581=1,IFERROR(IF(VALUE($D581)&lt;100000000,VALUE($D581),1000000000),IFERROR(IF(VALUE(MID($D581,2,20))&lt;100000000,VALUE(MID($D581,2,20)),1000000000),1000000000))+ROW()/100000,"")</f>
        <v/>
      </c>
    </row>
    <row r="582">
      <c r="F582" s="11" t="n"/>
      <c r="N582" s="7">
        <f>IF($D582="","",M582*V582/100)</f>
        <v/>
      </c>
      <c r="O582" s="7" t="n"/>
      <c r="U582" s="7" t="n"/>
      <c r="V582" s="7" t="n"/>
      <c r="W582" s="7">
        <f>IF($D582="","",V582*AB582/100)</f>
        <v/>
      </c>
      <c r="X582" s="7">
        <f>IF($D582="","",V582-W582)</f>
        <v/>
      </c>
      <c r="Y582" s="7">
        <f>IF($D582="","",X582-N582)</f>
        <v/>
      </c>
      <c r="AB582">
        <f>IF($D582="","",IF($AN582=1,0,IF($AM582=1,Settings!$C$6,Settings!$C$7))*100)</f>
        <v/>
      </c>
      <c r="AF582" s="7" t="n"/>
      <c r="AI582" s="11" t="n"/>
      <c r="AK582">
        <f>IF($D582="","",IF(COUNTIF($D$2:$D582,$D582)=1,1,0))</f>
        <v/>
      </c>
      <c r="AL582">
        <f>IF($AK582=1,SUMPRODUCT(--($AO$2:$AO$1501&lt;$AO582))+1,"")</f>
        <v/>
      </c>
      <c r="AM582">
        <f>IF($D582="","",IF(OR($R582=TRUE(),$R582="TRUE"),1,0))</f>
        <v/>
      </c>
      <c r="AN582">
        <f>IF($D582="","",IF($AA582="Yes",1,0))</f>
        <v/>
      </c>
      <c r="AO582">
        <f>IF($AK582=1,IFERROR(IF(VALUE($D582)&lt;100000000,VALUE($D582),1000000000),IFERROR(IF(VALUE(MID($D582,2,20))&lt;100000000,VALUE(MID($D582,2,20)),1000000000),1000000000))+ROW()/100000,"")</f>
        <v/>
      </c>
    </row>
    <row r="583">
      <c r="F583" s="11" t="n"/>
      <c r="N583" s="7">
        <f>IF($D583="","",M583*V583/100)</f>
        <v/>
      </c>
      <c r="O583" s="7" t="n"/>
      <c r="U583" s="7" t="n"/>
      <c r="V583" s="7" t="n"/>
      <c r="W583" s="7">
        <f>IF($D583="","",V583*AB583/100)</f>
        <v/>
      </c>
      <c r="X583" s="7">
        <f>IF($D583="","",V583-W583)</f>
        <v/>
      </c>
      <c r="Y583" s="7">
        <f>IF($D583="","",X583-N583)</f>
        <v/>
      </c>
      <c r="AB583">
        <f>IF($D583="","",IF($AN583=1,0,IF($AM583=1,Settings!$C$6,Settings!$C$7))*100)</f>
        <v/>
      </c>
      <c r="AF583" s="7" t="n"/>
      <c r="AI583" s="11" t="n"/>
      <c r="AK583">
        <f>IF($D583="","",IF(COUNTIF($D$2:$D583,$D583)=1,1,0))</f>
        <v/>
      </c>
      <c r="AL583">
        <f>IF($AK583=1,SUMPRODUCT(--($AO$2:$AO$1501&lt;$AO583))+1,"")</f>
        <v/>
      </c>
      <c r="AM583">
        <f>IF($D583="","",IF(OR($R583=TRUE(),$R583="TRUE"),1,0))</f>
        <v/>
      </c>
      <c r="AN583">
        <f>IF($D583="","",IF($AA583="Yes",1,0))</f>
        <v/>
      </c>
      <c r="AO583">
        <f>IF($AK583=1,IFERROR(IF(VALUE($D583)&lt;100000000,VALUE($D583),1000000000),IFERROR(IF(VALUE(MID($D583,2,20))&lt;100000000,VALUE(MID($D583,2,20)),1000000000),1000000000))+ROW()/100000,"")</f>
        <v/>
      </c>
    </row>
    <row r="584">
      <c r="F584" s="11" t="n"/>
      <c r="N584" s="7">
        <f>IF($D584="","",M584*V584/100)</f>
        <v/>
      </c>
      <c r="O584" s="7" t="n"/>
      <c r="U584" s="7" t="n"/>
      <c r="V584" s="7" t="n"/>
      <c r="W584" s="7">
        <f>IF($D584="","",V584*AB584/100)</f>
        <v/>
      </c>
      <c r="X584" s="7">
        <f>IF($D584="","",V584-W584)</f>
        <v/>
      </c>
      <c r="Y584" s="7">
        <f>IF($D584="","",X584-N584)</f>
        <v/>
      </c>
      <c r="AB584">
        <f>IF($D584="","",IF($AN584=1,0,IF($AM584=1,Settings!$C$6,Settings!$C$7))*100)</f>
        <v/>
      </c>
      <c r="AF584" s="7" t="n"/>
      <c r="AI584" s="11" t="n"/>
      <c r="AK584">
        <f>IF($D584="","",IF(COUNTIF($D$2:$D584,$D584)=1,1,0))</f>
        <v/>
      </c>
      <c r="AL584">
        <f>IF($AK584=1,SUMPRODUCT(--($AO$2:$AO$1501&lt;$AO584))+1,"")</f>
        <v/>
      </c>
      <c r="AM584">
        <f>IF($D584="","",IF(OR($R584=TRUE(),$R584="TRUE"),1,0))</f>
        <v/>
      </c>
      <c r="AN584">
        <f>IF($D584="","",IF($AA584="Yes",1,0))</f>
        <v/>
      </c>
      <c r="AO584">
        <f>IF($AK584=1,IFERROR(IF(VALUE($D584)&lt;100000000,VALUE($D584),1000000000),IFERROR(IF(VALUE(MID($D584,2,20))&lt;100000000,VALUE(MID($D584,2,20)),1000000000),1000000000))+ROW()/100000,"")</f>
        <v/>
      </c>
    </row>
    <row r="585">
      <c r="F585" s="11" t="n"/>
      <c r="N585" s="7">
        <f>IF($D585="","",M585*V585/100)</f>
        <v/>
      </c>
      <c r="O585" s="7" t="n"/>
      <c r="U585" s="7" t="n"/>
      <c r="V585" s="7" t="n"/>
      <c r="W585" s="7">
        <f>IF($D585="","",V585*AB585/100)</f>
        <v/>
      </c>
      <c r="X585" s="7">
        <f>IF($D585="","",V585-W585)</f>
        <v/>
      </c>
      <c r="Y585" s="7">
        <f>IF($D585="","",X585-N585)</f>
        <v/>
      </c>
      <c r="AB585">
        <f>IF($D585="","",IF($AN585=1,0,IF($AM585=1,Settings!$C$6,Settings!$C$7))*100)</f>
        <v/>
      </c>
      <c r="AF585" s="7" t="n"/>
      <c r="AI585" s="11" t="n"/>
      <c r="AK585">
        <f>IF($D585="","",IF(COUNTIF($D$2:$D585,$D585)=1,1,0))</f>
        <v/>
      </c>
      <c r="AL585">
        <f>IF($AK585=1,SUMPRODUCT(--($AO$2:$AO$1501&lt;$AO585))+1,"")</f>
        <v/>
      </c>
      <c r="AM585">
        <f>IF($D585="","",IF(OR($R585=TRUE(),$R585="TRUE"),1,0))</f>
        <v/>
      </c>
      <c r="AN585">
        <f>IF($D585="","",IF($AA585="Yes",1,0))</f>
        <v/>
      </c>
      <c r="AO585">
        <f>IF($AK585=1,IFERROR(IF(VALUE($D585)&lt;100000000,VALUE($D585),1000000000),IFERROR(IF(VALUE(MID($D585,2,20))&lt;100000000,VALUE(MID($D585,2,20)),1000000000),1000000000))+ROW()/100000,"")</f>
        <v/>
      </c>
    </row>
    <row r="586">
      <c r="F586" s="11" t="n"/>
      <c r="N586" s="7">
        <f>IF($D586="","",M586*V586/100)</f>
        <v/>
      </c>
      <c r="O586" s="7" t="n"/>
      <c r="U586" s="7" t="n"/>
      <c r="V586" s="7" t="n"/>
      <c r="W586" s="7">
        <f>IF($D586="","",V586*AB586/100)</f>
        <v/>
      </c>
      <c r="X586" s="7">
        <f>IF($D586="","",V586-W586)</f>
        <v/>
      </c>
      <c r="Y586" s="7">
        <f>IF($D586="","",X586-N586)</f>
        <v/>
      </c>
      <c r="AB586">
        <f>IF($D586="","",IF($AN586=1,0,IF($AM586=1,Settings!$C$6,Settings!$C$7))*100)</f>
        <v/>
      </c>
      <c r="AF586" s="7" t="n"/>
      <c r="AI586" s="11" t="n"/>
      <c r="AK586">
        <f>IF($D586="","",IF(COUNTIF($D$2:$D586,$D586)=1,1,0))</f>
        <v/>
      </c>
      <c r="AL586">
        <f>IF($AK586=1,SUMPRODUCT(--($AO$2:$AO$1501&lt;$AO586))+1,"")</f>
        <v/>
      </c>
      <c r="AM586">
        <f>IF($D586="","",IF(OR($R586=TRUE(),$R586="TRUE"),1,0))</f>
        <v/>
      </c>
      <c r="AN586">
        <f>IF($D586="","",IF($AA586="Yes",1,0))</f>
        <v/>
      </c>
      <c r="AO586">
        <f>IF($AK586=1,IFERROR(IF(VALUE($D586)&lt;100000000,VALUE($D586),1000000000),IFERROR(IF(VALUE(MID($D586,2,20))&lt;100000000,VALUE(MID($D586,2,20)),1000000000),1000000000))+ROW()/100000,"")</f>
        <v/>
      </c>
    </row>
    <row r="587">
      <c r="F587" s="11" t="n"/>
      <c r="N587" s="7">
        <f>IF($D587="","",M587*V587/100)</f>
        <v/>
      </c>
      <c r="O587" s="7" t="n"/>
      <c r="U587" s="7" t="n"/>
      <c r="V587" s="7" t="n"/>
      <c r="W587" s="7">
        <f>IF($D587="","",V587*AB587/100)</f>
        <v/>
      </c>
      <c r="X587" s="7">
        <f>IF($D587="","",V587-W587)</f>
        <v/>
      </c>
      <c r="Y587" s="7">
        <f>IF($D587="","",X587-N587)</f>
        <v/>
      </c>
      <c r="AB587">
        <f>IF($D587="","",IF($AN587=1,0,IF($AM587=1,Settings!$C$6,Settings!$C$7))*100)</f>
        <v/>
      </c>
      <c r="AF587" s="7" t="n"/>
      <c r="AI587" s="11" t="n"/>
      <c r="AK587">
        <f>IF($D587="","",IF(COUNTIF($D$2:$D587,$D587)=1,1,0))</f>
        <v/>
      </c>
      <c r="AL587">
        <f>IF($AK587=1,SUMPRODUCT(--($AO$2:$AO$1501&lt;$AO587))+1,"")</f>
        <v/>
      </c>
      <c r="AM587">
        <f>IF($D587="","",IF(OR($R587=TRUE(),$R587="TRUE"),1,0))</f>
        <v/>
      </c>
      <c r="AN587">
        <f>IF($D587="","",IF($AA587="Yes",1,0))</f>
        <v/>
      </c>
      <c r="AO587">
        <f>IF($AK587=1,IFERROR(IF(VALUE($D587)&lt;100000000,VALUE($D587),1000000000),IFERROR(IF(VALUE(MID($D587,2,20))&lt;100000000,VALUE(MID($D587,2,20)),1000000000),1000000000))+ROW()/100000,"")</f>
        <v/>
      </c>
    </row>
    <row r="588">
      <c r="F588" s="11" t="n"/>
      <c r="N588" s="7">
        <f>IF($D588="","",M588*V588/100)</f>
        <v/>
      </c>
      <c r="O588" s="7" t="n"/>
      <c r="U588" s="7" t="n"/>
      <c r="V588" s="7" t="n"/>
      <c r="W588" s="7">
        <f>IF($D588="","",V588*AB588/100)</f>
        <v/>
      </c>
      <c r="X588" s="7">
        <f>IF($D588="","",V588-W588)</f>
        <v/>
      </c>
      <c r="Y588" s="7">
        <f>IF($D588="","",X588-N588)</f>
        <v/>
      </c>
      <c r="AB588">
        <f>IF($D588="","",IF($AN588=1,0,IF($AM588=1,Settings!$C$6,Settings!$C$7))*100)</f>
        <v/>
      </c>
      <c r="AF588" s="7" t="n"/>
      <c r="AI588" s="11" t="n"/>
      <c r="AK588">
        <f>IF($D588="","",IF(COUNTIF($D$2:$D588,$D588)=1,1,0))</f>
        <v/>
      </c>
      <c r="AL588">
        <f>IF($AK588=1,SUMPRODUCT(--($AO$2:$AO$1501&lt;$AO588))+1,"")</f>
        <v/>
      </c>
      <c r="AM588">
        <f>IF($D588="","",IF(OR($R588=TRUE(),$R588="TRUE"),1,0))</f>
        <v/>
      </c>
      <c r="AN588">
        <f>IF($D588="","",IF($AA588="Yes",1,0))</f>
        <v/>
      </c>
      <c r="AO588">
        <f>IF($AK588=1,IFERROR(IF(VALUE($D588)&lt;100000000,VALUE($D588),1000000000),IFERROR(IF(VALUE(MID($D588,2,20))&lt;100000000,VALUE(MID($D588,2,20)),1000000000),1000000000))+ROW()/100000,"")</f>
        <v/>
      </c>
    </row>
    <row r="589">
      <c r="F589" s="11" t="n"/>
      <c r="N589" s="7">
        <f>IF($D589="","",M589*V589/100)</f>
        <v/>
      </c>
      <c r="O589" s="7" t="n"/>
      <c r="U589" s="7" t="n"/>
      <c r="V589" s="7" t="n"/>
      <c r="W589" s="7">
        <f>IF($D589="","",V589*AB589/100)</f>
        <v/>
      </c>
      <c r="X589" s="7">
        <f>IF($D589="","",V589-W589)</f>
        <v/>
      </c>
      <c r="Y589" s="7">
        <f>IF($D589="","",X589-N589)</f>
        <v/>
      </c>
      <c r="AB589">
        <f>IF($D589="","",IF($AN589=1,0,IF($AM589=1,Settings!$C$6,Settings!$C$7))*100)</f>
        <v/>
      </c>
      <c r="AF589" s="7" t="n"/>
      <c r="AI589" s="11" t="n"/>
      <c r="AK589">
        <f>IF($D589="","",IF(COUNTIF($D$2:$D589,$D589)=1,1,0))</f>
        <v/>
      </c>
      <c r="AL589">
        <f>IF($AK589=1,SUMPRODUCT(--($AO$2:$AO$1501&lt;$AO589))+1,"")</f>
        <v/>
      </c>
      <c r="AM589">
        <f>IF($D589="","",IF(OR($R589=TRUE(),$R589="TRUE"),1,0))</f>
        <v/>
      </c>
      <c r="AN589">
        <f>IF($D589="","",IF($AA589="Yes",1,0))</f>
        <v/>
      </c>
      <c r="AO589">
        <f>IF($AK589=1,IFERROR(IF(VALUE($D589)&lt;100000000,VALUE($D589),1000000000),IFERROR(IF(VALUE(MID($D589,2,20))&lt;100000000,VALUE(MID($D589,2,20)),1000000000),1000000000))+ROW()/100000,"")</f>
        <v/>
      </c>
    </row>
    <row r="590">
      <c r="F590" s="11" t="n"/>
      <c r="N590" s="7">
        <f>IF($D590="","",M590*V590/100)</f>
        <v/>
      </c>
      <c r="O590" s="7" t="n"/>
      <c r="U590" s="7" t="n"/>
      <c r="V590" s="7" t="n"/>
      <c r="W590" s="7">
        <f>IF($D590="","",V590*AB590/100)</f>
        <v/>
      </c>
      <c r="X590" s="7">
        <f>IF($D590="","",V590-W590)</f>
        <v/>
      </c>
      <c r="Y590" s="7">
        <f>IF($D590="","",X590-N590)</f>
        <v/>
      </c>
      <c r="AB590">
        <f>IF($D590="","",IF($AN590=1,0,IF($AM590=1,Settings!$C$6,Settings!$C$7))*100)</f>
        <v/>
      </c>
      <c r="AF590" s="7" t="n"/>
      <c r="AI590" s="11" t="n"/>
      <c r="AK590">
        <f>IF($D590="","",IF(COUNTIF($D$2:$D590,$D590)=1,1,0))</f>
        <v/>
      </c>
      <c r="AL590">
        <f>IF($AK590=1,SUMPRODUCT(--($AO$2:$AO$1501&lt;$AO590))+1,"")</f>
        <v/>
      </c>
      <c r="AM590">
        <f>IF($D590="","",IF(OR($R590=TRUE(),$R590="TRUE"),1,0))</f>
        <v/>
      </c>
      <c r="AN590">
        <f>IF($D590="","",IF($AA590="Yes",1,0))</f>
        <v/>
      </c>
      <c r="AO590">
        <f>IF($AK590=1,IFERROR(IF(VALUE($D590)&lt;100000000,VALUE($D590),1000000000),IFERROR(IF(VALUE(MID($D590,2,20))&lt;100000000,VALUE(MID($D590,2,20)),1000000000),1000000000))+ROW()/100000,"")</f>
        <v/>
      </c>
    </row>
    <row r="591">
      <c r="F591" s="11" t="n"/>
      <c r="N591" s="7">
        <f>IF($D591="","",M591*V591/100)</f>
        <v/>
      </c>
      <c r="O591" s="7" t="n"/>
      <c r="U591" s="7" t="n"/>
      <c r="V591" s="7" t="n"/>
      <c r="W591" s="7">
        <f>IF($D591="","",V591*AB591/100)</f>
        <v/>
      </c>
      <c r="X591" s="7">
        <f>IF($D591="","",V591-W591)</f>
        <v/>
      </c>
      <c r="Y591" s="7">
        <f>IF($D591="","",X591-N591)</f>
        <v/>
      </c>
      <c r="AB591">
        <f>IF($D591="","",IF($AN591=1,0,IF($AM591=1,Settings!$C$6,Settings!$C$7))*100)</f>
        <v/>
      </c>
      <c r="AF591" s="7" t="n"/>
      <c r="AI591" s="11" t="n"/>
      <c r="AK591">
        <f>IF($D591="","",IF(COUNTIF($D$2:$D591,$D591)=1,1,0))</f>
        <v/>
      </c>
      <c r="AL591">
        <f>IF($AK591=1,SUMPRODUCT(--($AO$2:$AO$1501&lt;$AO591))+1,"")</f>
        <v/>
      </c>
      <c r="AM591">
        <f>IF($D591="","",IF(OR($R591=TRUE(),$R591="TRUE"),1,0))</f>
        <v/>
      </c>
      <c r="AN591">
        <f>IF($D591="","",IF($AA591="Yes",1,0))</f>
        <v/>
      </c>
      <c r="AO591">
        <f>IF($AK591=1,IFERROR(IF(VALUE($D591)&lt;100000000,VALUE($D591),1000000000),IFERROR(IF(VALUE(MID($D591,2,20))&lt;100000000,VALUE(MID($D591,2,20)),1000000000),1000000000))+ROW()/100000,"")</f>
        <v/>
      </c>
    </row>
    <row r="592">
      <c r="F592" s="11" t="n"/>
      <c r="N592" s="7">
        <f>IF($D592="","",M592*V592/100)</f>
        <v/>
      </c>
      <c r="O592" s="7" t="n"/>
      <c r="U592" s="7" t="n"/>
      <c r="V592" s="7" t="n"/>
      <c r="W592" s="7">
        <f>IF($D592="","",V592*AB592/100)</f>
        <v/>
      </c>
      <c r="X592" s="7">
        <f>IF($D592="","",V592-W592)</f>
        <v/>
      </c>
      <c r="Y592" s="7">
        <f>IF($D592="","",X592-N592)</f>
        <v/>
      </c>
      <c r="AB592">
        <f>IF($D592="","",IF($AN592=1,0,IF($AM592=1,Settings!$C$6,Settings!$C$7))*100)</f>
        <v/>
      </c>
      <c r="AF592" s="7" t="n"/>
      <c r="AI592" s="11" t="n"/>
      <c r="AK592">
        <f>IF($D592="","",IF(COUNTIF($D$2:$D592,$D592)=1,1,0))</f>
        <v/>
      </c>
      <c r="AL592">
        <f>IF($AK592=1,SUMPRODUCT(--($AO$2:$AO$1501&lt;$AO592))+1,"")</f>
        <v/>
      </c>
      <c r="AM592">
        <f>IF($D592="","",IF(OR($R592=TRUE(),$R592="TRUE"),1,0))</f>
        <v/>
      </c>
      <c r="AN592">
        <f>IF($D592="","",IF($AA592="Yes",1,0))</f>
        <v/>
      </c>
      <c r="AO592">
        <f>IF($AK592=1,IFERROR(IF(VALUE($D592)&lt;100000000,VALUE($D592),1000000000),IFERROR(IF(VALUE(MID($D592,2,20))&lt;100000000,VALUE(MID($D592,2,20)),1000000000),1000000000))+ROW()/100000,"")</f>
        <v/>
      </c>
    </row>
    <row r="593">
      <c r="F593" s="11" t="n"/>
      <c r="N593" s="7">
        <f>IF($D593="","",M593*V593/100)</f>
        <v/>
      </c>
      <c r="O593" s="7" t="n"/>
      <c r="U593" s="7" t="n"/>
      <c r="V593" s="7" t="n"/>
      <c r="W593" s="7">
        <f>IF($D593="","",V593*AB593/100)</f>
        <v/>
      </c>
      <c r="X593" s="7">
        <f>IF($D593="","",V593-W593)</f>
        <v/>
      </c>
      <c r="Y593" s="7">
        <f>IF($D593="","",X593-N593)</f>
        <v/>
      </c>
      <c r="AB593">
        <f>IF($D593="","",IF($AN593=1,0,IF($AM593=1,Settings!$C$6,Settings!$C$7))*100)</f>
        <v/>
      </c>
      <c r="AF593" s="7" t="n"/>
      <c r="AI593" s="11" t="n"/>
      <c r="AK593">
        <f>IF($D593="","",IF(COUNTIF($D$2:$D593,$D593)=1,1,0))</f>
        <v/>
      </c>
      <c r="AL593">
        <f>IF($AK593=1,SUMPRODUCT(--($AO$2:$AO$1501&lt;$AO593))+1,"")</f>
        <v/>
      </c>
      <c r="AM593">
        <f>IF($D593="","",IF(OR($R593=TRUE(),$R593="TRUE"),1,0))</f>
        <v/>
      </c>
      <c r="AN593">
        <f>IF($D593="","",IF($AA593="Yes",1,0))</f>
        <v/>
      </c>
      <c r="AO593">
        <f>IF($AK593=1,IFERROR(IF(VALUE($D593)&lt;100000000,VALUE($D593),1000000000),IFERROR(IF(VALUE(MID($D593,2,20))&lt;100000000,VALUE(MID($D593,2,20)),1000000000),1000000000))+ROW()/100000,"")</f>
        <v/>
      </c>
    </row>
    <row r="594">
      <c r="F594" s="11" t="n"/>
      <c r="N594" s="7">
        <f>IF($D594="","",M594*V594/100)</f>
        <v/>
      </c>
      <c r="O594" s="7" t="n"/>
      <c r="U594" s="7" t="n"/>
      <c r="V594" s="7" t="n"/>
      <c r="W594" s="7">
        <f>IF($D594="","",V594*AB594/100)</f>
        <v/>
      </c>
      <c r="X594" s="7">
        <f>IF($D594="","",V594-W594)</f>
        <v/>
      </c>
      <c r="Y594" s="7">
        <f>IF($D594="","",X594-N594)</f>
        <v/>
      </c>
      <c r="AB594">
        <f>IF($D594="","",IF($AN594=1,0,IF($AM594=1,Settings!$C$6,Settings!$C$7))*100)</f>
        <v/>
      </c>
      <c r="AF594" s="7" t="n"/>
      <c r="AI594" s="11" t="n"/>
      <c r="AK594">
        <f>IF($D594="","",IF(COUNTIF($D$2:$D594,$D594)=1,1,0))</f>
        <v/>
      </c>
      <c r="AL594">
        <f>IF($AK594=1,SUMPRODUCT(--($AO$2:$AO$1501&lt;$AO594))+1,"")</f>
        <v/>
      </c>
      <c r="AM594">
        <f>IF($D594="","",IF(OR($R594=TRUE(),$R594="TRUE"),1,0))</f>
        <v/>
      </c>
      <c r="AN594">
        <f>IF($D594="","",IF($AA594="Yes",1,0))</f>
        <v/>
      </c>
      <c r="AO594">
        <f>IF($AK594=1,IFERROR(IF(VALUE($D594)&lt;100000000,VALUE($D594),1000000000),IFERROR(IF(VALUE(MID($D594,2,20))&lt;100000000,VALUE(MID($D594,2,20)),1000000000),1000000000))+ROW()/100000,"")</f>
        <v/>
      </c>
    </row>
    <row r="595">
      <c r="F595" s="11" t="n"/>
      <c r="N595" s="7">
        <f>IF($D595="","",M595*V595/100)</f>
        <v/>
      </c>
      <c r="O595" s="7" t="n"/>
      <c r="U595" s="7" t="n"/>
      <c r="V595" s="7" t="n"/>
      <c r="W595" s="7">
        <f>IF($D595="","",V595*AB595/100)</f>
        <v/>
      </c>
      <c r="X595" s="7">
        <f>IF($D595="","",V595-W595)</f>
        <v/>
      </c>
      <c r="Y595" s="7">
        <f>IF($D595="","",X595-N595)</f>
        <v/>
      </c>
      <c r="AB595">
        <f>IF($D595="","",IF($AN595=1,0,IF($AM595=1,Settings!$C$6,Settings!$C$7))*100)</f>
        <v/>
      </c>
      <c r="AF595" s="7" t="n"/>
      <c r="AI595" s="11" t="n"/>
      <c r="AK595">
        <f>IF($D595="","",IF(COUNTIF($D$2:$D595,$D595)=1,1,0))</f>
        <v/>
      </c>
      <c r="AL595">
        <f>IF($AK595=1,SUMPRODUCT(--($AO$2:$AO$1501&lt;$AO595))+1,"")</f>
        <v/>
      </c>
      <c r="AM595">
        <f>IF($D595="","",IF(OR($R595=TRUE(),$R595="TRUE"),1,0))</f>
        <v/>
      </c>
      <c r="AN595">
        <f>IF($D595="","",IF($AA595="Yes",1,0))</f>
        <v/>
      </c>
      <c r="AO595">
        <f>IF($AK595=1,IFERROR(IF(VALUE($D595)&lt;100000000,VALUE($D595),1000000000),IFERROR(IF(VALUE(MID($D595,2,20))&lt;100000000,VALUE(MID($D595,2,20)),1000000000),1000000000))+ROW()/100000,"")</f>
        <v/>
      </c>
    </row>
    <row r="596">
      <c r="F596" s="11" t="n"/>
      <c r="N596" s="7">
        <f>IF($D596="","",M596*V596/100)</f>
        <v/>
      </c>
      <c r="O596" s="7" t="n"/>
      <c r="U596" s="7" t="n"/>
      <c r="V596" s="7" t="n"/>
      <c r="W596" s="7">
        <f>IF($D596="","",V596*AB596/100)</f>
        <v/>
      </c>
      <c r="X596" s="7">
        <f>IF($D596="","",V596-W596)</f>
        <v/>
      </c>
      <c r="Y596" s="7">
        <f>IF($D596="","",X596-N596)</f>
        <v/>
      </c>
      <c r="AB596">
        <f>IF($D596="","",IF($AN596=1,0,IF($AM596=1,Settings!$C$6,Settings!$C$7))*100)</f>
        <v/>
      </c>
      <c r="AF596" s="7" t="n"/>
      <c r="AI596" s="11" t="n"/>
      <c r="AK596">
        <f>IF($D596="","",IF(COUNTIF($D$2:$D596,$D596)=1,1,0))</f>
        <v/>
      </c>
      <c r="AL596">
        <f>IF($AK596=1,SUMPRODUCT(--($AO$2:$AO$1501&lt;$AO596))+1,"")</f>
        <v/>
      </c>
      <c r="AM596">
        <f>IF($D596="","",IF(OR($R596=TRUE(),$R596="TRUE"),1,0))</f>
        <v/>
      </c>
      <c r="AN596">
        <f>IF($D596="","",IF($AA596="Yes",1,0))</f>
        <v/>
      </c>
      <c r="AO596">
        <f>IF($AK596=1,IFERROR(IF(VALUE($D596)&lt;100000000,VALUE($D596),1000000000),IFERROR(IF(VALUE(MID($D596,2,20))&lt;100000000,VALUE(MID($D596,2,20)),1000000000),1000000000))+ROW()/100000,"")</f>
        <v/>
      </c>
    </row>
    <row r="597">
      <c r="F597" s="11" t="n"/>
      <c r="N597" s="7">
        <f>IF($D597="","",M597*V597/100)</f>
        <v/>
      </c>
      <c r="O597" s="7" t="n"/>
      <c r="U597" s="7" t="n"/>
      <c r="V597" s="7" t="n"/>
      <c r="W597" s="7">
        <f>IF($D597="","",V597*AB597/100)</f>
        <v/>
      </c>
      <c r="X597" s="7">
        <f>IF($D597="","",V597-W597)</f>
        <v/>
      </c>
      <c r="Y597" s="7">
        <f>IF($D597="","",X597-N597)</f>
        <v/>
      </c>
      <c r="AB597">
        <f>IF($D597="","",IF($AN597=1,0,IF($AM597=1,Settings!$C$6,Settings!$C$7))*100)</f>
        <v/>
      </c>
      <c r="AF597" s="7" t="n"/>
      <c r="AI597" s="11" t="n"/>
      <c r="AK597">
        <f>IF($D597="","",IF(COUNTIF($D$2:$D597,$D597)=1,1,0))</f>
        <v/>
      </c>
      <c r="AL597">
        <f>IF($AK597=1,SUMPRODUCT(--($AO$2:$AO$1501&lt;$AO597))+1,"")</f>
        <v/>
      </c>
      <c r="AM597">
        <f>IF($D597="","",IF(OR($R597=TRUE(),$R597="TRUE"),1,0))</f>
        <v/>
      </c>
      <c r="AN597">
        <f>IF($D597="","",IF($AA597="Yes",1,0))</f>
        <v/>
      </c>
      <c r="AO597">
        <f>IF($AK597=1,IFERROR(IF(VALUE($D597)&lt;100000000,VALUE($D597),1000000000),IFERROR(IF(VALUE(MID($D597,2,20))&lt;100000000,VALUE(MID($D597,2,20)),1000000000),1000000000))+ROW()/100000,"")</f>
        <v/>
      </c>
    </row>
    <row r="598">
      <c r="F598" s="11" t="n"/>
      <c r="N598" s="7">
        <f>IF($D598="","",M598*V598/100)</f>
        <v/>
      </c>
      <c r="O598" s="7" t="n"/>
      <c r="U598" s="7" t="n"/>
      <c r="V598" s="7" t="n"/>
      <c r="W598" s="7">
        <f>IF($D598="","",V598*AB598/100)</f>
        <v/>
      </c>
      <c r="X598" s="7">
        <f>IF($D598="","",V598-W598)</f>
        <v/>
      </c>
      <c r="Y598" s="7">
        <f>IF($D598="","",X598-N598)</f>
        <v/>
      </c>
      <c r="AB598">
        <f>IF($D598="","",IF($AN598=1,0,IF($AM598=1,Settings!$C$6,Settings!$C$7))*100)</f>
        <v/>
      </c>
      <c r="AF598" s="7" t="n"/>
      <c r="AI598" s="11" t="n"/>
      <c r="AK598">
        <f>IF($D598="","",IF(COUNTIF($D$2:$D598,$D598)=1,1,0))</f>
        <v/>
      </c>
      <c r="AL598">
        <f>IF($AK598=1,SUMPRODUCT(--($AO$2:$AO$1501&lt;$AO598))+1,"")</f>
        <v/>
      </c>
      <c r="AM598">
        <f>IF($D598="","",IF(OR($R598=TRUE(),$R598="TRUE"),1,0))</f>
        <v/>
      </c>
      <c r="AN598">
        <f>IF($D598="","",IF($AA598="Yes",1,0))</f>
        <v/>
      </c>
      <c r="AO598">
        <f>IF($AK598=1,IFERROR(IF(VALUE($D598)&lt;100000000,VALUE($D598),1000000000),IFERROR(IF(VALUE(MID($D598,2,20))&lt;100000000,VALUE(MID($D598,2,20)),1000000000),1000000000))+ROW()/100000,"")</f>
        <v/>
      </c>
    </row>
    <row r="599">
      <c r="F599" s="11" t="n"/>
      <c r="N599" s="7">
        <f>IF($D599="","",M599*V599/100)</f>
        <v/>
      </c>
      <c r="O599" s="7" t="n"/>
      <c r="U599" s="7" t="n"/>
      <c r="V599" s="7" t="n"/>
      <c r="W599" s="7">
        <f>IF($D599="","",V599*AB599/100)</f>
        <v/>
      </c>
      <c r="X599" s="7">
        <f>IF($D599="","",V599-W599)</f>
        <v/>
      </c>
      <c r="Y599" s="7">
        <f>IF($D599="","",X599-N599)</f>
        <v/>
      </c>
      <c r="AB599">
        <f>IF($D599="","",IF($AN599=1,0,IF($AM599=1,Settings!$C$6,Settings!$C$7))*100)</f>
        <v/>
      </c>
      <c r="AF599" s="7" t="n"/>
      <c r="AI599" s="11" t="n"/>
      <c r="AK599">
        <f>IF($D599="","",IF(COUNTIF($D$2:$D599,$D599)=1,1,0))</f>
        <v/>
      </c>
      <c r="AL599">
        <f>IF($AK599=1,SUMPRODUCT(--($AO$2:$AO$1501&lt;$AO599))+1,"")</f>
        <v/>
      </c>
      <c r="AM599">
        <f>IF($D599="","",IF(OR($R599=TRUE(),$R599="TRUE"),1,0))</f>
        <v/>
      </c>
      <c r="AN599">
        <f>IF($D599="","",IF($AA599="Yes",1,0))</f>
        <v/>
      </c>
      <c r="AO599">
        <f>IF($AK599=1,IFERROR(IF(VALUE($D599)&lt;100000000,VALUE($D599),1000000000),IFERROR(IF(VALUE(MID($D599,2,20))&lt;100000000,VALUE(MID($D599,2,20)),1000000000),1000000000))+ROW()/100000,"")</f>
        <v/>
      </c>
    </row>
    <row r="600">
      <c r="F600" s="11" t="n"/>
      <c r="N600" s="7">
        <f>IF($D600="","",M600*V600/100)</f>
        <v/>
      </c>
      <c r="O600" s="7" t="n"/>
      <c r="U600" s="7" t="n"/>
      <c r="V600" s="7" t="n"/>
      <c r="W600" s="7">
        <f>IF($D600="","",V600*AB600/100)</f>
        <v/>
      </c>
      <c r="X600" s="7">
        <f>IF($D600="","",V600-W600)</f>
        <v/>
      </c>
      <c r="Y600" s="7">
        <f>IF($D600="","",X600-N600)</f>
        <v/>
      </c>
      <c r="AB600">
        <f>IF($D600="","",IF($AN600=1,0,IF($AM600=1,Settings!$C$6,Settings!$C$7))*100)</f>
        <v/>
      </c>
      <c r="AF600" s="7" t="n"/>
      <c r="AI600" s="11" t="n"/>
      <c r="AK600">
        <f>IF($D600="","",IF(COUNTIF($D$2:$D600,$D600)=1,1,0))</f>
        <v/>
      </c>
      <c r="AL600">
        <f>IF($AK600=1,SUMPRODUCT(--($AO$2:$AO$1501&lt;$AO600))+1,"")</f>
        <v/>
      </c>
      <c r="AM600">
        <f>IF($D600="","",IF(OR($R600=TRUE(),$R600="TRUE"),1,0))</f>
        <v/>
      </c>
      <c r="AN600">
        <f>IF($D600="","",IF($AA600="Yes",1,0))</f>
        <v/>
      </c>
      <c r="AO600">
        <f>IF($AK600=1,IFERROR(IF(VALUE($D600)&lt;100000000,VALUE($D600),1000000000),IFERROR(IF(VALUE(MID($D600,2,20))&lt;100000000,VALUE(MID($D600,2,20)),1000000000),1000000000))+ROW()/100000,"")</f>
        <v/>
      </c>
    </row>
    <row r="601">
      <c r="F601" s="11" t="n"/>
      <c r="N601" s="7">
        <f>IF($D601="","",M601*V601/100)</f>
        <v/>
      </c>
      <c r="O601" s="7" t="n"/>
      <c r="U601" s="7" t="n"/>
      <c r="V601" s="7" t="n"/>
      <c r="W601" s="7">
        <f>IF($D601="","",V601*AB601/100)</f>
        <v/>
      </c>
      <c r="X601" s="7">
        <f>IF($D601="","",V601-W601)</f>
        <v/>
      </c>
      <c r="Y601" s="7">
        <f>IF($D601="","",X601-N601)</f>
        <v/>
      </c>
      <c r="AB601">
        <f>IF($D601="","",IF($AN601=1,0,IF($AM601=1,Settings!$C$6,Settings!$C$7))*100)</f>
        <v/>
      </c>
      <c r="AF601" s="7" t="n"/>
      <c r="AI601" s="11" t="n"/>
      <c r="AK601">
        <f>IF($D601="","",IF(COUNTIF($D$2:$D601,$D601)=1,1,0))</f>
        <v/>
      </c>
      <c r="AL601">
        <f>IF($AK601=1,SUMPRODUCT(--($AO$2:$AO$1501&lt;$AO601))+1,"")</f>
        <v/>
      </c>
      <c r="AM601">
        <f>IF($D601="","",IF(OR($R601=TRUE(),$R601="TRUE"),1,0))</f>
        <v/>
      </c>
      <c r="AN601">
        <f>IF($D601="","",IF($AA601="Yes",1,0))</f>
        <v/>
      </c>
      <c r="AO601">
        <f>IF($AK601=1,IFERROR(IF(VALUE($D601)&lt;100000000,VALUE($D601),1000000000),IFERROR(IF(VALUE(MID($D601,2,20))&lt;100000000,VALUE(MID($D601,2,20)),1000000000),1000000000))+ROW()/100000,"")</f>
        <v/>
      </c>
    </row>
    <row r="602">
      <c r="F602" s="11" t="n"/>
      <c r="N602" s="7">
        <f>IF($D602="","",M602*V602/100)</f>
        <v/>
      </c>
      <c r="O602" s="7" t="n"/>
      <c r="U602" s="7" t="n"/>
      <c r="V602" s="7" t="n"/>
      <c r="W602" s="7">
        <f>IF($D602="","",V602*AB602/100)</f>
        <v/>
      </c>
      <c r="X602" s="7">
        <f>IF($D602="","",V602-W602)</f>
        <v/>
      </c>
      <c r="Y602" s="7">
        <f>IF($D602="","",X602-N602)</f>
        <v/>
      </c>
      <c r="AB602">
        <f>IF($D602="","",IF($AN602=1,0,IF($AM602=1,Settings!$C$6,Settings!$C$7))*100)</f>
        <v/>
      </c>
      <c r="AF602" s="7" t="n"/>
      <c r="AI602" s="11" t="n"/>
      <c r="AK602">
        <f>IF($D602="","",IF(COUNTIF($D$2:$D602,$D602)=1,1,0))</f>
        <v/>
      </c>
      <c r="AL602">
        <f>IF($AK602=1,SUMPRODUCT(--($AO$2:$AO$1501&lt;$AO602))+1,"")</f>
        <v/>
      </c>
      <c r="AM602">
        <f>IF($D602="","",IF(OR($R602=TRUE(),$R602="TRUE"),1,0))</f>
        <v/>
      </c>
      <c r="AN602">
        <f>IF($D602="","",IF($AA602="Yes",1,0))</f>
        <v/>
      </c>
      <c r="AO602">
        <f>IF($AK602=1,IFERROR(IF(VALUE($D602)&lt;100000000,VALUE($D602),1000000000),IFERROR(IF(VALUE(MID($D602,2,20))&lt;100000000,VALUE(MID($D602,2,20)),1000000000),1000000000))+ROW()/100000,"")</f>
        <v/>
      </c>
    </row>
    <row r="603">
      <c r="F603" s="11" t="n"/>
      <c r="N603" s="7">
        <f>IF($D603="","",M603*V603/100)</f>
        <v/>
      </c>
      <c r="O603" s="7" t="n"/>
      <c r="U603" s="7" t="n"/>
      <c r="V603" s="7" t="n"/>
      <c r="W603" s="7">
        <f>IF($D603="","",V603*AB603/100)</f>
        <v/>
      </c>
      <c r="X603" s="7">
        <f>IF($D603="","",V603-W603)</f>
        <v/>
      </c>
      <c r="Y603" s="7">
        <f>IF($D603="","",X603-N603)</f>
        <v/>
      </c>
      <c r="AB603">
        <f>IF($D603="","",IF($AN603=1,0,IF($AM603=1,Settings!$C$6,Settings!$C$7))*100)</f>
        <v/>
      </c>
      <c r="AF603" s="7" t="n"/>
      <c r="AI603" s="11" t="n"/>
      <c r="AK603">
        <f>IF($D603="","",IF(COUNTIF($D$2:$D603,$D603)=1,1,0))</f>
        <v/>
      </c>
      <c r="AL603">
        <f>IF($AK603=1,SUMPRODUCT(--($AO$2:$AO$1501&lt;$AO603))+1,"")</f>
        <v/>
      </c>
      <c r="AM603">
        <f>IF($D603="","",IF(OR($R603=TRUE(),$R603="TRUE"),1,0))</f>
        <v/>
      </c>
      <c r="AN603">
        <f>IF($D603="","",IF($AA603="Yes",1,0))</f>
        <v/>
      </c>
      <c r="AO603">
        <f>IF($AK603=1,IFERROR(IF(VALUE($D603)&lt;100000000,VALUE($D603),1000000000),IFERROR(IF(VALUE(MID($D603,2,20))&lt;100000000,VALUE(MID($D603,2,20)),1000000000),1000000000))+ROW()/100000,"")</f>
        <v/>
      </c>
    </row>
    <row r="604">
      <c r="F604" s="11" t="n"/>
      <c r="N604" s="7">
        <f>IF($D604="","",M604*V604/100)</f>
        <v/>
      </c>
      <c r="O604" s="7" t="n"/>
      <c r="U604" s="7" t="n"/>
      <c r="V604" s="7" t="n"/>
      <c r="W604" s="7">
        <f>IF($D604="","",V604*AB604/100)</f>
        <v/>
      </c>
      <c r="X604" s="7">
        <f>IF($D604="","",V604-W604)</f>
        <v/>
      </c>
      <c r="Y604" s="7">
        <f>IF($D604="","",X604-N604)</f>
        <v/>
      </c>
      <c r="AB604">
        <f>IF($D604="","",IF($AN604=1,0,IF($AM604=1,Settings!$C$6,Settings!$C$7))*100)</f>
        <v/>
      </c>
      <c r="AF604" s="7" t="n"/>
      <c r="AI604" s="11" t="n"/>
      <c r="AK604">
        <f>IF($D604="","",IF(COUNTIF($D$2:$D604,$D604)=1,1,0))</f>
        <v/>
      </c>
      <c r="AL604">
        <f>IF($AK604=1,SUMPRODUCT(--($AO$2:$AO$1501&lt;$AO604))+1,"")</f>
        <v/>
      </c>
      <c r="AM604">
        <f>IF($D604="","",IF(OR($R604=TRUE(),$R604="TRUE"),1,0))</f>
        <v/>
      </c>
      <c r="AN604">
        <f>IF($D604="","",IF($AA604="Yes",1,0))</f>
        <v/>
      </c>
      <c r="AO604">
        <f>IF($AK604=1,IFERROR(IF(VALUE($D604)&lt;100000000,VALUE($D604),1000000000),IFERROR(IF(VALUE(MID($D604,2,20))&lt;100000000,VALUE(MID($D604,2,20)),1000000000),1000000000))+ROW()/100000,"")</f>
        <v/>
      </c>
    </row>
    <row r="605">
      <c r="F605" s="11" t="n"/>
      <c r="N605" s="7">
        <f>IF($D605="","",M605*V605/100)</f>
        <v/>
      </c>
      <c r="O605" s="7" t="n"/>
      <c r="U605" s="7" t="n"/>
      <c r="V605" s="7" t="n"/>
      <c r="W605" s="7">
        <f>IF($D605="","",V605*AB605/100)</f>
        <v/>
      </c>
      <c r="X605" s="7">
        <f>IF($D605="","",V605-W605)</f>
        <v/>
      </c>
      <c r="Y605" s="7">
        <f>IF($D605="","",X605-N605)</f>
        <v/>
      </c>
      <c r="AB605">
        <f>IF($D605="","",IF($AN605=1,0,IF($AM605=1,Settings!$C$6,Settings!$C$7))*100)</f>
        <v/>
      </c>
      <c r="AF605" s="7" t="n"/>
      <c r="AI605" s="11" t="n"/>
      <c r="AK605">
        <f>IF($D605="","",IF(COUNTIF($D$2:$D605,$D605)=1,1,0))</f>
        <v/>
      </c>
      <c r="AL605">
        <f>IF($AK605=1,SUMPRODUCT(--($AO$2:$AO$1501&lt;$AO605))+1,"")</f>
        <v/>
      </c>
      <c r="AM605">
        <f>IF($D605="","",IF(OR($R605=TRUE(),$R605="TRUE"),1,0))</f>
        <v/>
      </c>
      <c r="AN605">
        <f>IF($D605="","",IF($AA605="Yes",1,0))</f>
        <v/>
      </c>
      <c r="AO605">
        <f>IF($AK605=1,IFERROR(IF(VALUE($D605)&lt;100000000,VALUE($D605),1000000000),IFERROR(IF(VALUE(MID($D605,2,20))&lt;100000000,VALUE(MID($D605,2,20)),1000000000),1000000000))+ROW()/100000,"")</f>
        <v/>
      </c>
    </row>
    <row r="606">
      <c r="F606" s="11" t="n"/>
      <c r="N606" s="7">
        <f>IF($D606="","",M606*V606/100)</f>
        <v/>
      </c>
      <c r="O606" s="7" t="n"/>
      <c r="U606" s="7" t="n"/>
      <c r="V606" s="7" t="n"/>
      <c r="W606" s="7">
        <f>IF($D606="","",V606*AB606/100)</f>
        <v/>
      </c>
      <c r="X606" s="7">
        <f>IF($D606="","",V606-W606)</f>
        <v/>
      </c>
      <c r="Y606" s="7">
        <f>IF($D606="","",X606-N606)</f>
        <v/>
      </c>
      <c r="AB606">
        <f>IF($D606="","",IF($AN606=1,0,IF($AM606=1,Settings!$C$6,Settings!$C$7))*100)</f>
        <v/>
      </c>
      <c r="AF606" s="7" t="n"/>
      <c r="AI606" s="11" t="n"/>
      <c r="AK606">
        <f>IF($D606="","",IF(COUNTIF($D$2:$D606,$D606)=1,1,0))</f>
        <v/>
      </c>
      <c r="AL606">
        <f>IF($AK606=1,SUMPRODUCT(--($AO$2:$AO$1501&lt;$AO606))+1,"")</f>
        <v/>
      </c>
      <c r="AM606">
        <f>IF($D606="","",IF(OR($R606=TRUE(),$R606="TRUE"),1,0))</f>
        <v/>
      </c>
      <c r="AN606">
        <f>IF($D606="","",IF($AA606="Yes",1,0))</f>
        <v/>
      </c>
      <c r="AO606">
        <f>IF($AK606=1,IFERROR(IF(VALUE($D606)&lt;100000000,VALUE($D606),1000000000),IFERROR(IF(VALUE(MID($D606,2,20))&lt;100000000,VALUE(MID($D606,2,20)),1000000000),1000000000))+ROW()/100000,"")</f>
        <v/>
      </c>
    </row>
    <row r="607">
      <c r="F607" s="11" t="n"/>
      <c r="N607" s="7">
        <f>IF($D607="","",M607*V607/100)</f>
        <v/>
      </c>
      <c r="O607" s="7" t="n"/>
      <c r="U607" s="7" t="n"/>
      <c r="V607" s="7" t="n"/>
      <c r="W607" s="7">
        <f>IF($D607="","",V607*AB607/100)</f>
        <v/>
      </c>
      <c r="X607" s="7">
        <f>IF($D607="","",V607-W607)</f>
        <v/>
      </c>
      <c r="Y607" s="7">
        <f>IF($D607="","",X607-N607)</f>
        <v/>
      </c>
      <c r="AB607">
        <f>IF($D607="","",IF($AN607=1,0,IF($AM607=1,Settings!$C$6,Settings!$C$7))*100)</f>
        <v/>
      </c>
      <c r="AF607" s="7" t="n"/>
      <c r="AI607" s="11" t="n"/>
      <c r="AK607">
        <f>IF($D607="","",IF(COUNTIF($D$2:$D607,$D607)=1,1,0))</f>
        <v/>
      </c>
      <c r="AL607">
        <f>IF($AK607=1,SUMPRODUCT(--($AO$2:$AO$1501&lt;$AO607))+1,"")</f>
        <v/>
      </c>
      <c r="AM607">
        <f>IF($D607="","",IF(OR($R607=TRUE(),$R607="TRUE"),1,0))</f>
        <v/>
      </c>
      <c r="AN607">
        <f>IF($D607="","",IF($AA607="Yes",1,0))</f>
        <v/>
      </c>
      <c r="AO607">
        <f>IF($AK607=1,IFERROR(IF(VALUE($D607)&lt;100000000,VALUE($D607),1000000000),IFERROR(IF(VALUE(MID($D607,2,20))&lt;100000000,VALUE(MID($D607,2,20)),1000000000),1000000000))+ROW()/100000,"")</f>
        <v/>
      </c>
    </row>
    <row r="608">
      <c r="F608" s="11" t="n"/>
      <c r="N608" s="7">
        <f>IF($D608="","",M608*V608/100)</f>
        <v/>
      </c>
      <c r="O608" s="7" t="n"/>
      <c r="U608" s="7" t="n"/>
      <c r="V608" s="7" t="n"/>
      <c r="W608" s="7">
        <f>IF($D608="","",V608*AB608/100)</f>
        <v/>
      </c>
      <c r="X608" s="7">
        <f>IF($D608="","",V608-W608)</f>
        <v/>
      </c>
      <c r="Y608" s="7">
        <f>IF($D608="","",X608-N608)</f>
        <v/>
      </c>
      <c r="AB608">
        <f>IF($D608="","",IF($AN608=1,0,IF($AM608=1,Settings!$C$6,Settings!$C$7))*100)</f>
        <v/>
      </c>
      <c r="AF608" s="7" t="n"/>
      <c r="AI608" s="11" t="n"/>
      <c r="AK608">
        <f>IF($D608="","",IF(COUNTIF($D$2:$D608,$D608)=1,1,0))</f>
        <v/>
      </c>
      <c r="AL608">
        <f>IF($AK608=1,SUMPRODUCT(--($AO$2:$AO$1501&lt;$AO608))+1,"")</f>
        <v/>
      </c>
      <c r="AM608">
        <f>IF($D608="","",IF(OR($R608=TRUE(),$R608="TRUE"),1,0))</f>
        <v/>
      </c>
      <c r="AN608">
        <f>IF($D608="","",IF($AA608="Yes",1,0))</f>
        <v/>
      </c>
      <c r="AO608">
        <f>IF($AK608=1,IFERROR(IF(VALUE($D608)&lt;100000000,VALUE($D608),1000000000),IFERROR(IF(VALUE(MID($D608,2,20))&lt;100000000,VALUE(MID($D608,2,20)),1000000000),1000000000))+ROW()/100000,"")</f>
        <v/>
      </c>
    </row>
    <row r="609">
      <c r="F609" s="11" t="n"/>
      <c r="N609" s="7">
        <f>IF($D609="","",M609*V609/100)</f>
        <v/>
      </c>
      <c r="O609" s="7" t="n"/>
      <c r="U609" s="7" t="n"/>
      <c r="V609" s="7" t="n"/>
      <c r="W609" s="7">
        <f>IF($D609="","",V609*AB609/100)</f>
        <v/>
      </c>
      <c r="X609" s="7">
        <f>IF($D609="","",V609-W609)</f>
        <v/>
      </c>
      <c r="Y609" s="7">
        <f>IF($D609="","",X609-N609)</f>
        <v/>
      </c>
      <c r="AB609">
        <f>IF($D609="","",IF($AN609=1,0,IF($AM609=1,Settings!$C$6,Settings!$C$7))*100)</f>
        <v/>
      </c>
      <c r="AF609" s="7" t="n"/>
      <c r="AI609" s="11" t="n"/>
      <c r="AK609">
        <f>IF($D609="","",IF(COUNTIF($D$2:$D609,$D609)=1,1,0))</f>
        <v/>
      </c>
      <c r="AL609">
        <f>IF($AK609=1,SUMPRODUCT(--($AO$2:$AO$1501&lt;$AO609))+1,"")</f>
        <v/>
      </c>
      <c r="AM609">
        <f>IF($D609="","",IF(OR($R609=TRUE(),$R609="TRUE"),1,0))</f>
        <v/>
      </c>
      <c r="AN609">
        <f>IF($D609="","",IF($AA609="Yes",1,0))</f>
        <v/>
      </c>
      <c r="AO609">
        <f>IF($AK609=1,IFERROR(IF(VALUE($D609)&lt;100000000,VALUE($D609),1000000000),IFERROR(IF(VALUE(MID($D609,2,20))&lt;100000000,VALUE(MID($D609,2,20)),1000000000),1000000000))+ROW()/100000,"")</f>
        <v/>
      </c>
    </row>
    <row r="610">
      <c r="F610" s="11" t="n"/>
      <c r="N610" s="7">
        <f>IF($D610="","",M610*V610/100)</f>
        <v/>
      </c>
      <c r="O610" s="7" t="n"/>
      <c r="U610" s="7" t="n"/>
      <c r="V610" s="7" t="n"/>
      <c r="W610" s="7">
        <f>IF($D610="","",V610*AB610/100)</f>
        <v/>
      </c>
      <c r="X610" s="7">
        <f>IF($D610="","",V610-W610)</f>
        <v/>
      </c>
      <c r="Y610" s="7">
        <f>IF($D610="","",X610-N610)</f>
        <v/>
      </c>
      <c r="AB610">
        <f>IF($D610="","",IF($AN610=1,0,IF($AM610=1,Settings!$C$6,Settings!$C$7))*100)</f>
        <v/>
      </c>
      <c r="AF610" s="7" t="n"/>
      <c r="AI610" s="11" t="n"/>
      <c r="AK610">
        <f>IF($D610="","",IF(COUNTIF($D$2:$D610,$D610)=1,1,0))</f>
        <v/>
      </c>
      <c r="AL610">
        <f>IF($AK610=1,SUMPRODUCT(--($AO$2:$AO$1501&lt;$AO610))+1,"")</f>
        <v/>
      </c>
      <c r="AM610">
        <f>IF($D610="","",IF(OR($R610=TRUE(),$R610="TRUE"),1,0))</f>
        <v/>
      </c>
      <c r="AN610">
        <f>IF($D610="","",IF($AA610="Yes",1,0))</f>
        <v/>
      </c>
      <c r="AO610">
        <f>IF($AK610=1,IFERROR(IF(VALUE($D610)&lt;100000000,VALUE($D610),1000000000),IFERROR(IF(VALUE(MID($D610,2,20))&lt;100000000,VALUE(MID($D610,2,20)),1000000000),1000000000))+ROW()/100000,"")</f>
        <v/>
      </c>
    </row>
    <row r="611">
      <c r="F611" s="11" t="n"/>
      <c r="N611" s="7">
        <f>IF($D611="","",M611*V611/100)</f>
        <v/>
      </c>
      <c r="O611" s="7" t="n"/>
      <c r="U611" s="7" t="n"/>
      <c r="V611" s="7" t="n"/>
      <c r="W611" s="7">
        <f>IF($D611="","",V611*AB611/100)</f>
        <v/>
      </c>
      <c r="X611" s="7">
        <f>IF($D611="","",V611-W611)</f>
        <v/>
      </c>
      <c r="Y611" s="7">
        <f>IF($D611="","",X611-N611)</f>
        <v/>
      </c>
      <c r="AB611">
        <f>IF($D611="","",IF($AN611=1,0,IF($AM611=1,Settings!$C$6,Settings!$C$7))*100)</f>
        <v/>
      </c>
      <c r="AF611" s="7" t="n"/>
      <c r="AI611" s="11" t="n"/>
      <c r="AK611">
        <f>IF($D611="","",IF(COUNTIF($D$2:$D611,$D611)=1,1,0))</f>
        <v/>
      </c>
      <c r="AL611">
        <f>IF($AK611=1,SUMPRODUCT(--($AO$2:$AO$1501&lt;$AO611))+1,"")</f>
        <v/>
      </c>
      <c r="AM611">
        <f>IF($D611="","",IF(OR($R611=TRUE(),$R611="TRUE"),1,0))</f>
        <v/>
      </c>
      <c r="AN611">
        <f>IF($D611="","",IF($AA611="Yes",1,0))</f>
        <v/>
      </c>
      <c r="AO611">
        <f>IF($AK611=1,IFERROR(IF(VALUE($D611)&lt;100000000,VALUE($D611),1000000000),IFERROR(IF(VALUE(MID($D611,2,20))&lt;100000000,VALUE(MID($D611,2,20)),1000000000),1000000000))+ROW()/100000,"")</f>
        <v/>
      </c>
    </row>
    <row r="612">
      <c r="F612" s="11" t="n"/>
      <c r="N612" s="7">
        <f>IF($D612="","",M612*V612/100)</f>
        <v/>
      </c>
      <c r="O612" s="7" t="n"/>
      <c r="U612" s="7" t="n"/>
      <c r="V612" s="7" t="n"/>
      <c r="W612" s="7">
        <f>IF($D612="","",V612*AB612/100)</f>
        <v/>
      </c>
      <c r="X612" s="7">
        <f>IF($D612="","",V612-W612)</f>
        <v/>
      </c>
      <c r="Y612" s="7">
        <f>IF($D612="","",X612-N612)</f>
        <v/>
      </c>
      <c r="AB612">
        <f>IF($D612="","",IF($AN612=1,0,IF($AM612=1,Settings!$C$6,Settings!$C$7))*100)</f>
        <v/>
      </c>
      <c r="AF612" s="7" t="n"/>
      <c r="AI612" s="11" t="n"/>
      <c r="AK612">
        <f>IF($D612="","",IF(COUNTIF($D$2:$D612,$D612)=1,1,0))</f>
        <v/>
      </c>
      <c r="AL612">
        <f>IF($AK612=1,SUMPRODUCT(--($AO$2:$AO$1501&lt;$AO612))+1,"")</f>
        <v/>
      </c>
      <c r="AM612">
        <f>IF($D612="","",IF(OR($R612=TRUE(),$R612="TRUE"),1,0))</f>
        <v/>
      </c>
      <c r="AN612">
        <f>IF($D612="","",IF($AA612="Yes",1,0))</f>
        <v/>
      </c>
      <c r="AO612">
        <f>IF($AK612=1,IFERROR(IF(VALUE($D612)&lt;100000000,VALUE($D612),1000000000),IFERROR(IF(VALUE(MID($D612,2,20))&lt;100000000,VALUE(MID($D612,2,20)),1000000000),1000000000))+ROW()/100000,"")</f>
        <v/>
      </c>
    </row>
    <row r="613">
      <c r="F613" s="11" t="n"/>
      <c r="N613" s="7">
        <f>IF($D613="","",M613*V613/100)</f>
        <v/>
      </c>
      <c r="O613" s="7" t="n"/>
      <c r="U613" s="7" t="n"/>
      <c r="V613" s="7" t="n"/>
      <c r="W613" s="7">
        <f>IF($D613="","",V613*AB613/100)</f>
        <v/>
      </c>
      <c r="X613" s="7">
        <f>IF($D613="","",V613-W613)</f>
        <v/>
      </c>
      <c r="Y613" s="7">
        <f>IF($D613="","",X613-N613)</f>
        <v/>
      </c>
      <c r="AB613">
        <f>IF($D613="","",IF($AN613=1,0,IF($AM613=1,Settings!$C$6,Settings!$C$7))*100)</f>
        <v/>
      </c>
      <c r="AF613" s="7" t="n"/>
      <c r="AI613" s="11" t="n"/>
      <c r="AK613">
        <f>IF($D613="","",IF(COUNTIF($D$2:$D613,$D613)=1,1,0))</f>
        <v/>
      </c>
      <c r="AL613">
        <f>IF($AK613=1,SUMPRODUCT(--($AO$2:$AO$1501&lt;$AO613))+1,"")</f>
        <v/>
      </c>
      <c r="AM613">
        <f>IF($D613="","",IF(OR($R613=TRUE(),$R613="TRUE"),1,0))</f>
        <v/>
      </c>
      <c r="AN613">
        <f>IF($D613="","",IF($AA613="Yes",1,0))</f>
        <v/>
      </c>
      <c r="AO613">
        <f>IF($AK613=1,IFERROR(IF(VALUE($D613)&lt;100000000,VALUE($D613),1000000000),IFERROR(IF(VALUE(MID($D613,2,20))&lt;100000000,VALUE(MID($D613,2,20)),1000000000),1000000000))+ROW()/100000,"")</f>
        <v/>
      </c>
    </row>
    <row r="614">
      <c r="F614" s="11" t="n"/>
      <c r="N614" s="7">
        <f>IF($D614="","",M614*V614/100)</f>
        <v/>
      </c>
      <c r="O614" s="7" t="n"/>
      <c r="U614" s="7" t="n"/>
      <c r="V614" s="7" t="n"/>
      <c r="W614" s="7">
        <f>IF($D614="","",V614*AB614/100)</f>
        <v/>
      </c>
      <c r="X614" s="7">
        <f>IF($D614="","",V614-W614)</f>
        <v/>
      </c>
      <c r="Y614" s="7">
        <f>IF($D614="","",X614-N614)</f>
        <v/>
      </c>
      <c r="AB614">
        <f>IF($D614="","",IF($AN614=1,0,IF($AM614=1,Settings!$C$6,Settings!$C$7))*100)</f>
        <v/>
      </c>
      <c r="AF614" s="7" t="n"/>
      <c r="AI614" s="11" t="n"/>
      <c r="AK614">
        <f>IF($D614="","",IF(COUNTIF($D$2:$D614,$D614)=1,1,0))</f>
        <v/>
      </c>
      <c r="AL614">
        <f>IF($AK614=1,SUMPRODUCT(--($AO$2:$AO$1501&lt;$AO614))+1,"")</f>
        <v/>
      </c>
      <c r="AM614">
        <f>IF($D614="","",IF(OR($R614=TRUE(),$R614="TRUE"),1,0))</f>
        <v/>
      </c>
      <c r="AN614">
        <f>IF($D614="","",IF($AA614="Yes",1,0))</f>
        <v/>
      </c>
      <c r="AO614">
        <f>IF($AK614=1,IFERROR(IF(VALUE($D614)&lt;100000000,VALUE($D614),1000000000),IFERROR(IF(VALUE(MID($D614,2,20))&lt;100000000,VALUE(MID($D614,2,20)),1000000000),1000000000))+ROW()/100000,"")</f>
        <v/>
      </c>
    </row>
    <row r="615">
      <c r="F615" s="11" t="n"/>
      <c r="N615" s="7">
        <f>IF($D615="","",M615*V615/100)</f>
        <v/>
      </c>
      <c r="O615" s="7" t="n"/>
      <c r="U615" s="7" t="n"/>
      <c r="V615" s="7" t="n"/>
      <c r="W615" s="7">
        <f>IF($D615="","",V615*AB615/100)</f>
        <v/>
      </c>
      <c r="X615" s="7">
        <f>IF($D615="","",V615-W615)</f>
        <v/>
      </c>
      <c r="Y615" s="7">
        <f>IF($D615="","",X615-N615)</f>
        <v/>
      </c>
      <c r="AB615">
        <f>IF($D615="","",IF($AN615=1,0,IF($AM615=1,Settings!$C$6,Settings!$C$7))*100)</f>
        <v/>
      </c>
      <c r="AF615" s="7" t="n"/>
      <c r="AI615" s="11" t="n"/>
      <c r="AK615">
        <f>IF($D615="","",IF(COUNTIF($D$2:$D615,$D615)=1,1,0))</f>
        <v/>
      </c>
      <c r="AL615">
        <f>IF($AK615=1,SUMPRODUCT(--($AO$2:$AO$1501&lt;$AO615))+1,"")</f>
        <v/>
      </c>
      <c r="AM615">
        <f>IF($D615="","",IF(OR($R615=TRUE(),$R615="TRUE"),1,0))</f>
        <v/>
      </c>
      <c r="AN615">
        <f>IF($D615="","",IF($AA615="Yes",1,0))</f>
        <v/>
      </c>
      <c r="AO615">
        <f>IF($AK615=1,IFERROR(IF(VALUE($D615)&lt;100000000,VALUE($D615),1000000000),IFERROR(IF(VALUE(MID($D615,2,20))&lt;100000000,VALUE(MID($D615,2,20)),1000000000),1000000000))+ROW()/100000,"")</f>
        <v/>
      </c>
    </row>
    <row r="616">
      <c r="F616" s="11" t="n"/>
      <c r="N616" s="7">
        <f>IF($D616="","",M616*V616/100)</f>
        <v/>
      </c>
      <c r="O616" s="7" t="n"/>
      <c r="U616" s="7" t="n"/>
      <c r="V616" s="7" t="n"/>
      <c r="W616" s="7">
        <f>IF($D616="","",V616*AB616/100)</f>
        <v/>
      </c>
      <c r="X616" s="7">
        <f>IF($D616="","",V616-W616)</f>
        <v/>
      </c>
      <c r="Y616" s="7">
        <f>IF($D616="","",X616-N616)</f>
        <v/>
      </c>
      <c r="AB616">
        <f>IF($D616="","",IF($AN616=1,0,IF($AM616=1,Settings!$C$6,Settings!$C$7))*100)</f>
        <v/>
      </c>
      <c r="AF616" s="7" t="n"/>
      <c r="AI616" s="11" t="n"/>
      <c r="AK616">
        <f>IF($D616="","",IF(COUNTIF($D$2:$D616,$D616)=1,1,0))</f>
        <v/>
      </c>
      <c r="AL616">
        <f>IF($AK616=1,SUMPRODUCT(--($AO$2:$AO$1501&lt;$AO616))+1,"")</f>
        <v/>
      </c>
      <c r="AM616">
        <f>IF($D616="","",IF(OR($R616=TRUE(),$R616="TRUE"),1,0))</f>
        <v/>
      </c>
      <c r="AN616">
        <f>IF($D616="","",IF($AA616="Yes",1,0))</f>
        <v/>
      </c>
      <c r="AO616">
        <f>IF($AK616=1,IFERROR(IF(VALUE($D616)&lt;100000000,VALUE($D616),1000000000),IFERROR(IF(VALUE(MID($D616,2,20))&lt;100000000,VALUE(MID($D616,2,20)),1000000000),1000000000))+ROW()/100000,"")</f>
        <v/>
      </c>
    </row>
    <row r="617">
      <c r="F617" s="11" t="n"/>
      <c r="N617" s="7">
        <f>IF($D617="","",M617*V617/100)</f>
        <v/>
      </c>
      <c r="O617" s="7" t="n"/>
      <c r="U617" s="7" t="n"/>
      <c r="V617" s="7" t="n"/>
      <c r="W617" s="7">
        <f>IF($D617="","",V617*AB617/100)</f>
        <v/>
      </c>
      <c r="X617" s="7">
        <f>IF($D617="","",V617-W617)</f>
        <v/>
      </c>
      <c r="Y617" s="7">
        <f>IF($D617="","",X617-N617)</f>
        <v/>
      </c>
      <c r="AB617">
        <f>IF($D617="","",IF($AN617=1,0,IF($AM617=1,Settings!$C$6,Settings!$C$7))*100)</f>
        <v/>
      </c>
      <c r="AF617" s="7" t="n"/>
      <c r="AI617" s="11" t="n"/>
      <c r="AK617">
        <f>IF($D617="","",IF(COUNTIF($D$2:$D617,$D617)=1,1,0))</f>
        <v/>
      </c>
      <c r="AL617">
        <f>IF($AK617=1,SUMPRODUCT(--($AO$2:$AO$1501&lt;$AO617))+1,"")</f>
        <v/>
      </c>
      <c r="AM617">
        <f>IF($D617="","",IF(OR($R617=TRUE(),$R617="TRUE"),1,0))</f>
        <v/>
      </c>
      <c r="AN617">
        <f>IF($D617="","",IF($AA617="Yes",1,0))</f>
        <v/>
      </c>
      <c r="AO617">
        <f>IF($AK617=1,IFERROR(IF(VALUE($D617)&lt;100000000,VALUE($D617),1000000000),IFERROR(IF(VALUE(MID($D617,2,20))&lt;100000000,VALUE(MID($D617,2,20)),1000000000),1000000000))+ROW()/100000,"")</f>
        <v/>
      </c>
    </row>
    <row r="618">
      <c r="F618" s="11" t="n"/>
      <c r="N618" s="7">
        <f>IF($D618="","",M618*V618/100)</f>
        <v/>
      </c>
      <c r="O618" s="7" t="n"/>
      <c r="U618" s="7" t="n"/>
      <c r="V618" s="7" t="n"/>
      <c r="W618" s="7">
        <f>IF($D618="","",V618*AB618/100)</f>
        <v/>
      </c>
      <c r="X618" s="7">
        <f>IF($D618="","",V618-W618)</f>
        <v/>
      </c>
      <c r="Y618" s="7">
        <f>IF($D618="","",X618-N618)</f>
        <v/>
      </c>
      <c r="AB618">
        <f>IF($D618="","",IF($AN618=1,0,IF($AM618=1,Settings!$C$6,Settings!$C$7))*100)</f>
        <v/>
      </c>
      <c r="AF618" s="7" t="n"/>
      <c r="AI618" s="11" t="n"/>
      <c r="AK618">
        <f>IF($D618="","",IF(COUNTIF($D$2:$D618,$D618)=1,1,0))</f>
        <v/>
      </c>
      <c r="AL618">
        <f>IF($AK618=1,SUMPRODUCT(--($AO$2:$AO$1501&lt;$AO618))+1,"")</f>
        <v/>
      </c>
      <c r="AM618">
        <f>IF($D618="","",IF(OR($R618=TRUE(),$R618="TRUE"),1,0))</f>
        <v/>
      </c>
      <c r="AN618">
        <f>IF($D618="","",IF($AA618="Yes",1,0))</f>
        <v/>
      </c>
      <c r="AO618">
        <f>IF($AK618=1,IFERROR(IF(VALUE($D618)&lt;100000000,VALUE($D618),1000000000),IFERROR(IF(VALUE(MID($D618,2,20))&lt;100000000,VALUE(MID($D618,2,20)),1000000000),1000000000))+ROW()/100000,"")</f>
        <v/>
      </c>
    </row>
    <row r="619">
      <c r="F619" s="11" t="n"/>
      <c r="N619" s="7">
        <f>IF($D619="","",M619*V619/100)</f>
        <v/>
      </c>
      <c r="O619" s="7" t="n"/>
      <c r="U619" s="7" t="n"/>
      <c r="V619" s="7" t="n"/>
      <c r="W619" s="7">
        <f>IF($D619="","",V619*AB619/100)</f>
        <v/>
      </c>
      <c r="X619" s="7">
        <f>IF($D619="","",V619-W619)</f>
        <v/>
      </c>
      <c r="Y619" s="7">
        <f>IF($D619="","",X619-N619)</f>
        <v/>
      </c>
      <c r="AB619">
        <f>IF($D619="","",IF($AN619=1,0,IF($AM619=1,Settings!$C$6,Settings!$C$7))*100)</f>
        <v/>
      </c>
      <c r="AF619" s="7" t="n"/>
      <c r="AI619" s="11" t="n"/>
      <c r="AK619">
        <f>IF($D619="","",IF(COUNTIF($D$2:$D619,$D619)=1,1,0))</f>
        <v/>
      </c>
      <c r="AL619">
        <f>IF($AK619=1,SUMPRODUCT(--($AO$2:$AO$1501&lt;$AO619))+1,"")</f>
        <v/>
      </c>
      <c r="AM619">
        <f>IF($D619="","",IF(OR($R619=TRUE(),$R619="TRUE"),1,0))</f>
        <v/>
      </c>
      <c r="AN619">
        <f>IF($D619="","",IF($AA619="Yes",1,0))</f>
        <v/>
      </c>
      <c r="AO619">
        <f>IF($AK619=1,IFERROR(IF(VALUE($D619)&lt;100000000,VALUE($D619),1000000000),IFERROR(IF(VALUE(MID($D619,2,20))&lt;100000000,VALUE(MID($D619,2,20)),1000000000),1000000000))+ROW()/100000,"")</f>
        <v/>
      </c>
    </row>
    <row r="620">
      <c r="F620" s="11" t="n"/>
      <c r="N620" s="7">
        <f>IF($D620="","",M620*V620/100)</f>
        <v/>
      </c>
      <c r="O620" s="7" t="n"/>
      <c r="U620" s="7" t="n"/>
      <c r="V620" s="7" t="n"/>
      <c r="W620" s="7">
        <f>IF($D620="","",V620*AB620/100)</f>
        <v/>
      </c>
      <c r="X620" s="7">
        <f>IF($D620="","",V620-W620)</f>
        <v/>
      </c>
      <c r="Y620" s="7">
        <f>IF($D620="","",X620-N620)</f>
        <v/>
      </c>
      <c r="AB620">
        <f>IF($D620="","",IF($AN620=1,0,IF($AM620=1,Settings!$C$6,Settings!$C$7))*100)</f>
        <v/>
      </c>
      <c r="AF620" s="7" t="n"/>
      <c r="AI620" s="11" t="n"/>
      <c r="AK620">
        <f>IF($D620="","",IF(COUNTIF($D$2:$D620,$D620)=1,1,0))</f>
        <v/>
      </c>
      <c r="AL620">
        <f>IF($AK620=1,SUMPRODUCT(--($AO$2:$AO$1501&lt;$AO620))+1,"")</f>
        <v/>
      </c>
      <c r="AM620">
        <f>IF($D620="","",IF(OR($R620=TRUE(),$R620="TRUE"),1,0))</f>
        <v/>
      </c>
      <c r="AN620">
        <f>IF($D620="","",IF($AA620="Yes",1,0))</f>
        <v/>
      </c>
      <c r="AO620">
        <f>IF($AK620=1,IFERROR(IF(VALUE($D620)&lt;100000000,VALUE($D620),1000000000),IFERROR(IF(VALUE(MID($D620,2,20))&lt;100000000,VALUE(MID($D620,2,20)),1000000000),1000000000))+ROW()/100000,"")</f>
        <v/>
      </c>
    </row>
    <row r="621">
      <c r="F621" s="11" t="n"/>
      <c r="N621" s="7">
        <f>IF($D621="","",M621*V621/100)</f>
        <v/>
      </c>
      <c r="O621" s="7" t="n"/>
      <c r="U621" s="7" t="n"/>
      <c r="V621" s="7" t="n"/>
      <c r="W621" s="7">
        <f>IF($D621="","",V621*AB621/100)</f>
        <v/>
      </c>
      <c r="X621" s="7">
        <f>IF($D621="","",V621-W621)</f>
        <v/>
      </c>
      <c r="Y621" s="7">
        <f>IF($D621="","",X621-N621)</f>
        <v/>
      </c>
      <c r="AB621">
        <f>IF($D621="","",IF($AN621=1,0,IF($AM621=1,Settings!$C$6,Settings!$C$7))*100)</f>
        <v/>
      </c>
      <c r="AF621" s="7" t="n"/>
      <c r="AI621" s="11" t="n"/>
      <c r="AK621">
        <f>IF($D621="","",IF(COUNTIF($D$2:$D621,$D621)=1,1,0))</f>
        <v/>
      </c>
      <c r="AL621">
        <f>IF($AK621=1,SUMPRODUCT(--($AO$2:$AO$1501&lt;$AO621))+1,"")</f>
        <v/>
      </c>
      <c r="AM621">
        <f>IF($D621="","",IF(OR($R621=TRUE(),$R621="TRUE"),1,0))</f>
        <v/>
      </c>
      <c r="AN621">
        <f>IF($D621="","",IF($AA621="Yes",1,0))</f>
        <v/>
      </c>
      <c r="AO621">
        <f>IF($AK621=1,IFERROR(IF(VALUE($D621)&lt;100000000,VALUE($D621),1000000000),IFERROR(IF(VALUE(MID($D621,2,20))&lt;100000000,VALUE(MID($D621,2,20)),1000000000),1000000000))+ROW()/100000,"")</f>
        <v/>
      </c>
    </row>
    <row r="622">
      <c r="F622" s="11" t="n"/>
      <c r="N622" s="7">
        <f>IF($D622="","",M622*V622/100)</f>
        <v/>
      </c>
      <c r="O622" s="7" t="n"/>
      <c r="U622" s="7" t="n"/>
      <c r="V622" s="7" t="n"/>
      <c r="W622" s="7">
        <f>IF($D622="","",V622*AB622/100)</f>
        <v/>
      </c>
      <c r="X622" s="7">
        <f>IF($D622="","",V622-W622)</f>
        <v/>
      </c>
      <c r="Y622" s="7">
        <f>IF($D622="","",X622-N622)</f>
        <v/>
      </c>
      <c r="AB622">
        <f>IF($D622="","",IF($AN622=1,0,IF($AM622=1,Settings!$C$6,Settings!$C$7))*100)</f>
        <v/>
      </c>
      <c r="AF622" s="7" t="n"/>
      <c r="AI622" s="11" t="n"/>
      <c r="AK622">
        <f>IF($D622="","",IF(COUNTIF($D$2:$D622,$D622)=1,1,0))</f>
        <v/>
      </c>
      <c r="AL622">
        <f>IF($AK622=1,SUMPRODUCT(--($AO$2:$AO$1501&lt;$AO622))+1,"")</f>
        <v/>
      </c>
      <c r="AM622">
        <f>IF($D622="","",IF(OR($R622=TRUE(),$R622="TRUE"),1,0))</f>
        <v/>
      </c>
      <c r="AN622">
        <f>IF($D622="","",IF($AA622="Yes",1,0))</f>
        <v/>
      </c>
      <c r="AO622">
        <f>IF($AK622=1,IFERROR(IF(VALUE($D622)&lt;100000000,VALUE($D622),1000000000),IFERROR(IF(VALUE(MID($D622,2,20))&lt;100000000,VALUE(MID($D622,2,20)),1000000000),1000000000))+ROW()/100000,"")</f>
        <v/>
      </c>
    </row>
    <row r="623">
      <c r="F623" s="11" t="n"/>
      <c r="N623" s="7">
        <f>IF($D623="","",M623*V623/100)</f>
        <v/>
      </c>
      <c r="O623" s="7" t="n"/>
      <c r="U623" s="7" t="n"/>
      <c r="V623" s="7" t="n"/>
      <c r="W623" s="7">
        <f>IF($D623="","",V623*AB623/100)</f>
        <v/>
      </c>
      <c r="X623" s="7">
        <f>IF($D623="","",V623-W623)</f>
        <v/>
      </c>
      <c r="Y623" s="7">
        <f>IF($D623="","",X623-N623)</f>
        <v/>
      </c>
      <c r="AB623">
        <f>IF($D623="","",IF($AN623=1,0,IF($AM623=1,Settings!$C$6,Settings!$C$7))*100)</f>
        <v/>
      </c>
      <c r="AF623" s="7" t="n"/>
      <c r="AI623" s="11" t="n"/>
      <c r="AK623">
        <f>IF($D623="","",IF(COUNTIF($D$2:$D623,$D623)=1,1,0))</f>
        <v/>
      </c>
      <c r="AL623">
        <f>IF($AK623=1,SUMPRODUCT(--($AO$2:$AO$1501&lt;$AO623))+1,"")</f>
        <v/>
      </c>
      <c r="AM623">
        <f>IF($D623="","",IF(OR($R623=TRUE(),$R623="TRUE"),1,0))</f>
        <v/>
      </c>
      <c r="AN623">
        <f>IF($D623="","",IF($AA623="Yes",1,0))</f>
        <v/>
      </c>
      <c r="AO623">
        <f>IF($AK623=1,IFERROR(IF(VALUE($D623)&lt;100000000,VALUE($D623),1000000000),IFERROR(IF(VALUE(MID($D623,2,20))&lt;100000000,VALUE(MID($D623,2,20)),1000000000),1000000000))+ROW()/100000,"")</f>
        <v/>
      </c>
    </row>
    <row r="624">
      <c r="F624" s="11" t="n"/>
      <c r="N624" s="7">
        <f>IF($D624="","",M624*V624/100)</f>
        <v/>
      </c>
      <c r="O624" s="7" t="n"/>
      <c r="U624" s="7" t="n"/>
      <c r="V624" s="7" t="n"/>
      <c r="W624" s="7">
        <f>IF($D624="","",V624*AB624/100)</f>
        <v/>
      </c>
      <c r="X624" s="7">
        <f>IF($D624="","",V624-W624)</f>
        <v/>
      </c>
      <c r="Y624" s="7">
        <f>IF($D624="","",X624-N624)</f>
        <v/>
      </c>
      <c r="AB624">
        <f>IF($D624="","",IF($AN624=1,0,IF($AM624=1,Settings!$C$6,Settings!$C$7))*100)</f>
        <v/>
      </c>
      <c r="AF624" s="7" t="n"/>
      <c r="AI624" s="11" t="n"/>
      <c r="AK624">
        <f>IF($D624="","",IF(COUNTIF($D$2:$D624,$D624)=1,1,0))</f>
        <v/>
      </c>
      <c r="AL624">
        <f>IF($AK624=1,SUMPRODUCT(--($AO$2:$AO$1501&lt;$AO624))+1,"")</f>
        <v/>
      </c>
      <c r="AM624">
        <f>IF($D624="","",IF(OR($R624=TRUE(),$R624="TRUE"),1,0))</f>
        <v/>
      </c>
      <c r="AN624">
        <f>IF($D624="","",IF($AA624="Yes",1,0))</f>
        <v/>
      </c>
      <c r="AO624">
        <f>IF($AK624=1,IFERROR(IF(VALUE($D624)&lt;100000000,VALUE($D624),1000000000),IFERROR(IF(VALUE(MID($D624,2,20))&lt;100000000,VALUE(MID($D624,2,20)),1000000000),1000000000))+ROW()/100000,"")</f>
        <v/>
      </c>
    </row>
    <row r="625">
      <c r="F625" s="11" t="n"/>
      <c r="N625" s="7">
        <f>IF($D625="","",M625*V625/100)</f>
        <v/>
      </c>
      <c r="O625" s="7" t="n"/>
      <c r="U625" s="7" t="n"/>
      <c r="V625" s="7" t="n"/>
      <c r="W625" s="7">
        <f>IF($D625="","",V625*AB625/100)</f>
        <v/>
      </c>
      <c r="X625" s="7">
        <f>IF($D625="","",V625-W625)</f>
        <v/>
      </c>
      <c r="Y625" s="7">
        <f>IF($D625="","",X625-N625)</f>
        <v/>
      </c>
      <c r="AB625">
        <f>IF($D625="","",IF($AN625=1,0,IF($AM625=1,Settings!$C$6,Settings!$C$7))*100)</f>
        <v/>
      </c>
      <c r="AF625" s="7" t="n"/>
      <c r="AI625" s="11" t="n"/>
      <c r="AK625">
        <f>IF($D625="","",IF(COUNTIF($D$2:$D625,$D625)=1,1,0))</f>
        <v/>
      </c>
      <c r="AL625">
        <f>IF($AK625=1,SUMPRODUCT(--($AO$2:$AO$1501&lt;$AO625))+1,"")</f>
        <v/>
      </c>
      <c r="AM625">
        <f>IF($D625="","",IF(OR($R625=TRUE(),$R625="TRUE"),1,0))</f>
        <v/>
      </c>
      <c r="AN625">
        <f>IF($D625="","",IF($AA625="Yes",1,0))</f>
        <v/>
      </c>
      <c r="AO625">
        <f>IF($AK625=1,IFERROR(IF(VALUE($D625)&lt;100000000,VALUE($D625),1000000000),IFERROR(IF(VALUE(MID($D625,2,20))&lt;100000000,VALUE(MID($D625,2,20)),1000000000),1000000000))+ROW()/100000,"")</f>
        <v/>
      </c>
    </row>
    <row r="626">
      <c r="F626" s="11" t="n"/>
      <c r="N626" s="7">
        <f>IF($D626="","",M626*V626/100)</f>
        <v/>
      </c>
      <c r="O626" s="7" t="n"/>
      <c r="U626" s="7" t="n"/>
      <c r="V626" s="7" t="n"/>
      <c r="W626" s="7">
        <f>IF($D626="","",V626*AB626/100)</f>
        <v/>
      </c>
      <c r="X626" s="7">
        <f>IF($D626="","",V626-W626)</f>
        <v/>
      </c>
      <c r="Y626" s="7">
        <f>IF($D626="","",X626-N626)</f>
        <v/>
      </c>
      <c r="AB626">
        <f>IF($D626="","",IF($AN626=1,0,IF($AM626=1,Settings!$C$6,Settings!$C$7))*100)</f>
        <v/>
      </c>
      <c r="AF626" s="7" t="n"/>
      <c r="AI626" s="11" t="n"/>
      <c r="AK626">
        <f>IF($D626="","",IF(COUNTIF($D$2:$D626,$D626)=1,1,0))</f>
        <v/>
      </c>
      <c r="AL626">
        <f>IF($AK626=1,SUMPRODUCT(--($AO$2:$AO$1501&lt;$AO626))+1,"")</f>
        <v/>
      </c>
      <c r="AM626">
        <f>IF($D626="","",IF(OR($R626=TRUE(),$R626="TRUE"),1,0))</f>
        <v/>
      </c>
      <c r="AN626">
        <f>IF($D626="","",IF($AA626="Yes",1,0))</f>
        <v/>
      </c>
      <c r="AO626">
        <f>IF($AK626=1,IFERROR(IF(VALUE($D626)&lt;100000000,VALUE($D626),1000000000),IFERROR(IF(VALUE(MID($D626,2,20))&lt;100000000,VALUE(MID($D626,2,20)),1000000000),1000000000))+ROW()/100000,"")</f>
        <v/>
      </c>
    </row>
    <row r="627">
      <c r="F627" s="11" t="n"/>
      <c r="N627" s="7">
        <f>IF($D627="","",M627*V627/100)</f>
        <v/>
      </c>
      <c r="O627" s="7" t="n"/>
      <c r="U627" s="7" t="n"/>
      <c r="V627" s="7" t="n"/>
      <c r="W627" s="7">
        <f>IF($D627="","",V627*AB627/100)</f>
        <v/>
      </c>
      <c r="X627" s="7">
        <f>IF($D627="","",V627-W627)</f>
        <v/>
      </c>
      <c r="Y627" s="7">
        <f>IF($D627="","",X627-N627)</f>
        <v/>
      </c>
      <c r="AB627">
        <f>IF($D627="","",IF($AN627=1,0,IF($AM627=1,Settings!$C$6,Settings!$C$7))*100)</f>
        <v/>
      </c>
      <c r="AF627" s="7" t="n"/>
      <c r="AI627" s="11" t="n"/>
      <c r="AK627">
        <f>IF($D627="","",IF(COUNTIF($D$2:$D627,$D627)=1,1,0))</f>
        <v/>
      </c>
      <c r="AL627">
        <f>IF($AK627=1,SUMPRODUCT(--($AO$2:$AO$1501&lt;$AO627))+1,"")</f>
        <v/>
      </c>
      <c r="AM627">
        <f>IF($D627="","",IF(OR($R627=TRUE(),$R627="TRUE"),1,0))</f>
        <v/>
      </c>
      <c r="AN627">
        <f>IF($D627="","",IF($AA627="Yes",1,0))</f>
        <v/>
      </c>
      <c r="AO627">
        <f>IF($AK627=1,IFERROR(IF(VALUE($D627)&lt;100000000,VALUE($D627),1000000000),IFERROR(IF(VALUE(MID($D627,2,20))&lt;100000000,VALUE(MID($D627,2,20)),1000000000),1000000000))+ROW()/100000,"")</f>
        <v/>
      </c>
    </row>
    <row r="628">
      <c r="F628" s="11" t="n"/>
      <c r="N628" s="7">
        <f>IF($D628="","",M628*V628/100)</f>
        <v/>
      </c>
      <c r="O628" s="7" t="n"/>
      <c r="U628" s="7" t="n"/>
      <c r="V628" s="7" t="n"/>
      <c r="W628" s="7">
        <f>IF($D628="","",V628*AB628/100)</f>
        <v/>
      </c>
      <c r="X628" s="7">
        <f>IF($D628="","",V628-W628)</f>
        <v/>
      </c>
      <c r="Y628" s="7">
        <f>IF($D628="","",X628-N628)</f>
        <v/>
      </c>
      <c r="AB628">
        <f>IF($D628="","",IF($AN628=1,0,IF($AM628=1,Settings!$C$6,Settings!$C$7))*100)</f>
        <v/>
      </c>
      <c r="AF628" s="7" t="n"/>
      <c r="AI628" s="11" t="n"/>
      <c r="AK628">
        <f>IF($D628="","",IF(COUNTIF($D$2:$D628,$D628)=1,1,0))</f>
        <v/>
      </c>
      <c r="AL628">
        <f>IF($AK628=1,SUMPRODUCT(--($AO$2:$AO$1501&lt;$AO628))+1,"")</f>
        <v/>
      </c>
      <c r="AM628">
        <f>IF($D628="","",IF(OR($R628=TRUE(),$R628="TRUE"),1,0))</f>
        <v/>
      </c>
      <c r="AN628">
        <f>IF($D628="","",IF($AA628="Yes",1,0))</f>
        <v/>
      </c>
      <c r="AO628">
        <f>IF($AK628=1,IFERROR(IF(VALUE($D628)&lt;100000000,VALUE($D628),1000000000),IFERROR(IF(VALUE(MID($D628,2,20))&lt;100000000,VALUE(MID($D628,2,20)),1000000000),1000000000))+ROW()/100000,"")</f>
        <v/>
      </c>
    </row>
    <row r="629">
      <c r="F629" s="11" t="n"/>
      <c r="N629" s="7">
        <f>IF($D629="","",M629*V629/100)</f>
        <v/>
      </c>
      <c r="O629" s="7" t="n"/>
      <c r="U629" s="7" t="n"/>
      <c r="V629" s="7" t="n"/>
      <c r="W629" s="7">
        <f>IF($D629="","",V629*AB629/100)</f>
        <v/>
      </c>
      <c r="X629" s="7">
        <f>IF($D629="","",V629-W629)</f>
        <v/>
      </c>
      <c r="Y629" s="7">
        <f>IF($D629="","",X629-N629)</f>
        <v/>
      </c>
      <c r="AB629">
        <f>IF($D629="","",IF($AN629=1,0,IF($AM629=1,Settings!$C$6,Settings!$C$7))*100)</f>
        <v/>
      </c>
      <c r="AF629" s="7" t="n"/>
      <c r="AI629" s="11" t="n"/>
      <c r="AK629">
        <f>IF($D629="","",IF(COUNTIF($D$2:$D629,$D629)=1,1,0))</f>
        <v/>
      </c>
      <c r="AL629">
        <f>IF($AK629=1,SUMPRODUCT(--($AO$2:$AO$1501&lt;$AO629))+1,"")</f>
        <v/>
      </c>
      <c r="AM629">
        <f>IF($D629="","",IF(OR($R629=TRUE(),$R629="TRUE"),1,0))</f>
        <v/>
      </c>
      <c r="AN629">
        <f>IF($D629="","",IF($AA629="Yes",1,0))</f>
        <v/>
      </c>
      <c r="AO629">
        <f>IF($AK629=1,IFERROR(IF(VALUE($D629)&lt;100000000,VALUE($D629),1000000000),IFERROR(IF(VALUE(MID($D629,2,20))&lt;100000000,VALUE(MID($D629,2,20)),1000000000),1000000000))+ROW()/100000,"")</f>
        <v/>
      </c>
    </row>
    <row r="630">
      <c r="F630" s="11" t="n"/>
      <c r="N630" s="7">
        <f>IF($D630="","",M630*V630/100)</f>
        <v/>
      </c>
      <c r="O630" s="7" t="n"/>
      <c r="U630" s="7" t="n"/>
      <c r="V630" s="7" t="n"/>
      <c r="W630" s="7">
        <f>IF($D630="","",V630*AB630/100)</f>
        <v/>
      </c>
      <c r="X630" s="7">
        <f>IF($D630="","",V630-W630)</f>
        <v/>
      </c>
      <c r="Y630" s="7">
        <f>IF($D630="","",X630-N630)</f>
        <v/>
      </c>
      <c r="AB630">
        <f>IF($D630="","",IF($AN630=1,0,IF($AM630=1,Settings!$C$6,Settings!$C$7))*100)</f>
        <v/>
      </c>
      <c r="AF630" s="7" t="n"/>
      <c r="AI630" s="11" t="n"/>
      <c r="AK630">
        <f>IF($D630="","",IF(COUNTIF($D$2:$D630,$D630)=1,1,0))</f>
        <v/>
      </c>
      <c r="AL630">
        <f>IF($AK630=1,SUMPRODUCT(--($AO$2:$AO$1501&lt;$AO630))+1,"")</f>
        <v/>
      </c>
      <c r="AM630">
        <f>IF($D630="","",IF(OR($R630=TRUE(),$R630="TRUE"),1,0))</f>
        <v/>
      </c>
      <c r="AN630">
        <f>IF($D630="","",IF($AA630="Yes",1,0))</f>
        <v/>
      </c>
      <c r="AO630">
        <f>IF($AK630=1,IFERROR(IF(VALUE($D630)&lt;100000000,VALUE($D630),1000000000),IFERROR(IF(VALUE(MID($D630,2,20))&lt;100000000,VALUE(MID($D630,2,20)),1000000000),1000000000))+ROW()/100000,"")</f>
        <v/>
      </c>
    </row>
    <row r="631">
      <c r="F631" s="11" t="n"/>
      <c r="N631" s="7">
        <f>IF($D631="","",M631*V631/100)</f>
        <v/>
      </c>
      <c r="O631" s="7" t="n"/>
      <c r="U631" s="7" t="n"/>
      <c r="V631" s="7" t="n"/>
      <c r="W631" s="7">
        <f>IF($D631="","",V631*AB631/100)</f>
        <v/>
      </c>
      <c r="X631" s="7">
        <f>IF($D631="","",V631-W631)</f>
        <v/>
      </c>
      <c r="Y631" s="7">
        <f>IF($D631="","",X631-N631)</f>
        <v/>
      </c>
      <c r="AB631">
        <f>IF($D631="","",IF($AN631=1,0,IF($AM631=1,Settings!$C$6,Settings!$C$7))*100)</f>
        <v/>
      </c>
      <c r="AF631" s="7" t="n"/>
      <c r="AI631" s="11" t="n"/>
      <c r="AK631">
        <f>IF($D631="","",IF(COUNTIF($D$2:$D631,$D631)=1,1,0))</f>
        <v/>
      </c>
      <c r="AL631">
        <f>IF($AK631=1,SUMPRODUCT(--($AO$2:$AO$1501&lt;$AO631))+1,"")</f>
        <v/>
      </c>
      <c r="AM631">
        <f>IF($D631="","",IF(OR($R631=TRUE(),$R631="TRUE"),1,0))</f>
        <v/>
      </c>
      <c r="AN631">
        <f>IF($D631="","",IF($AA631="Yes",1,0))</f>
        <v/>
      </c>
      <c r="AO631">
        <f>IF($AK631=1,IFERROR(IF(VALUE($D631)&lt;100000000,VALUE($D631),1000000000),IFERROR(IF(VALUE(MID($D631,2,20))&lt;100000000,VALUE(MID($D631,2,20)),1000000000),1000000000))+ROW()/100000,"")</f>
        <v/>
      </c>
    </row>
    <row r="632">
      <c r="F632" s="11" t="n"/>
      <c r="N632" s="7">
        <f>IF($D632="","",M632*V632/100)</f>
        <v/>
      </c>
      <c r="O632" s="7" t="n"/>
      <c r="U632" s="7" t="n"/>
      <c r="V632" s="7" t="n"/>
      <c r="W632" s="7">
        <f>IF($D632="","",V632*AB632/100)</f>
        <v/>
      </c>
      <c r="X632" s="7">
        <f>IF($D632="","",V632-W632)</f>
        <v/>
      </c>
      <c r="Y632" s="7">
        <f>IF($D632="","",X632-N632)</f>
        <v/>
      </c>
      <c r="AB632">
        <f>IF($D632="","",IF($AN632=1,0,IF($AM632=1,Settings!$C$6,Settings!$C$7))*100)</f>
        <v/>
      </c>
      <c r="AF632" s="7" t="n"/>
      <c r="AI632" s="11" t="n"/>
      <c r="AK632">
        <f>IF($D632="","",IF(COUNTIF($D$2:$D632,$D632)=1,1,0))</f>
        <v/>
      </c>
      <c r="AL632">
        <f>IF($AK632=1,SUMPRODUCT(--($AO$2:$AO$1501&lt;$AO632))+1,"")</f>
        <v/>
      </c>
      <c r="AM632">
        <f>IF($D632="","",IF(OR($R632=TRUE(),$R632="TRUE"),1,0))</f>
        <v/>
      </c>
      <c r="AN632">
        <f>IF($D632="","",IF($AA632="Yes",1,0))</f>
        <v/>
      </c>
      <c r="AO632">
        <f>IF($AK632=1,IFERROR(IF(VALUE($D632)&lt;100000000,VALUE($D632),1000000000),IFERROR(IF(VALUE(MID($D632,2,20))&lt;100000000,VALUE(MID($D632,2,20)),1000000000),1000000000))+ROW()/100000,"")</f>
        <v/>
      </c>
    </row>
    <row r="633">
      <c r="F633" s="11" t="n"/>
      <c r="N633" s="7">
        <f>IF($D633="","",M633*V633/100)</f>
        <v/>
      </c>
      <c r="O633" s="7" t="n"/>
      <c r="U633" s="7" t="n"/>
      <c r="V633" s="7" t="n"/>
      <c r="W633" s="7">
        <f>IF($D633="","",V633*AB633/100)</f>
        <v/>
      </c>
      <c r="X633" s="7">
        <f>IF($D633="","",V633-W633)</f>
        <v/>
      </c>
      <c r="Y633" s="7">
        <f>IF($D633="","",X633-N633)</f>
        <v/>
      </c>
      <c r="AB633">
        <f>IF($D633="","",IF($AN633=1,0,IF($AM633=1,Settings!$C$6,Settings!$C$7))*100)</f>
        <v/>
      </c>
      <c r="AF633" s="7" t="n"/>
      <c r="AI633" s="11" t="n"/>
      <c r="AK633">
        <f>IF($D633="","",IF(COUNTIF($D$2:$D633,$D633)=1,1,0))</f>
        <v/>
      </c>
      <c r="AL633">
        <f>IF($AK633=1,SUMPRODUCT(--($AO$2:$AO$1501&lt;$AO633))+1,"")</f>
        <v/>
      </c>
      <c r="AM633">
        <f>IF($D633="","",IF(OR($R633=TRUE(),$R633="TRUE"),1,0))</f>
        <v/>
      </c>
      <c r="AN633">
        <f>IF($D633="","",IF($AA633="Yes",1,0))</f>
        <v/>
      </c>
      <c r="AO633">
        <f>IF($AK633=1,IFERROR(IF(VALUE($D633)&lt;100000000,VALUE($D633),1000000000),IFERROR(IF(VALUE(MID($D633,2,20))&lt;100000000,VALUE(MID($D633,2,20)),1000000000),1000000000))+ROW()/100000,"")</f>
        <v/>
      </c>
    </row>
    <row r="634">
      <c r="F634" s="11" t="n"/>
      <c r="N634" s="7">
        <f>IF($D634="","",M634*V634/100)</f>
        <v/>
      </c>
      <c r="O634" s="7" t="n"/>
      <c r="U634" s="7" t="n"/>
      <c r="V634" s="7" t="n"/>
      <c r="W634" s="7">
        <f>IF($D634="","",V634*AB634/100)</f>
        <v/>
      </c>
      <c r="X634" s="7">
        <f>IF($D634="","",V634-W634)</f>
        <v/>
      </c>
      <c r="Y634" s="7">
        <f>IF($D634="","",X634-N634)</f>
        <v/>
      </c>
      <c r="AB634">
        <f>IF($D634="","",IF($AN634=1,0,IF($AM634=1,Settings!$C$6,Settings!$C$7))*100)</f>
        <v/>
      </c>
      <c r="AF634" s="7" t="n"/>
      <c r="AI634" s="11" t="n"/>
      <c r="AK634">
        <f>IF($D634="","",IF(COUNTIF($D$2:$D634,$D634)=1,1,0))</f>
        <v/>
      </c>
      <c r="AL634">
        <f>IF($AK634=1,SUMPRODUCT(--($AO$2:$AO$1501&lt;$AO634))+1,"")</f>
        <v/>
      </c>
      <c r="AM634">
        <f>IF($D634="","",IF(OR($R634=TRUE(),$R634="TRUE"),1,0))</f>
        <v/>
      </c>
      <c r="AN634">
        <f>IF($D634="","",IF($AA634="Yes",1,0))</f>
        <v/>
      </c>
      <c r="AO634">
        <f>IF($AK634=1,IFERROR(IF(VALUE($D634)&lt;100000000,VALUE($D634),1000000000),IFERROR(IF(VALUE(MID($D634,2,20))&lt;100000000,VALUE(MID($D634,2,20)),1000000000),1000000000))+ROW()/100000,"")</f>
        <v/>
      </c>
    </row>
    <row r="635">
      <c r="F635" s="11" t="n"/>
      <c r="N635" s="7">
        <f>IF($D635="","",M635*V635/100)</f>
        <v/>
      </c>
      <c r="O635" s="7" t="n"/>
      <c r="U635" s="7" t="n"/>
      <c r="V635" s="7" t="n"/>
      <c r="W635" s="7">
        <f>IF($D635="","",V635*AB635/100)</f>
        <v/>
      </c>
      <c r="X635" s="7">
        <f>IF($D635="","",V635-W635)</f>
        <v/>
      </c>
      <c r="Y635" s="7">
        <f>IF($D635="","",X635-N635)</f>
        <v/>
      </c>
      <c r="AB635">
        <f>IF($D635="","",IF($AN635=1,0,IF($AM635=1,Settings!$C$6,Settings!$C$7))*100)</f>
        <v/>
      </c>
      <c r="AF635" s="7" t="n"/>
      <c r="AI635" s="11" t="n"/>
      <c r="AK635">
        <f>IF($D635="","",IF(COUNTIF($D$2:$D635,$D635)=1,1,0))</f>
        <v/>
      </c>
      <c r="AL635">
        <f>IF($AK635=1,SUMPRODUCT(--($AO$2:$AO$1501&lt;$AO635))+1,"")</f>
        <v/>
      </c>
      <c r="AM635">
        <f>IF($D635="","",IF(OR($R635=TRUE(),$R635="TRUE"),1,0))</f>
        <v/>
      </c>
      <c r="AN635">
        <f>IF($D635="","",IF($AA635="Yes",1,0))</f>
        <v/>
      </c>
      <c r="AO635">
        <f>IF($AK635=1,IFERROR(IF(VALUE($D635)&lt;100000000,VALUE($D635),1000000000),IFERROR(IF(VALUE(MID($D635,2,20))&lt;100000000,VALUE(MID($D635,2,20)),1000000000),1000000000))+ROW()/100000,"")</f>
        <v/>
      </c>
    </row>
    <row r="636">
      <c r="F636" s="11" t="n"/>
      <c r="N636" s="7">
        <f>IF($D636="","",M636*V636/100)</f>
        <v/>
      </c>
      <c r="O636" s="7" t="n"/>
      <c r="U636" s="7" t="n"/>
      <c r="V636" s="7" t="n"/>
      <c r="W636" s="7">
        <f>IF($D636="","",V636*AB636/100)</f>
        <v/>
      </c>
      <c r="X636" s="7">
        <f>IF($D636="","",V636-W636)</f>
        <v/>
      </c>
      <c r="Y636" s="7">
        <f>IF($D636="","",X636-N636)</f>
        <v/>
      </c>
      <c r="AB636">
        <f>IF($D636="","",IF($AN636=1,0,IF($AM636=1,Settings!$C$6,Settings!$C$7))*100)</f>
        <v/>
      </c>
      <c r="AF636" s="7" t="n"/>
      <c r="AI636" s="11" t="n"/>
      <c r="AK636">
        <f>IF($D636="","",IF(COUNTIF($D$2:$D636,$D636)=1,1,0))</f>
        <v/>
      </c>
      <c r="AL636">
        <f>IF($AK636=1,SUMPRODUCT(--($AO$2:$AO$1501&lt;$AO636))+1,"")</f>
        <v/>
      </c>
      <c r="AM636">
        <f>IF($D636="","",IF(OR($R636=TRUE(),$R636="TRUE"),1,0))</f>
        <v/>
      </c>
      <c r="AN636">
        <f>IF($D636="","",IF($AA636="Yes",1,0))</f>
        <v/>
      </c>
      <c r="AO636">
        <f>IF($AK636=1,IFERROR(IF(VALUE($D636)&lt;100000000,VALUE($D636),1000000000),IFERROR(IF(VALUE(MID($D636,2,20))&lt;100000000,VALUE(MID($D636,2,20)),1000000000),1000000000))+ROW()/100000,"")</f>
        <v/>
      </c>
    </row>
    <row r="637">
      <c r="F637" s="11" t="n"/>
      <c r="N637" s="7">
        <f>IF($D637="","",M637*V637/100)</f>
        <v/>
      </c>
      <c r="O637" s="7" t="n"/>
      <c r="U637" s="7" t="n"/>
      <c r="V637" s="7" t="n"/>
      <c r="W637" s="7">
        <f>IF($D637="","",V637*AB637/100)</f>
        <v/>
      </c>
      <c r="X637" s="7">
        <f>IF($D637="","",V637-W637)</f>
        <v/>
      </c>
      <c r="Y637" s="7">
        <f>IF($D637="","",X637-N637)</f>
        <v/>
      </c>
      <c r="AB637">
        <f>IF($D637="","",IF($AN637=1,0,IF($AM637=1,Settings!$C$6,Settings!$C$7))*100)</f>
        <v/>
      </c>
      <c r="AF637" s="7" t="n"/>
      <c r="AI637" s="11" t="n"/>
      <c r="AK637">
        <f>IF($D637="","",IF(COUNTIF($D$2:$D637,$D637)=1,1,0))</f>
        <v/>
      </c>
      <c r="AL637">
        <f>IF($AK637=1,SUMPRODUCT(--($AO$2:$AO$1501&lt;$AO637))+1,"")</f>
        <v/>
      </c>
      <c r="AM637">
        <f>IF($D637="","",IF(OR($R637=TRUE(),$R637="TRUE"),1,0))</f>
        <v/>
      </c>
      <c r="AN637">
        <f>IF($D637="","",IF($AA637="Yes",1,0))</f>
        <v/>
      </c>
      <c r="AO637">
        <f>IF($AK637=1,IFERROR(IF(VALUE($D637)&lt;100000000,VALUE($D637),1000000000),IFERROR(IF(VALUE(MID($D637,2,20))&lt;100000000,VALUE(MID($D637,2,20)),1000000000),1000000000))+ROW()/100000,"")</f>
        <v/>
      </c>
    </row>
    <row r="638">
      <c r="F638" s="11" t="n"/>
      <c r="N638" s="7">
        <f>IF($D638="","",M638*V638/100)</f>
        <v/>
      </c>
      <c r="O638" s="7" t="n"/>
      <c r="U638" s="7" t="n"/>
      <c r="V638" s="7" t="n"/>
      <c r="W638" s="7">
        <f>IF($D638="","",V638*AB638/100)</f>
        <v/>
      </c>
      <c r="X638" s="7">
        <f>IF($D638="","",V638-W638)</f>
        <v/>
      </c>
      <c r="Y638" s="7">
        <f>IF($D638="","",X638-N638)</f>
        <v/>
      </c>
      <c r="AB638">
        <f>IF($D638="","",IF($AN638=1,0,IF($AM638=1,Settings!$C$6,Settings!$C$7))*100)</f>
        <v/>
      </c>
      <c r="AF638" s="7" t="n"/>
      <c r="AI638" s="11" t="n"/>
      <c r="AK638">
        <f>IF($D638="","",IF(COUNTIF($D$2:$D638,$D638)=1,1,0))</f>
        <v/>
      </c>
      <c r="AL638">
        <f>IF($AK638=1,SUMPRODUCT(--($AO$2:$AO$1501&lt;$AO638))+1,"")</f>
        <v/>
      </c>
      <c r="AM638">
        <f>IF($D638="","",IF(OR($R638=TRUE(),$R638="TRUE"),1,0))</f>
        <v/>
      </c>
      <c r="AN638">
        <f>IF($D638="","",IF($AA638="Yes",1,0))</f>
        <v/>
      </c>
      <c r="AO638">
        <f>IF($AK638=1,IFERROR(IF(VALUE($D638)&lt;100000000,VALUE($D638),1000000000),IFERROR(IF(VALUE(MID($D638,2,20))&lt;100000000,VALUE(MID($D638,2,20)),1000000000),1000000000))+ROW()/100000,"")</f>
        <v/>
      </c>
    </row>
    <row r="639">
      <c r="F639" s="11" t="n"/>
      <c r="N639" s="7">
        <f>IF($D639="","",M639*V639/100)</f>
        <v/>
      </c>
      <c r="O639" s="7" t="n"/>
      <c r="U639" s="7" t="n"/>
      <c r="V639" s="7" t="n"/>
      <c r="W639" s="7">
        <f>IF($D639="","",V639*AB639/100)</f>
        <v/>
      </c>
      <c r="X639" s="7">
        <f>IF($D639="","",V639-W639)</f>
        <v/>
      </c>
      <c r="Y639" s="7">
        <f>IF($D639="","",X639-N639)</f>
        <v/>
      </c>
      <c r="AB639">
        <f>IF($D639="","",IF($AN639=1,0,IF($AM639=1,Settings!$C$6,Settings!$C$7))*100)</f>
        <v/>
      </c>
      <c r="AF639" s="7" t="n"/>
      <c r="AI639" s="11" t="n"/>
      <c r="AK639">
        <f>IF($D639="","",IF(COUNTIF($D$2:$D639,$D639)=1,1,0))</f>
        <v/>
      </c>
      <c r="AL639">
        <f>IF($AK639=1,SUMPRODUCT(--($AO$2:$AO$1501&lt;$AO639))+1,"")</f>
        <v/>
      </c>
      <c r="AM639">
        <f>IF($D639="","",IF(OR($R639=TRUE(),$R639="TRUE"),1,0))</f>
        <v/>
      </c>
      <c r="AN639">
        <f>IF($D639="","",IF($AA639="Yes",1,0))</f>
        <v/>
      </c>
      <c r="AO639">
        <f>IF($AK639=1,IFERROR(IF(VALUE($D639)&lt;100000000,VALUE($D639),1000000000),IFERROR(IF(VALUE(MID($D639,2,20))&lt;100000000,VALUE(MID($D639,2,20)),1000000000),1000000000))+ROW()/100000,"")</f>
        <v/>
      </c>
    </row>
    <row r="640">
      <c r="F640" s="11" t="n"/>
      <c r="N640" s="7">
        <f>IF($D640="","",M640*V640/100)</f>
        <v/>
      </c>
      <c r="O640" s="7" t="n"/>
      <c r="U640" s="7" t="n"/>
      <c r="V640" s="7" t="n"/>
      <c r="W640" s="7">
        <f>IF($D640="","",V640*AB640/100)</f>
        <v/>
      </c>
      <c r="X640" s="7">
        <f>IF($D640="","",V640-W640)</f>
        <v/>
      </c>
      <c r="Y640" s="7">
        <f>IF($D640="","",X640-N640)</f>
        <v/>
      </c>
      <c r="AB640">
        <f>IF($D640="","",IF($AN640=1,0,IF($AM640=1,Settings!$C$6,Settings!$C$7))*100)</f>
        <v/>
      </c>
      <c r="AF640" s="7" t="n"/>
      <c r="AI640" s="11" t="n"/>
      <c r="AK640">
        <f>IF($D640="","",IF(COUNTIF($D$2:$D640,$D640)=1,1,0))</f>
        <v/>
      </c>
      <c r="AL640">
        <f>IF($AK640=1,SUMPRODUCT(--($AO$2:$AO$1501&lt;$AO640))+1,"")</f>
        <v/>
      </c>
      <c r="AM640">
        <f>IF($D640="","",IF(OR($R640=TRUE(),$R640="TRUE"),1,0))</f>
        <v/>
      </c>
      <c r="AN640">
        <f>IF($D640="","",IF($AA640="Yes",1,0))</f>
        <v/>
      </c>
      <c r="AO640">
        <f>IF($AK640=1,IFERROR(IF(VALUE($D640)&lt;100000000,VALUE($D640),1000000000),IFERROR(IF(VALUE(MID($D640,2,20))&lt;100000000,VALUE(MID($D640,2,20)),1000000000),1000000000))+ROW()/100000,"")</f>
        <v/>
      </c>
    </row>
    <row r="641">
      <c r="F641" s="11" t="n"/>
      <c r="N641" s="7">
        <f>IF($D641="","",M641*V641/100)</f>
        <v/>
      </c>
      <c r="O641" s="7" t="n"/>
      <c r="U641" s="7" t="n"/>
      <c r="V641" s="7" t="n"/>
      <c r="W641" s="7">
        <f>IF($D641="","",V641*AB641/100)</f>
        <v/>
      </c>
      <c r="X641" s="7">
        <f>IF($D641="","",V641-W641)</f>
        <v/>
      </c>
      <c r="Y641" s="7">
        <f>IF($D641="","",X641-N641)</f>
        <v/>
      </c>
      <c r="AB641">
        <f>IF($D641="","",IF($AN641=1,0,IF($AM641=1,Settings!$C$6,Settings!$C$7))*100)</f>
        <v/>
      </c>
      <c r="AF641" s="7" t="n"/>
      <c r="AI641" s="11" t="n"/>
      <c r="AK641">
        <f>IF($D641="","",IF(COUNTIF($D$2:$D641,$D641)=1,1,0))</f>
        <v/>
      </c>
      <c r="AL641">
        <f>IF($AK641=1,SUMPRODUCT(--($AO$2:$AO$1501&lt;$AO641))+1,"")</f>
        <v/>
      </c>
      <c r="AM641">
        <f>IF($D641="","",IF(OR($R641=TRUE(),$R641="TRUE"),1,0))</f>
        <v/>
      </c>
      <c r="AN641">
        <f>IF($D641="","",IF($AA641="Yes",1,0))</f>
        <v/>
      </c>
      <c r="AO641">
        <f>IF($AK641=1,IFERROR(IF(VALUE($D641)&lt;100000000,VALUE($D641),1000000000),IFERROR(IF(VALUE(MID($D641,2,20))&lt;100000000,VALUE(MID($D641,2,20)),1000000000),1000000000))+ROW()/100000,"")</f>
        <v/>
      </c>
    </row>
    <row r="642">
      <c r="F642" s="11" t="n"/>
      <c r="N642" s="7">
        <f>IF($D642="","",M642*V642/100)</f>
        <v/>
      </c>
      <c r="O642" s="7" t="n"/>
      <c r="U642" s="7" t="n"/>
      <c r="V642" s="7" t="n"/>
      <c r="W642" s="7">
        <f>IF($D642="","",V642*AB642/100)</f>
        <v/>
      </c>
      <c r="X642" s="7">
        <f>IF($D642="","",V642-W642)</f>
        <v/>
      </c>
      <c r="Y642" s="7">
        <f>IF($D642="","",X642-N642)</f>
        <v/>
      </c>
      <c r="AB642">
        <f>IF($D642="","",IF($AN642=1,0,IF($AM642=1,Settings!$C$6,Settings!$C$7))*100)</f>
        <v/>
      </c>
      <c r="AF642" s="7" t="n"/>
      <c r="AI642" s="11" t="n"/>
      <c r="AK642">
        <f>IF($D642="","",IF(COUNTIF($D$2:$D642,$D642)=1,1,0))</f>
        <v/>
      </c>
      <c r="AL642">
        <f>IF($AK642=1,SUMPRODUCT(--($AO$2:$AO$1501&lt;$AO642))+1,"")</f>
        <v/>
      </c>
      <c r="AM642">
        <f>IF($D642="","",IF(OR($R642=TRUE(),$R642="TRUE"),1,0))</f>
        <v/>
      </c>
      <c r="AN642">
        <f>IF($D642="","",IF($AA642="Yes",1,0))</f>
        <v/>
      </c>
      <c r="AO642">
        <f>IF($AK642=1,IFERROR(IF(VALUE($D642)&lt;100000000,VALUE($D642),1000000000),IFERROR(IF(VALUE(MID($D642,2,20))&lt;100000000,VALUE(MID($D642,2,20)),1000000000),1000000000))+ROW()/100000,"")</f>
        <v/>
      </c>
    </row>
    <row r="643">
      <c r="F643" s="11" t="n"/>
      <c r="N643" s="7">
        <f>IF($D643="","",M643*V643/100)</f>
        <v/>
      </c>
      <c r="O643" s="7" t="n"/>
      <c r="U643" s="7" t="n"/>
      <c r="V643" s="7" t="n"/>
      <c r="W643" s="7">
        <f>IF($D643="","",V643*AB643/100)</f>
        <v/>
      </c>
      <c r="X643" s="7">
        <f>IF($D643="","",V643-W643)</f>
        <v/>
      </c>
      <c r="Y643" s="7">
        <f>IF($D643="","",X643-N643)</f>
        <v/>
      </c>
      <c r="AB643">
        <f>IF($D643="","",IF($AN643=1,0,IF($AM643=1,Settings!$C$6,Settings!$C$7))*100)</f>
        <v/>
      </c>
      <c r="AF643" s="7" t="n"/>
      <c r="AI643" s="11" t="n"/>
      <c r="AK643">
        <f>IF($D643="","",IF(COUNTIF($D$2:$D643,$D643)=1,1,0))</f>
        <v/>
      </c>
      <c r="AL643">
        <f>IF($AK643=1,SUMPRODUCT(--($AO$2:$AO$1501&lt;$AO643))+1,"")</f>
        <v/>
      </c>
      <c r="AM643">
        <f>IF($D643="","",IF(OR($R643=TRUE(),$R643="TRUE"),1,0))</f>
        <v/>
      </c>
      <c r="AN643">
        <f>IF($D643="","",IF($AA643="Yes",1,0))</f>
        <v/>
      </c>
      <c r="AO643">
        <f>IF($AK643=1,IFERROR(IF(VALUE($D643)&lt;100000000,VALUE($D643),1000000000),IFERROR(IF(VALUE(MID($D643,2,20))&lt;100000000,VALUE(MID($D643,2,20)),1000000000),1000000000))+ROW()/100000,"")</f>
        <v/>
      </c>
    </row>
    <row r="644">
      <c r="F644" s="11" t="n"/>
      <c r="N644" s="7">
        <f>IF($D644="","",M644*V644/100)</f>
        <v/>
      </c>
      <c r="O644" s="7" t="n"/>
      <c r="U644" s="7" t="n"/>
      <c r="V644" s="7" t="n"/>
      <c r="W644" s="7">
        <f>IF($D644="","",V644*AB644/100)</f>
        <v/>
      </c>
      <c r="X644" s="7">
        <f>IF($D644="","",V644-W644)</f>
        <v/>
      </c>
      <c r="Y644" s="7">
        <f>IF($D644="","",X644-N644)</f>
        <v/>
      </c>
      <c r="AB644">
        <f>IF($D644="","",IF($AN644=1,0,IF($AM644=1,Settings!$C$6,Settings!$C$7))*100)</f>
        <v/>
      </c>
      <c r="AF644" s="7" t="n"/>
      <c r="AI644" s="11" t="n"/>
      <c r="AK644">
        <f>IF($D644="","",IF(COUNTIF($D$2:$D644,$D644)=1,1,0))</f>
        <v/>
      </c>
      <c r="AL644">
        <f>IF($AK644=1,SUMPRODUCT(--($AO$2:$AO$1501&lt;$AO644))+1,"")</f>
        <v/>
      </c>
      <c r="AM644">
        <f>IF($D644="","",IF(OR($R644=TRUE(),$R644="TRUE"),1,0))</f>
        <v/>
      </c>
      <c r="AN644">
        <f>IF($D644="","",IF($AA644="Yes",1,0))</f>
        <v/>
      </c>
      <c r="AO644">
        <f>IF($AK644=1,IFERROR(IF(VALUE($D644)&lt;100000000,VALUE($D644),1000000000),IFERROR(IF(VALUE(MID($D644,2,20))&lt;100000000,VALUE(MID($D644,2,20)),1000000000),1000000000))+ROW()/100000,"")</f>
        <v/>
      </c>
    </row>
    <row r="645">
      <c r="F645" s="11" t="n"/>
      <c r="N645" s="7">
        <f>IF($D645="","",M645*V645/100)</f>
        <v/>
      </c>
      <c r="O645" s="7" t="n"/>
      <c r="U645" s="7" t="n"/>
      <c r="V645" s="7" t="n"/>
      <c r="W645" s="7">
        <f>IF($D645="","",V645*AB645/100)</f>
        <v/>
      </c>
      <c r="X645" s="7">
        <f>IF($D645="","",V645-W645)</f>
        <v/>
      </c>
      <c r="Y645" s="7">
        <f>IF($D645="","",X645-N645)</f>
        <v/>
      </c>
      <c r="AB645">
        <f>IF($D645="","",IF($AN645=1,0,IF($AM645=1,Settings!$C$6,Settings!$C$7))*100)</f>
        <v/>
      </c>
      <c r="AF645" s="7" t="n"/>
      <c r="AI645" s="11" t="n"/>
      <c r="AK645">
        <f>IF($D645="","",IF(COUNTIF($D$2:$D645,$D645)=1,1,0))</f>
        <v/>
      </c>
      <c r="AL645">
        <f>IF($AK645=1,SUMPRODUCT(--($AO$2:$AO$1501&lt;$AO645))+1,"")</f>
        <v/>
      </c>
      <c r="AM645">
        <f>IF($D645="","",IF(OR($R645=TRUE(),$R645="TRUE"),1,0))</f>
        <v/>
      </c>
      <c r="AN645">
        <f>IF($D645="","",IF($AA645="Yes",1,0))</f>
        <v/>
      </c>
      <c r="AO645">
        <f>IF($AK645=1,IFERROR(IF(VALUE($D645)&lt;100000000,VALUE($D645),1000000000),IFERROR(IF(VALUE(MID($D645,2,20))&lt;100000000,VALUE(MID($D645,2,20)),1000000000),1000000000))+ROW()/100000,"")</f>
        <v/>
      </c>
    </row>
    <row r="646">
      <c r="F646" s="11" t="n"/>
      <c r="N646" s="7">
        <f>IF($D646="","",M646*V646/100)</f>
        <v/>
      </c>
      <c r="O646" s="7" t="n"/>
      <c r="U646" s="7" t="n"/>
      <c r="V646" s="7" t="n"/>
      <c r="W646" s="7">
        <f>IF($D646="","",V646*AB646/100)</f>
        <v/>
      </c>
      <c r="X646" s="7">
        <f>IF($D646="","",V646-W646)</f>
        <v/>
      </c>
      <c r="Y646" s="7">
        <f>IF($D646="","",X646-N646)</f>
        <v/>
      </c>
      <c r="AB646">
        <f>IF($D646="","",IF($AN646=1,0,IF($AM646=1,Settings!$C$6,Settings!$C$7))*100)</f>
        <v/>
      </c>
      <c r="AF646" s="7" t="n"/>
      <c r="AI646" s="11" t="n"/>
      <c r="AK646">
        <f>IF($D646="","",IF(COUNTIF($D$2:$D646,$D646)=1,1,0))</f>
        <v/>
      </c>
      <c r="AL646">
        <f>IF($AK646=1,SUMPRODUCT(--($AO$2:$AO$1501&lt;$AO646))+1,"")</f>
        <v/>
      </c>
      <c r="AM646">
        <f>IF($D646="","",IF(OR($R646=TRUE(),$R646="TRUE"),1,0))</f>
        <v/>
      </c>
      <c r="AN646">
        <f>IF($D646="","",IF($AA646="Yes",1,0))</f>
        <v/>
      </c>
      <c r="AO646">
        <f>IF($AK646=1,IFERROR(IF(VALUE($D646)&lt;100000000,VALUE($D646),1000000000),IFERROR(IF(VALUE(MID($D646,2,20))&lt;100000000,VALUE(MID($D646,2,20)),1000000000),1000000000))+ROW()/100000,"")</f>
        <v/>
      </c>
    </row>
    <row r="647">
      <c r="F647" s="11" t="n"/>
      <c r="N647" s="7">
        <f>IF($D647="","",M647*V647/100)</f>
        <v/>
      </c>
      <c r="O647" s="7" t="n"/>
      <c r="U647" s="7" t="n"/>
      <c r="V647" s="7" t="n"/>
      <c r="W647" s="7">
        <f>IF($D647="","",V647*AB647/100)</f>
        <v/>
      </c>
      <c r="X647" s="7">
        <f>IF($D647="","",V647-W647)</f>
        <v/>
      </c>
      <c r="Y647" s="7">
        <f>IF($D647="","",X647-N647)</f>
        <v/>
      </c>
      <c r="AB647">
        <f>IF($D647="","",IF($AN647=1,0,IF($AM647=1,Settings!$C$6,Settings!$C$7))*100)</f>
        <v/>
      </c>
      <c r="AF647" s="7" t="n"/>
      <c r="AI647" s="11" t="n"/>
      <c r="AK647">
        <f>IF($D647="","",IF(COUNTIF($D$2:$D647,$D647)=1,1,0))</f>
        <v/>
      </c>
      <c r="AL647">
        <f>IF($AK647=1,SUMPRODUCT(--($AO$2:$AO$1501&lt;$AO647))+1,"")</f>
        <v/>
      </c>
      <c r="AM647">
        <f>IF($D647="","",IF(OR($R647=TRUE(),$R647="TRUE"),1,0))</f>
        <v/>
      </c>
      <c r="AN647">
        <f>IF($D647="","",IF($AA647="Yes",1,0))</f>
        <v/>
      </c>
      <c r="AO647">
        <f>IF($AK647=1,IFERROR(IF(VALUE($D647)&lt;100000000,VALUE($D647),1000000000),IFERROR(IF(VALUE(MID($D647,2,20))&lt;100000000,VALUE(MID($D647,2,20)),1000000000),1000000000))+ROW()/100000,"")</f>
        <v/>
      </c>
    </row>
    <row r="648">
      <c r="F648" s="11" t="n"/>
      <c r="N648" s="7">
        <f>IF($D648="","",M648*V648/100)</f>
        <v/>
      </c>
      <c r="O648" s="7" t="n"/>
      <c r="U648" s="7" t="n"/>
      <c r="V648" s="7" t="n"/>
      <c r="W648" s="7">
        <f>IF($D648="","",V648*AB648/100)</f>
        <v/>
      </c>
      <c r="X648" s="7">
        <f>IF($D648="","",V648-W648)</f>
        <v/>
      </c>
      <c r="Y648" s="7">
        <f>IF($D648="","",X648-N648)</f>
        <v/>
      </c>
      <c r="AB648">
        <f>IF($D648="","",IF($AN648=1,0,IF($AM648=1,Settings!$C$6,Settings!$C$7))*100)</f>
        <v/>
      </c>
      <c r="AF648" s="7" t="n"/>
      <c r="AI648" s="11" t="n"/>
      <c r="AK648">
        <f>IF($D648="","",IF(COUNTIF($D$2:$D648,$D648)=1,1,0))</f>
        <v/>
      </c>
      <c r="AL648">
        <f>IF($AK648=1,SUMPRODUCT(--($AO$2:$AO$1501&lt;$AO648))+1,"")</f>
        <v/>
      </c>
      <c r="AM648">
        <f>IF($D648="","",IF(OR($R648=TRUE(),$R648="TRUE"),1,0))</f>
        <v/>
      </c>
      <c r="AN648">
        <f>IF($D648="","",IF($AA648="Yes",1,0))</f>
        <v/>
      </c>
      <c r="AO648">
        <f>IF($AK648=1,IFERROR(IF(VALUE($D648)&lt;100000000,VALUE($D648),1000000000),IFERROR(IF(VALUE(MID($D648,2,20))&lt;100000000,VALUE(MID($D648,2,20)),1000000000),1000000000))+ROW()/100000,"")</f>
        <v/>
      </c>
    </row>
    <row r="649">
      <c r="F649" s="11" t="n"/>
      <c r="N649" s="7">
        <f>IF($D649="","",M649*V649/100)</f>
        <v/>
      </c>
      <c r="O649" s="7" t="n"/>
      <c r="U649" s="7" t="n"/>
      <c r="V649" s="7" t="n"/>
      <c r="W649" s="7">
        <f>IF($D649="","",V649*AB649/100)</f>
        <v/>
      </c>
      <c r="X649" s="7">
        <f>IF($D649="","",V649-W649)</f>
        <v/>
      </c>
      <c r="Y649" s="7">
        <f>IF($D649="","",X649-N649)</f>
        <v/>
      </c>
      <c r="AB649">
        <f>IF($D649="","",IF($AN649=1,0,IF($AM649=1,Settings!$C$6,Settings!$C$7))*100)</f>
        <v/>
      </c>
      <c r="AF649" s="7" t="n"/>
      <c r="AI649" s="11" t="n"/>
      <c r="AK649">
        <f>IF($D649="","",IF(COUNTIF($D$2:$D649,$D649)=1,1,0))</f>
        <v/>
      </c>
      <c r="AL649">
        <f>IF($AK649=1,SUMPRODUCT(--($AO$2:$AO$1501&lt;$AO649))+1,"")</f>
        <v/>
      </c>
      <c r="AM649">
        <f>IF($D649="","",IF(OR($R649=TRUE(),$R649="TRUE"),1,0))</f>
        <v/>
      </c>
      <c r="AN649">
        <f>IF($D649="","",IF($AA649="Yes",1,0))</f>
        <v/>
      </c>
      <c r="AO649">
        <f>IF($AK649=1,IFERROR(IF(VALUE($D649)&lt;100000000,VALUE($D649),1000000000),IFERROR(IF(VALUE(MID($D649,2,20))&lt;100000000,VALUE(MID($D649,2,20)),1000000000),1000000000))+ROW()/100000,"")</f>
        <v/>
      </c>
    </row>
    <row r="650">
      <c r="F650" s="11" t="n"/>
      <c r="N650" s="7">
        <f>IF($D650="","",M650*V650/100)</f>
        <v/>
      </c>
      <c r="O650" s="7" t="n"/>
      <c r="U650" s="7" t="n"/>
      <c r="V650" s="7" t="n"/>
      <c r="W650" s="7">
        <f>IF($D650="","",V650*AB650/100)</f>
        <v/>
      </c>
      <c r="X650" s="7">
        <f>IF($D650="","",V650-W650)</f>
        <v/>
      </c>
      <c r="Y650" s="7">
        <f>IF($D650="","",X650-N650)</f>
        <v/>
      </c>
      <c r="AB650">
        <f>IF($D650="","",IF($AN650=1,0,IF($AM650=1,Settings!$C$6,Settings!$C$7))*100)</f>
        <v/>
      </c>
      <c r="AF650" s="7" t="n"/>
      <c r="AI650" s="11" t="n"/>
      <c r="AK650">
        <f>IF($D650="","",IF(COUNTIF($D$2:$D650,$D650)=1,1,0))</f>
        <v/>
      </c>
      <c r="AL650">
        <f>IF($AK650=1,SUMPRODUCT(--($AO$2:$AO$1501&lt;$AO650))+1,"")</f>
        <v/>
      </c>
      <c r="AM650">
        <f>IF($D650="","",IF(OR($R650=TRUE(),$R650="TRUE"),1,0))</f>
        <v/>
      </c>
      <c r="AN650">
        <f>IF($D650="","",IF($AA650="Yes",1,0))</f>
        <v/>
      </c>
      <c r="AO650">
        <f>IF($AK650=1,IFERROR(IF(VALUE($D650)&lt;100000000,VALUE($D650),1000000000),IFERROR(IF(VALUE(MID($D650,2,20))&lt;100000000,VALUE(MID($D650,2,20)),1000000000),1000000000))+ROW()/100000,"")</f>
        <v/>
      </c>
    </row>
    <row r="651">
      <c r="F651" s="11" t="n"/>
      <c r="N651" s="7">
        <f>IF($D651="","",M651*V651/100)</f>
        <v/>
      </c>
      <c r="O651" s="7" t="n"/>
      <c r="U651" s="7" t="n"/>
      <c r="V651" s="7" t="n"/>
      <c r="W651" s="7">
        <f>IF($D651="","",V651*AB651/100)</f>
        <v/>
      </c>
      <c r="X651" s="7">
        <f>IF($D651="","",V651-W651)</f>
        <v/>
      </c>
      <c r="Y651" s="7">
        <f>IF($D651="","",X651-N651)</f>
        <v/>
      </c>
      <c r="AB651">
        <f>IF($D651="","",IF($AN651=1,0,IF($AM651=1,Settings!$C$6,Settings!$C$7))*100)</f>
        <v/>
      </c>
      <c r="AF651" s="7" t="n"/>
      <c r="AI651" s="11" t="n"/>
      <c r="AK651">
        <f>IF($D651="","",IF(COUNTIF($D$2:$D651,$D651)=1,1,0))</f>
        <v/>
      </c>
      <c r="AL651">
        <f>IF($AK651=1,SUMPRODUCT(--($AO$2:$AO$1501&lt;$AO651))+1,"")</f>
        <v/>
      </c>
      <c r="AM651">
        <f>IF($D651="","",IF(OR($R651=TRUE(),$R651="TRUE"),1,0))</f>
        <v/>
      </c>
      <c r="AN651">
        <f>IF($D651="","",IF($AA651="Yes",1,0))</f>
        <v/>
      </c>
      <c r="AO651">
        <f>IF($AK651=1,IFERROR(IF(VALUE($D651)&lt;100000000,VALUE($D651),1000000000),IFERROR(IF(VALUE(MID($D651,2,20))&lt;100000000,VALUE(MID($D651,2,20)),1000000000),1000000000))+ROW()/100000,"")</f>
        <v/>
      </c>
    </row>
    <row r="652">
      <c r="F652" s="11" t="n"/>
      <c r="N652" s="7">
        <f>IF($D652="","",M652*V652/100)</f>
        <v/>
      </c>
      <c r="O652" s="7" t="n"/>
      <c r="U652" s="7" t="n"/>
      <c r="V652" s="7" t="n"/>
      <c r="W652" s="7">
        <f>IF($D652="","",V652*AB652/100)</f>
        <v/>
      </c>
      <c r="X652" s="7">
        <f>IF($D652="","",V652-W652)</f>
        <v/>
      </c>
      <c r="Y652" s="7">
        <f>IF($D652="","",X652-N652)</f>
        <v/>
      </c>
      <c r="AB652">
        <f>IF($D652="","",IF($AN652=1,0,IF($AM652=1,Settings!$C$6,Settings!$C$7))*100)</f>
        <v/>
      </c>
      <c r="AF652" s="7" t="n"/>
      <c r="AI652" s="11" t="n"/>
      <c r="AK652">
        <f>IF($D652="","",IF(COUNTIF($D$2:$D652,$D652)=1,1,0))</f>
        <v/>
      </c>
      <c r="AL652">
        <f>IF($AK652=1,SUMPRODUCT(--($AO$2:$AO$1501&lt;$AO652))+1,"")</f>
        <v/>
      </c>
      <c r="AM652">
        <f>IF($D652="","",IF(OR($R652=TRUE(),$R652="TRUE"),1,0))</f>
        <v/>
      </c>
      <c r="AN652">
        <f>IF($D652="","",IF($AA652="Yes",1,0))</f>
        <v/>
      </c>
      <c r="AO652">
        <f>IF($AK652=1,IFERROR(IF(VALUE($D652)&lt;100000000,VALUE($D652),1000000000),IFERROR(IF(VALUE(MID($D652,2,20))&lt;100000000,VALUE(MID($D652,2,20)),1000000000),1000000000))+ROW()/100000,"")</f>
        <v/>
      </c>
    </row>
    <row r="653">
      <c r="F653" s="11" t="n"/>
      <c r="N653" s="7">
        <f>IF($D653="","",M653*V653/100)</f>
        <v/>
      </c>
      <c r="O653" s="7" t="n"/>
      <c r="U653" s="7" t="n"/>
      <c r="V653" s="7" t="n"/>
      <c r="W653" s="7">
        <f>IF($D653="","",V653*AB653/100)</f>
        <v/>
      </c>
      <c r="X653" s="7">
        <f>IF($D653="","",V653-W653)</f>
        <v/>
      </c>
      <c r="Y653" s="7">
        <f>IF($D653="","",X653-N653)</f>
        <v/>
      </c>
      <c r="AB653">
        <f>IF($D653="","",IF($AN653=1,0,IF($AM653=1,Settings!$C$6,Settings!$C$7))*100)</f>
        <v/>
      </c>
      <c r="AF653" s="7" t="n"/>
      <c r="AI653" s="11" t="n"/>
      <c r="AK653">
        <f>IF($D653="","",IF(COUNTIF($D$2:$D653,$D653)=1,1,0))</f>
        <v/>
      </c>
      <c r="AL653">
        <f>IF($AK653=1,SUMPRODUCT(--($AO$2:$AO$1501&lt;$AO653))+1,"")</f>
        <v/>
      </c>
      <c r="AM653">
        <f>IF($D653="","",IF(OR($R653=TRUE(),$R653="TRUE"),1,0))</f>
        <v/>
      </c>
      <c r="AN653">
        <f>IF($D653="","",IF($AA653="Yes",1,0))</f>
        <v/>
      </c>
      <c r="AO653">
        <f>IF($AK653=1,IFERROR(IF(VALUE($D653)&lt;100000000,VALUE($D653),1000000000),IFERROR(IF(VALUE(MID($D653,2,20))&lt;100000000,VALUE(MID($D653,2,20)),1000000000),1000000000))+ROW()/100000,"")</f>
        <v/>
      </c>
    </row>
    <row r="654">
      <c r="F654" s="11" t="n"/>
      <c r="N654" s="7">
        <f>IF($D654="","",M654*V654/100)</f>
        <v/>
      </c>
      <c r="O654" s="7" t="n"/>
      <c r="U654" s="7" t="n"/>
      <c r="V654" s="7" t="n"/>
      <c r="W654" s="7">
        <f>IF($D654="","",V654*AB654/100)</f>
        <v/>
      </c>
      <c r="X654" s="7">
        <f>IF($D654="","",V654-W654)</f>
        <v/>
      </c>
      <c r="Y654" s="7">
        <f>IF($D654="","",X654-N654)</f>
        <v/>
      </c>
      <c r="AB654">
        <f>IF($D654="","",IF($AN654=1,0,IF($AM654=1,Settings!$C$6,Settings!$C$7))*100)</f>
        <v/>
      </c>
      <c r="AF654" s="7" t="n"/>
      <c r="AI654" s="11" t="n"/>
      <c r="AK654">
        <f>IF($D654="","",IF(COUNTIF($D$2:$D654,$D654)=1,1,0))</f>
        <v/>
      </c>
      <c r="AL654">
        <f>IF($AK654=1,SUMPRODUCT(--($AO$2:$AO$1501&lt;$AO654))+1,"")</f>
        <v/>
      </c>
      <c r="AM654">
        <f>IF($D654="","",IF(OR($R654=TRUE(),$R654="TRUE"),1,0))</f>
        <v/>
      </c>
      <c r="AN654">
        <f>IF($D654="","",IF($AA654="Yes",1,0))</f>
        <v/>
      </c>
      <c r="AO654">
        <f>IF($AK654=1,IFERROR(IF(VALUE($D654)&lt;100000000,VALUE($D654),1000000000),IFERROR(IF(VALUE(MID($D654,2,20))&lt;100000000,VALUE(MID($D654,2,20)),1000000000),1000000000))+ROW()/100000,"")</f>
        <v/>
      </c>
    </row>
    <row r="655">
      <c r="F655" s="11" t="n"/>
      <c r="N655" s="7">
        <f>IF($D655="","",M655*V655/100)</f>
        <v/>
      </c>
      <c r="O655" s="7" t="n"/>
      <c r="U655" s="7" t="n"/>
      <c r="V655" s="7" t="n"/>
      <c r="W655" s="7">
        <f>IF($D655="","",V655*AB655/100)</f>
        <v/>
      </c>
      <c r="X655" s="7">
        <f>IF($D655="","",V655-W655)</f>
        <v/>
      </c>
      <c r="Y655" s="7">
        <f>IF($D655="","",X655-N655)</f>
        <v/>
      </c>
      <c r="AB655">
        <f>IF($D655="","",IF($AN655=1,0,IF($AM655=1,Settings!$C$6,Settings!$C$7))*100)</f>
        <v/>
      </c>
      <c r="AF655" s="7" t="n"/>
      <c r="AI655" s="11" t="n"/>
      <c r="AK655">
        <f>IF($D655="","",IF(COUNTIF($D$2:$D655,$D655)=1,1,0))</f>
        <v/>
      </c>
      <c r="AL655">
        <f>IF($AK655=1,SUMPRODUCT(--($AO$2:$AO$1501&lt;$AO655))+1,"")</f>
        <v/>
      </c>
      <c r="AM655">
        <f>IF($D655="","",IF(OR($R655=TRUE(),$R655="TRUE"),1,0))</f>
        <v/>
      </c>
      <c r="AN655">
        <f>IF($D655="","",IF($AA655="Yes",1,0))</f>
        <v/>
      </c>
      <c r="AO655">
        <f>IF($AK655=1,IFERROR(IF(VALUE($D655)&lt;100000000,VALUE($D655),1000000000),IFERROR(IF(VALUE(MID($D655,2,20))&lt;100000000,VALUE(MID($D655,2,20)),1000000000),1000000000))+ROW()/100000,"")</f>
        <v/>
      </c>
    </row>
    <row r="656">
      <c r="F656" s="11" t="n"/>
      <c r="N656" s="7">
        <f>IF($D656="","",M656*V656/100)</f>
        <v/>
      </c>
      <c r="O656" s="7" t="n"/>
      <c r="U656" s="7" t="n"/>
      <c r="V656" s="7" t="n"/>
      <c r="W656" s="7">
        <f>IF($D656="","",V656*AB656/100)</f>
        <v/>
      </c>
      <c r="X656" s="7">
        <f>IF($D656="","",V656-W656)</f>
        <v/>
      </c>
      <c r="Y656" s="7">
        <f>IF($D656="","",X656-N656)</f>
        <v/>
      </c>
      <c r="AB656">
        <f>IF($D656="","",IF($AN656=1,0,IF($AM656=1,Settings!$C$6,Settings!$C$7))*100)</f>
        <v/>
      </c>
      <c r="AF656" s="7" t="n"/>
      <c r="AI656" s="11" t="n"/>
      <c r="AK656">
        <f>IF($D656="","",IF(COUNTIF($D$2:$D656,$D656)=1,1,0))</f>
        <v/>
      </c>
      <c r="AL656">
        <f>IF($AK656=1,SUMPRODUCT(--($AO$2:$AO$1501&lt;$AO656))+1,"")</f>
        <v/>
      </c>
      <c r="AM656">
        <f>IF($D656="","",IF(OR($R656=TRUE(),$R656="TRUE"),1,0))</f>
        <v/>
      </c>
      <c r="AN656">
        <f>IF($D656="","",IF($AA656="Yes",1,0))</f>
        <v/>
      </c>
      <c r="AO656">
        <f>IF($AK656=1,IFERROR(IF(VALUE($D656)&lt;100000000,VALUE($D656),1000000000),IFERROR(IF(VALUE(MID($D656,2,20))&lt;100000000,VALUE(MID($D656,2,20)),1000000000),1000000000))+ROW()/100000,"")</f>
        <v/>
      </c>
    </row>
    <row r="657">
      <c r="F657" s="11" t="n"/>
      <c r="N657" s="7">
        <f>IF($D657="","",M657*V657/100)</f>
        <v/>
      </c>
      <c r="O657" s="7" t="n"/>
      <c r="U657" s="7" t="n"/>
      <c r="V657" s="7" t="n"/>
      <c r="W657" s="7">
        <f>IF($D657="","",V657*AB657/100)</f>
        <v/>
      </c>
      <c r="X657" s="7">
        <f>IF($D657="","",V657-W657)</f>
        <v/>
      </c>
      <c r="Y657" s="7">
        <f>IF($D657="","",X657-N657)</f>
        <v/>
      </c>
      <c r="AB657">
        <f>IF($D657="","",IF($AN657=1,0,IF($AM657=1,Settings!$C$6,Settings!$C$7))*100)</f>
        <v/>
      </c>
      <c r="AF657" s="7" t="n"/>
      <c r="AI657" s="11" t="n"/>
      <c r="AK657">
        <f>IF($D657="","",IF(COUNTIF($D$2:$D657,$D657)=1,1,0))</f>
        <v/>
      </c>
      <c r="AL657">
        <f>IF($AK657=1,SUMPRODUCT(--($AO$2:$AO$1501&lt;$AO657))+1,"")</f>
        <v/>
      </c>
      <c r="AM657">
        <f>IF($D657="","",IF(OR($R657=TRUE(),$R657="TRUE"),1,0))</f>
        <v/>
      </c>
      <c r="AN657">
        <f>IF($D657="","",IF($AA657="Yes",1,0))</f>
        <v/>
      </c>
      <c r="AO657">
        <f>IF($AK657=1,IFERROR(IF(VALUE($D657)&lt;100000000,VALUE($D657),1000000000),IFERROR(IF(VALUE(MID($D657,2,20))&lt;100000000,VALUE(MID($D657,2,20)),1000000000),1000000000))+ROW()/100000,"")</f>
        <v/>
      </c>
    </row>
    <row r="658">
      <c r="F658" s="11" t="n"/>
      <c r="N658" s="7">
        <f>IF($D658="","",M658*V658/100)</f>
        <v/>
      </c>
      <c r="O658" s="7" t="n"/>
      <c r="U658" s="7" t="n"/>
      <c r="V658" s="7" t="n"/>
      <c r="W658" s="7">
        <f>IF($D658="","",V658*AB658/100)</f>
        <v/>
      </c>
      <c r="X658" s="7">
        <f>IF($D658="","",V658-W658)</f>
        <v/>
      </c>
      <c r="Y658" s="7">
        <f>IF($D658="","",X658-N658)</f>
        <v/>
      </c>
      <c r="AB658">
        <f>IF($D658="","",IF($AN658=1,0,IF($AM658=1,Settings!$C$6,Settings!$C$7))*100)</f>
        <v/>
      </c>
      <c r="AF658" s="7" t="n"/>
      <c r="AI658" s="11" t="n"/>
      <c r="AK658">
        <f>IF($D658="","",IF(COUNTIF($D$2:$D658,$D658)=1,1,0))</f>
        <v/>
      </c>
      <c r="AL658">
        <f>IF($AK658=1,SUMPRODUCT(--($AO$2:$AO$1501&lt;$AO658))+1,"")</f>
        <v/>
      </c>
      <c r="AM658">
        <f>IF($D658="","",IF(OR($R658=TRUE(),$R658="TRUE"),1,0))</f>
        <v/>
      </c>
      <c r="AN658">
        <f>IF($D658="","",IF($AA658="Yes",1,0))</f>
        <v/>
      </c>
      <c r="AO658">
        <f>IF($AK658=1,IFERROR(IF(VALUE($D658)&lt;100000000,VALUE($D658),1000000000),IFERROR(IF(VALUE(MID($D658,2,20))&lt;100000000,VALUE(MID($D658,2,20)),1000000000),1000000000))+ROW()/100000,"")</f>
        <v/>
      </c>
    </row>
    <row r="659">
      <c r="F659" s="11" t="n"/>
      <c r="N659" s="7">
        <f>IF($D659="","",M659*V659/100)</f>
        <v/>
      </c>
      <c r="O659" s="7" t="n"/>
      <c r="U659" s="7" t="n"/>
      <c r="V659" s="7" t="n"/>
      <c r="W659" s="7">
        <f>IF($D659="","",V659*AB659/100)</f>
        <v/>
      </c>
      <c r="X659" s="7">
        <f>IF($D659="","",V659-W659)</f>
        <v/>
      </c>
      <c r="Y659" s="7">
        <f>IF($D659="","",X659-N659)</f>
        <v/>
      </c>
      <c r="AB659">
        <f>IF($D659="","",IF($AN659=1,0,IF($AM659=1,Settings!$C$6,Settings!$C$7))*100)</f>
        <v/>
      </c>
      <c r="AF659" s="7" t="n"/>
      <c r="AI659" s="11" t="n"/>
      <c r="AK659">
        <f>IF($D659="","",IF(COUNTIF($D$2:$D659,$D659)=1,1,0))</f>
        <v/>
      </c>
      <c r="AL659">
        <f>IF($AK659=1,SUMPRODUCT(--($AO$2:$AO$1501&lt;$AO659))+1,"")</f>
        <v/>
      </c>
      <c r="AM659">
        <f>IF($D659="","",IF(OR($R659=TRUE(),$R659="TRUE"),1,0))</f>
        <v/>
      </c>
      <c r="AN659">
        <f>IF($D659="","",IF($AA659="Yes",1,0))</f>
        <v/>
      </c>
      <c r="AO659">
        <f>IF($AK659=1,IFERROR(IF(VALUE($D659)&lt;100000000,VALUE($D659),1000000000),IFERROR(IF(VALUE(MID($D659,2,20))&lt;100000000,VALUE(MID($D659,2,20)),1000000000),1000000000))+ROW()/100000,"")</f>
        <v/>
      </c>
    </row>
    <row r="660">
      <c r="F660" s="11" t="n"/>
      <c r="N660" s="7">
        <f>IF($D660="","",M660*V660/100)</f>
        <v/>
      </c>
      <c r="O660" s="7" t="n"/>
      <c r="U660" s="7" t="n"/>
      <c r="V660" s="7" t="n"/>
      <c r="W660" s="7">
        <f>IF($D660="","",V660*AB660/100)</f>
        <v/>
      </c>
      <c r="X660" s="7">
        <f>IF($D660="","",V660-W660)</f>
        <v/>
      </c>
      <c r="Y660" s="7">
        <f>IF($D660="","",X660-N660)</f>
        <v/>
      </c>
      <c r="AB660">
        <f>IF($D660="","",IF($AN660=1,0,IF($AM660=1,Settings!$C$6,Settings!$C$7))*100)</f>
        <v/>
      </c>
      <c r="AF660" s="7" t="n"/>
      <c r="AI660" s="11" t="n"/>
      <c r="AK660">
        <f>IF($D660="","",IF(COUNTIF($D$2:$D660,$D660)=1,1,0))</f>
        <v/>
      </c>
      <c r="AL660">
        <f>IF($AK660=1,SUMPRODUCT(--($AO$2:$AO$1501&lt;$AO660))+1,"")</f>
        <v/>
      </c>
      <c r="AM660">
        <f>IF($D660="","",IF(OR($R660=TRUE(),$R660="TRUE"),1,0))</f>
        <v/>
      </c>
      <c r="AN660">
        <f>IF($D660="","",IF($AA660="Yes",1,0))</f>
        <v/>
      </c>
      <c r="AO660">
        <f>IF($AK660=1,IFERROR(IF(VALUE($D660)&lt;100000000,VALUE($D660),1000000000),IFERROR(IF(VALUE(MID($D660,2,20))&lt;100000000,VALUE(MID($D660,2,20)),1000000000),1000000000))+ROW()/100000,"")</f>
        <v/>
      </c>
    </row>
    <row r="661">
      <c r="F661" s="11" t="n"/>
      <c r="N661" s="7">
        <f>IF($D661="","",M661*V661/100)</f>
        <v/>
      </c>
      <c r="O661" s="7" t="n"/>
      <c r="U661" s="7" t="n"/>
      <c r="V661" s="7" t="n"/>
      <c r="W661" s="7">
        <f>IF($D661="","",V661*AB661/100)</f>
        <v/>
      </c>
      <c r="X661" s="7">
        <f>IF($D661="","",V661-W661)</f>
        <v/>
      </c>
      <c r="Y661" s="7">
        <f>IF($D661="","",X661-N661)</f>
        <v/>
      </c>
      <c r="AB661">
        <f>IF($D661="","",IF($AN661=1,0,IF($AM661=1,Settings!$C$6,Settings!$C$7))*100)</f>
        <v/>
      </c>
      <c r="AF661" s="7" t="n"/>
      <c r="AI661" s="11" t="n"/>
      <c r="AK661">
        <f>IF($D661="","",IF(COUNTIF($D$2:$D661,$D661)=1,1,0))</f>
        <v/>
      </c>
      <c r="AL661">
        <f>IF($AK661=1,SUMPRODUCT(--($AO$2:$AO$1501&lt;$AO661))+1,"")</f>
        <v/>
      </c>
      <c r="AM661">
        <f>IF($D661="","",IF(OR($R661=TRUE(),$R661="TRUE"),1,0))</f>
        <v/>
      </c>
      <c r="AN661">
        <f>IF($D661="","",IF($AA661="Yes",1,0))</f>
        <v/>
      </c>
      <c r="AO661">
        <f>IF($AK661=1,IFERROR(IF(VALUE($D661)&lt;100000000,VALUE($D661),1000000000),IFERROR(IF(VALUE(MID($D661,2,20))&lt;100000000,VALUE(MID($D661,2,20)),1000000000),1000000000))+ROW()/100000,"")</f>
        <v/>
      </c>
    </row>
    <row r="662">
      <c r="F662" s="11" t="n"/>
      <c r="N662" s="7">
        <f>IF($D662="","",M662*V662/100)</f>
        <v/>
      </c>
      <c r="O662" s="7" t="n"/>
      <c r="U662" s="7" t="n"/>
      <c r="V662" s="7" t="n"/>
      <c r="W662" s="7">
        <f>IF($D662="","",V662*AB662/100)</f>
        <v/>
      </c>
      <c r="X662" s="7">
        <f>IF($D662="","",V662-W662)</f>
        <v/>
      </c>
      <c r="Y662" s="7">
        <f>IF($D662="","",X662-N662)</f>
        <v/>
      </c>
      <c r="AB662">
        <f>IF($D662="","",IF($AN662=1,0,IF($AM662=1,Settings!$C$6,Settings!$C$7))*100)</f>
        <v/>
      </c>
      <c r="AF662" s="7" t="n"/>
      <c r="AI662" s="11" t="n"/>
      <c r="AK662">
        <f>IF($D662="","",IF(COUNTIF($D$2:$D662,$D662)=1,1,0))</f>
        <v/>
      </c>
      <c r="AL662">
        <f>IF($AK662=1,SUMPRODUCT(--($AO$2:$AO$1501&lt;$AO662))+1,"")</f>
        <v/>
      </c>
      <c r="AM662">
        <f>IF($D662="","",IF(OR($R662=TRUE(),$R662="TRUE"),1,0))</f>
        <v/>
      </c>
      <c r="AN662">
        <f>IF($D662="","",IF($AA662="Yes",1,0))</f>
        <v/>
      </c>
      <c r="AO662">
        <f>IF($AK662=1,IFERROR(IF(VALUE($D662)&lt;100000000,VALUE($D662),1000000000),IFERROR(IF(VALUE(MID($D662,2,20))&lt;100000000,VALUE(MID($D662,2,20)),1000000000),1000000000))+ROW()/100000,"")</f>
        <v/>
      </c>
    </row>
    <row r="663">
      <c r="F663" s="11" t="n"/>
      <c r="N663" s="7">
        <f>IF($D663="","",M663*V663/100)</f>
        <v/>
      </c>
      <c r="O663" s="7" t="n"/>
      <c r="U663" s="7" t="n"/>
      <c r="V663" s="7" t="n"/>
      <c r="W663" s="7">
        <f>IF($D663="","",V663*AB663/100)</f>
        <v/>
      </c>
      <c r="X663" s="7">
        <f>IF($D663="","",V663-W663)</f>
        <v/>
      </c>
      <c r="Y663" s="7">
        <f>IF($D663="","",X663-N663)</f>
        <v/>
      </c>
      <c r="AB663">
        <f>IF($D663="","",IF($AN663=1,0,IF($AM663=1,Settings!$C$6,Settings!$C$7))*100)</f>
        <v/>
      </c>
      <c r="AF663" s="7" t="n"/>
      <c r="AI663" s="11" t="n"/>
      <c r="AK663">
        <f>IF($D663="","",IF(COUNTIF($D$2:$D663,$D663)=1,1,0))</f>
        <v/>
      </c>
      <c r="AL663">
        <f>IF($AK663=1,SUMPRODUCT(--($AO$2:$AO$1501&lt;$AO663))+1,"")</f>
        <v/>
      </c>
      <c r="AM663">
        <f>IF($D663="","",IF(OR($R663=TRUE(),$R663="TRUE"),1,0))</f>
        <v/>
      </c>
      <c r="AN663">
        <f>IF($D663="","",IF($AA663="Yes",1,0))</f>
        <v/>
      </c>
      <c r="AO663">
        <f>IF($AK663=1,IFERROR(IF(VALUE($D663)&lt;100000000,VALUE($D663),1000000000),IFERROR(IF(VALUE(MID($D663,2,20))&lt;100000000,VALUE(MID($D663,2,20)),1000000000),1000000000))+ROW()/100000,"")</f>
        <v/>
      </c>
    </row>
    <row r="664">
      <c r="F664" s="11" t="n"/>
      <c r="N664" s="7">
        <f>IF($D664="","",M664*V664/100)</f>
        <v/>
      </c>
      <c r="O664" s="7" t="n"/>
      <c r="U664" s="7" t="n"/>
      <c r="V664" s="7" t="n"/>
      <c r="W664" s="7">
        <f>IF($D664="","",V664*AB664/100)</f>
        <v/>
      </c>
      <c r="X664" s="7">
        <f>IF($D664="","",V664-W664)</f>
        <v/>
      </c>
      <c r="Y664" s="7">
        <f>IF($D664="","",X664-N664)</f>
        <v/>
      </c>
      <c r="AB664">
        <f>IF($D664="","",IF($AN664=1,0,IF($AM664=1,Settings!$C$6,Settings!$C$7))*100)</f>
        <v/>
      </c>
      <c r="AF664" s="7" t="n"/>
      <c r="AI664" s="11" t="n"/>
      <c r="AK664">
        <f>IF($D664="","",IF(COUNTIF($D$2:$D664,$D664)=1,1,0))</f>
        <v/>
      </c>
      <c r="AL664">
        <f>IF($AK664=1,SUMPRODUCT(--($AO$2:$AO$1501&lt;$AO664))+1,"")</f>
        <v/>
      </c>
      <c r="AM664">
        <f>IF($D664="","",IF(OR($R664=TRUE(),$R664="TRUE"),1,0))</f>
        <v/>
      </c>
      <c r="AN664">
        <f>IF($D664="","",IF($AA664="Yes",1,0))</f>
        <v/>
      </c>
      <c r="AO664">
        <f>IF($AK664=1,IFERROR(IF(VALUE($D664)&lt;100000000,VALUE($D664),1000000000),IFERROR(IF(VALUE(MID($D664,2,20))&lt;100000000,VALUE(MID($D664,2,20)),1000000000),1000000000))+ROW()/100000,"")</f>
        <v/>
      </c>
    </row>
    <row r="665">
      <c r="F665" s="11" t="n"/>
      <c r="N665" s="7">
        <f>IF($D665="","",M665*V665/100)</f>
        <v/>
      </c>
      <c r="O665" s="7" t="n"/>
      <c r="U665" s="7" t="n"/>
      <c r="V665" s="7" t="n"/>
      <c r="W665" s="7">
        <f>IF($D665="","",V665*AB665/100)</f>
        <v/>
      </c>
      <c r="X665" s="7">
        <f>IF($D665="","",V665-W665)</f>
        <v/>
      </c>
      <c r="Y665" s="7">
        <f>IF($D665="","",X665-N665)</f>
        <v/>
      </c>
      <c r="AB665">
        <f>IF($D665="","",IF($AN665=1,0,IF($AM665=1,Settings!$C$6,Settings!$C$7))*100)</f>
        <v/>
      </c>
      <c r="AF665" s="7" t="n"/>
      <c r="AI665" s="11" t="n"/>
      <c r="AK665">
        <f>IF($D665="","",IF(COUNTIF($D$2:$D665,$D665)=1,1,0))</f>
        <v/>
      </c>
      <c r="AL665">
        <f>IF($AK665=1,SUMPRODUCT(--($AO$2:$AO$1501&lt;$AO665))+1,"")</f>
        <v/>
      </c>
      <c r="AM665">
        <f>IF($D665="","",IF(OR($R665=TRUE(),$R665="TRUE"),1,0))</f>
        <v/>
      </c>
      <c r="AN665">
        <f>IF($D665="","",IF($AA665="Yes",1,0))</f>
        <v/>
      </c>
      <c r="AO665">
        <f>IF($AK665=1,IFERROR(IF(VALUE($D665)&lt;100000000,VALUE($D665),1000000000),IFERROR(IF(VALUE(MID($D665,2,20))&lt;100000000,VALUE(MID($D665,2,20)),1000000000),1000000000))+ROW()/100000,"")</f>
        <v/>
      </c>
    </row>
    <row r="666">
      <c r="F666" s="11" t="n"/>
      <c r="N666" s="7">
        <f>IF($D666="","",M666*V666/100)</f>
        <v/>
      </c>
      <c r="O666" s="7" t="n"/>
      <c r="U666" s="7" t="n"/>
      <c r="V666" s="7" t="n"/>
      <c r="W666" s="7">
        <f>IF($D666="","",V666*AB666/100)</f>
        <v/>
      </c>
      <c r="X666" s="7">
        <f>IF($D666="","",V666-W666)</f>
        <v/>
      </c>
      <c r="Y666" s="7">
        <f>IF($D666="","",X666-N666)</f>
        <v/>
      </c>
      <c r="AB666">
        <f>IF($D666="","",IF($AN666=1,0,IF($AM666=1,Settings!$C$6,Settings!$C$7))*100)</f>
        <v/>
      </c>
      <c r="AF666" s="7" t="n"/>
      <c r="AI666" s="11" t="n"/>
      <c r="AK666">
        <f>IF($D666="","",IF(COUNTIF($D$2:$D666,$D666)=1,1,0))</f>
        <v/>
      </c>
      <c r="AL666">
        <f>IF($AK666=1,SUMPRODUCT(--($AO$2:$AO$1501&lt;$AO666))+1,"")</f>
        <v/>
      </c>
      <c r="AM666">
        <f>IF($D666="","",IF(OR($R666=TRUE(),$R666="TRUE"),1,0))</f>
        <v/>
      </c>
      <c r="AN666">
        <f>IF($D666="","",IF($AA666="Yes",1,0))</f>
        <v/>
      </c>
      <c r="AO666">
        <f>IF($AK666=1,IFERROR(IF(VALUE($D666)&lt;100000000,VALUE($D666),1000000000),IFERROR(IF(VALUE(MID($D666,2,20))&lt;100000000,VALUE(MID($D666,2,20)),1000000000),1000000000))+ROW()/100000,"")</f>
        <v/>
      </c>
    </row>
    <row r="667">
      <c r="F667" s="11" t="n"/>
      <c r="N667" s="7">
        <f>IF($D667="","",M667*V667/100)</f>
        <v/>
      </c>
      <c r="O667" s="7" t="n"/>
      <c r="U667" s="7" t="n"/>
      <c r="V667" s="7" t="n"/>
      <c r="W667" s="7">
        <f>IF($D667="","",V667*AB667/100)</f>
        <v/>
      </c>
      <c r="X667" s="7">
        <f>IF($D667="","",V667-W667)</f>
        <v/>
      </c>
      <c r="Y667" s="7">
        <f>IF($D667="","",X667-N667)</f>
        <v/>
      </c>
      <c r="AB667">
        <f>IF($D667="","",IF($AN667=1,0,IF($AM667=1,Settings!$C$6,Settings!$C$7))*100)</f>
        <v/>
      </c>
      <c r="AF667" s="7" t="n"/>
      <c r="AI667" s="11" t="n"/>
      <c r="AK667">
        <f>IF($D667="","",IF(COUNTIF($D$2:$D667,$D667)=1,1,0))</f>
        <v/>
      </c>
      <c r="AL667">
        <f>IF($AK667=1,SUMPRODUCT(--($AO$2:$AO$1501&lt;$AO667))+1,"")</f>
        <v/>
      </c>
      <c r="AM667">
        <f>IF($D667="","",IF(OR($R667=TRUE(),$R667="TRUE"),1,0))</f>
        <v/>
      </c>
      <c r="AN667">
        <f>IF($D667="","",IF($AA667="Yes",1,0))</f>
        <v/>
      </c>
      <c r="AO667">
        <f>IF($AK667=1,IFERROR(IF(VALUE($D667)&lt;100000000,VALUE($D667),1000000000),IFERROR(IF(VALUE(MID($D667,2,20))&lt;100000000,VALUE(MID($D667,2,20)),1000000000),1000000000))+ROW()/100000,"")</f>
        <v/>
      </c>
    </row>
    <row r="668">
      <c r="F668" s="11" t="n"/>
      <c r="N668" s="7">
        <f>IF($D668="","",M668*V668/100)</f>
        <v/>
      </c>
      <c r="O668" s="7" t="n"/>
      <c r="U668" s="7" t="n"/>
      <c r="V668" s="7" t="n"/>
      <c r="W668" s="7">
        <f>IF($D668="","",V668*AB668/100)</f>
        <v/>
      </c>
      <c r="X668" s="7">
        <f>IF($D668="","",V668-W668)</f>
        <v/>
      </c>
      <c r="Y668" s="7">
        <f>IF($D668="","",X668-N668)</f>
        <v/>
      </c>
      <c r="AB668">
        <f>IF($D668="","",IF($AN668=1,0,IF($AM668=1,Settings!$C$6,Settings!$C$7))*100)</f>
        <v/>
      </c>
      <c r="AF668" s="7" t="n"/>
      <c r="AI668" s="11" t="n"/>
      <c r="AK668">
        <f>IF($D668="","",IF(COUNTIF($D$2:$D668,$D668)=1,1,0))</f>
        <v/>
      </c>
      <c r="AL668">
        <f>IF($AK668=1,SUMPRODUCT(--($AO$2:$AO$1501&lt;$AO668))+1,"")</f>
        <v/>
      </c>
      <c r="AM668">
        <f>IF($D668="","",IF(OR($R668=TRUE(),$R668="TRUE"),1,0))</f>
        <v/>
      </c>
      <c r="AN668">
        <f>IF($D668="","",IF($AA668="Yes",1,0))</f>
        <v/>
      </c>
      <c r="AO668">
        <f>IF($AK668=1,IFERROR(IF(VALUE($D668)&lt;100000000,VALUE($D668),1000000000),IFERROR(IF(VALUE(MID($D668,2,20))&lt;100000000,VALUE(MID($D668,2,20)),1000000000),1000000000))+ROW()/100000,"")</f>
        <v/>
      </c>
    </row>
    <row r="669">
      <c r="F669" s="11" t="n"/>
      <c r="N669" s="7">
        <f>IF($D669="","",M669*V669/100)</f>
        <v/>
      </c>
      <c r="O669" s="7" t="n"/>
      <c r="U669" s="7" t="n"/>
      <c r="V669" s="7" t="n"/>
      <c r="W669" s="7">
        <f>IF($D669="","",V669*AB669/100)</f>
        <v/>
      </c>
      <c r="X669" s="7">
        <f>IF($D669="","",V669-W669)</f>
        <v/>
      </c>
      <c r="Y669" s="7">
        <f>IF($D669="","",X669-N669)</f>
        <v/>
      </c>
      <c r="AB669">
        <f>IF($D669="","",IF($AN669=1,0,IF($AM669=1,Settings!$C$6,Settings!$C$7))*100)</f>
        <v/>
      </c>
      <c r="AF669" s="7" t="n"/>
      <c r="AI669" s="11" t="n"/>
      <c r="AK669">
        <f>IF($D669="","",IF(COUNTIF($D$2:$D669,$D669)=1,1,0))</f>
        <v/>
      </c>
      <c r="AL669">
        <f>IF($AK669=1,SUMPRODUCT(--($AO$2:$AO$1501&lt;$AO669))+1,"")</f>
        <v/>
      </c>
      <c r="AM669">
        <f>IF($D669="","",IF(OR($R669=TRUE(),$R669="TRUE"),1,0))</f>
        <v/>
      </c>
      <c r="AN669">
        <f>IF($D669="","",IF($AA669="Yes",1,0))</f>
        <v/>
      </c>
      <c r="AO669">
        <f>IF($AK669=1,IFERROR(IF(VALUE($D669)&lt;100000000,VALUE($D669),1000000000),IFERROR(IF(VALUE(MID($D669,2,20))&lt;100000000,VALUE(MID($D669,2,20)),1000000000),1000000000))+ROW()/100000,"")</f>
        <v/>
      </c>
    </row>
    <row r="670">
      <c r="F670" s="11" t="n"/>
      <c r="N670" s="7">
        <f>IF($D670="","",M670*V670/100)</f>
        <v/>
      </c>
      <c r="O670" s="7" t="n"/>
      <c r="U670" s="7" t="n"/>
      <c r="V670" s="7" t="n"/>
      <c r="W670" s="7">
        <f>IF($D670="","",V670*AB670/100)</f>
        <v/>
      </c>
      <c r="X670" s="7">
        <f>IF($D670="","",V670-W670)</f>
        <v/>
      </c>
      <c r="Y670" s="7">
        <f>IF($D670="","",X670-N670)</f>
        <v/>
      </c>
      <c r="AB670">
        <f>IF($D670="","",IF($AN670=1,0,IF($AM670=1,Settings!$C$6,Settings!$C$7))*100)</f>
        <v/>
      </c>
      <c r="AF670" s="7" t="n"/>
      <c r="AI670" s="11" t="n"/>
      <c r="AK670">
        <f>IF($D670="","",IF(COUNTIF($D$2:$D670,$D670)=1,1,0))</f>
        <v/>
      </c>
      <c r="AL670">
        <f>IF($AK670=1,SUMPRODUCT(--($AO$2:$AO$1501&lt;$AO670))+1,"")</f>
        <v/>
      </c>
      <c r="AM670">
        <f>IF($D670="","",IF(OR($R670=TRUE(),$R670="TRUE"),1,0))</f>
        <v/>
      </c>
      <c r="AN670">
        <f>IF($D670="","",IF($AA670="Yes",1,0))</f>
        <v/>
      </c>
      <c r="AO670">
        <f>IF($AK670=1,IFERROR(IF(VALUE($D670)&lt;100000000,VALUE($D670),1000000000),IFERROR(IF(VALUE(MID($D670,2,20))&lt;100000000,VALUE(MID($D670,2,20)),1000000000),1000000000))+ROW()/100000,"")</f>
        <v/>
      </c>
    </row>
    <row r="671">
      <c r="F671" s="11" t="n"/>
      <c r="N671" s="7">
        <f>IF($D671="","",M671*V671/100)</f>
        <v/>
      </c>
      <c r="O671" s="7" t="n"/>
      <c r="U671" s="7" t="n"/>
      <c r="V671" s="7" t="n"/>
      <c r="W671" s="7">
        <f>IF($D671="","",V671*AB671/100)</f>
        <v/>
      </c>
      <c r="X671" s="7">
        <f>IF($D671="","",V671-W671)</f>
        <v/>
      </c>
      <c r="Y671" s="7">
        <f>IF($D671="","",X671-N671)</f>
        <v/>
      </c>
      <c r="AB671">
        <f>IF($D671="","",IF($AN671=1,0,IF($AM671=1,Settings!$C$6,Settings!$C$7))*100)</f>
        <v/>
      </c>
      <c r="AF671" s="7" t="n"/>
      <c r="AI671" s="11" t="n"/>
      <c r="AK671">
        <f>IF($D671="","",IF(COUNTIF($D$2:$D671,$D671)=1,1,0))</f>
        <v/>
      </c>
      <c r="AL671">
        <f>IF($AK671=1,SUMPRODUCT(--($AO$2:$AO$1501&lt;$AO671))+1,"")</f>
        <v/>
      </c>
      <c r="AM671">
        <f>IF($D671="","",IF(OR($R671=TRUE(),$R671="TRUE"),1,0))</f>
        <v/>
      </c>
      <c r="AN671">
        <f>IF($D671="","",IF($AA671="Yes",1,0))</f>
        <v/>
      </c>
      <c r="AO671">
        <f>IF($AK671=1,IFERROR(IF(VALUE($D671)&lt;100000000,VALUE($D671),1000000000),IFERROR(IF(VALUE(MID($D671,2,20))&lt;100000000,VALUE(MID($D671,2,20)),1000000000),1000000000))+ROW()/100000,"")</f>
        <v/>
      </c>
    </row>
    <row r="672">
      <c r="F672" s="11" t="n"/>
      <c r="N672" s="7">
        <f>IF($D672="","",M672*V672/100)</f>
        <v/>
      </c>
      <c r="O672" s="7" t="n"/>
      <c r="U672" s="7" t="n"/>
      <c r="V672" s="7" t="n"/>
      <c r="W672" s="7">
        <f>IF($D672="","",V672*AB672/100)</f>
        <v/>
      </c>
      <c r="X672" s="7">
        <f>IF($D672="","",V672-W672)</f>
        <v/>
      </c>
      <c r="Y672" s="7">
        <f>IF($D672="","",X672-N672)</f>
        <v/>
      </c>
      <c r="AB672">
        <f>IF($D672="","",IF($AN672=1,0,IF($AM672=1,Settings!$C$6,Settings!$C$7))*100)</f>
        <v/>
      </c>
      <c r="AF672" s="7" t="n"/>
      <c r="AI672" s="11" t="n"/>
      <c r="AK672">
        <f>IF($D672="","",IF(COUNTIF($D$2:$D672,$D672)=1,1,0))</f>
        <v/>
      </c>
      <c r="AL672">
        <f>IF($AK672=1,SUMPRODUCT(--($AO$2:$AO$1501&lt;$AO672))+1,"")</f>
        <v/>
      </c>
      <c r="AM672">
        <f>IF($D672="","",IF(OR($R672=TRUE(),$R672="TRUE"),1,0))</f>
        <v/>
      </c>
      <c r="AN672">
        <f>IF($D672="","",IF($AA672="Yes",1,0))</f>
        <v/>
      </c>
      <c r="AO672">
        <f>IF($AK672=1,IFERROR(IF(VALUE($D672)&lt;100000000,VALUE($D672),1000000000),IFERROR(IF(VALUE(MID($D672,2,20))&lt;100000000,VALUE(MID($D672,2,20)),1000000000),1000000000))+ROW()/100000,"")</f>
        <v/>
      </c>
    </row>
    <row r="673">
      <c r="F673" s="11" t="n"/>
      <c r="N673" s="7">
        <f>IF($D673="","",M673*V673/100)</f>
        <v/>
      </c>
      <c r="O673" s="7" t="n"/>
      <c r="U673" s="7" t="n"/>
      <c r="V673" s="7" t="n"/>
      <c r="W673" s="7">
        <f>IF($D673="","",V673*AB673/100)</f>
        <v/>
      </c>
      <c r="X673" s="7">
        <f>IF($D673="","",V673-W673)</f>
        <v/>
      </c>
      <c r="Y673" s="7">
        <f>IF($D673="","",X673-N673)</f>
        <v/>
      </c>
      <c r="AB673">
        <f>IF($D673="","",IF($AN673=1,0,IF($AM673=1,Settings!$C$6,Settings!$C$7))*100)</f>
        <v/>
      </c>
      <c r="AF673" s="7" t="n"/>
      <c r="AI673" s="11" t="n"/>
      <c r="AK673">
        <f>IF($D673="","",IF(COUNTIF($D$2:$D673,$D673)=1,1,0))</f>
        <v/>
      </c>
      <c r="AL673">
        <f>IF($AK673=1,SUMPRODUCT(--($AO$2:$AO$1501&lt;$AO673))+1,"")</f>
        <v/>
      </c>
      <c r="AM673">
        <f>IF($D673="","",IF(OR($R673=TRUE(),$R673="TRUE"),1,0))</f>
        <v/>
      </c>
      <c r="AN673">
        <f>IF($D673="","",IF($AA673="Yes",1,0))</f>
        <v/>
      </c>
      <c r="AO673">
        <f>IF($AK673=1,IFERROR(IF(VALUE($D673)&lt;100000000,VALUE($D673),1000000000),IFERROR(IF(VALUE(MID($D673,2,20))&lt;100000000,VALUE(MID($D673,2,20)),1000000000),1000000000))+ROW()/100000,"")</f>
        <v/>
      </c>
    </row>
    <row r="674">
      <c r="F674" s="11" t="n"/>
      <c r="N674" s="7">
        <f>IF($D674="","",M674*V674/100)</f>
        <v/>
      </c>
      <c r="O674" s="7" t="n"/>
      <c r="U674" s="7" t="n"/>
      <c r="V674" s="7" t="n"/>
      <c r="W674" s="7">
        <f>IF($D674="","",V674*AB674/100)</f>
        <v/>
      </c>
      <c r="X674" s="7">
        <f>IF($D674="","",V674-W674)</f>
        <v/>
      </c>
      <c r="Y674" s="7">
        <f>IF($D674="","",X674-N674)</f>
        <v/>
      </c>
      <c r="AB674">
        <f>IF($D674="","",IF($AN674=1,0,IF($AM674=1,Settings!$C$6,Settings!$C$7))*100)</f>
        <v/>
      </c>
      <c r="AF674" s="7" t="n"/>
      <c r="AI674" s="11" t="n"/>
      <c r="AK674">
        <f>IF($D674="","",IF(COUNTIF($D$2:$D674,$D674)=1,1,0))</f>
        <v/>
      </c>
      <c r="AL674">
        <f>IF($AK674=1,SUMPRODUCT(--($AO$2:$AO$1501&lt;$AO674))+1,"")</f>
        <v/>
      </c>
      <c r="AM674">
        <f>IF($D674="","",IF(OR($R674=TRUE(),$R674="TRUE"),1,0))</f>
        <v/>
      </c>
      <c r="AN674">
        <f>IF($D674="","",IF($AA674="Yes",1,0))</f>
        <v/>
      </c>
      <c r="AO674">
        <f>IF($AK674=1,IFERROR(IF(VALUE($D674)&lt;100000000,VALUE($D674),1000000000),IFERROR(IF(VALUE(MID($D674,2,20))&lt;100000000,VALUE(MID($D674,2,20)),1000000000),1000000000))+ROW()/100000,"")</f>
        <v/>
      </c>
    </row>
    <row r="675">
      <c r="F675" s="11" t="n"/>
      <c r="N675" s="7">
        <f>IF($D675="","",M675*V675/100)</f>
        <v/>
      </c>
      <c r="O675" s="7" t="n"/>
      <c r="U675" s="7" t="n"/>
      <c r="V675" s="7" t="n"/>
      <c r="W675" s="7">
        <f>IF($D675="","",V675*AB675/100)</f>
        <v/>
      </c>
      <c r="X675" s="7">
        <f>IF($D675="","",V675-W675)</f>
        <v/>
      </c>
      <c r="Y675" s="7">
        <f>IF($D675="","",X675-N675)</f>
        <v/>
      </c>
      <c r="AB675">
        <f>IF($D675="","",IF($AN675=1,0,IF($AM675=1,Settings!$C$6,Settings!$C$7))*100)</f>
        <v/>
      </c>
      <c r="AF675" s="7" t="n"/>
      <c r="AI675" s="11" t="n"/>
      <c r="AK675">
        <f>IF($D675="","",IF(COUNTIF($D$2:$D675,$D675)=1,1,0))</f>
        <v/>
      </c>
      <c r="AL675">
        <f>IF($AK675=1,SUMPRODUCT(--($AO$2:$AO$1501&lt;$AO675))+1,"")</f>
        <v/>
      </c>
      <c r="AM675">
        <f>IF($D675="","",IF(OR($R675=TRUE(),$R675="TRUE"),1,0))</f>
        <v/>
      </c>
      <c r="AN675">
        <f>IF($D675="","",IF($AA675="Yes",1,0))</f>
        <v/>
      </c>
      <c r="AO675">
        <f>IF($AK675=1,IFERROR(IF(VALUE($D675)&lt;100000000,VALUE($D675),1000000000),IFERROR(IF(VALUE(MID($D675,2,20))&lt;100000000,VALUE(MID($D675,2,20)),1000000000),1000000000))+ROW()/100000,"")</f>
        <v/>
      </c>
    </row>
    <row r="676">
      <c r="F676" s="11" t="n"/>
      <c r="N676" s="7">
        <f>IF($D676="","",M676*V676/100)</f>
        <v/>
      </c>
      <c r="O676" s="7" t="n"/>
      <c r="U676" s="7" t="n"/>
      <c r="V676" s="7" t="n"/>
      <c r="W676" s="7">
        <f>IF($D676="","",V676*AB676/100)</f>
        <v/>
      </c>
      <c r="X676" s="7">
        <f>IF($D676="","",V676-W676)</f>
        <v/>
      </c>
      <c r="Y676" s="7">
        <f>IF($D676="","",X676-N676)</f>
        <v/>
      </c>
      <c r="AB676">
        <f>IF($D676="","",IF($AN676=1,0,IF($AM676=1,Settings!$C$6,Settings!$C$7))*100)</f>
        <v/>
      </c>
      <c r="AF676" s="7" t="n"/>
      <c r="AI676" s="11" t="n"/>
      <c r="AK676">
        <f>IF($D676="","",IF(COUNTIF($D$2:$D676,$D676)=1,1,0))</f>
        <v/>
      </c>
      <c r="AL676">
        <f>IF($AK676=1,SUMPRODUCT(--($AO$2:$AO$1501&lt;$AO676))+1,"")</f>
        <v/>
      </c>
      <c r="AM676">
        <f>IF($D676="","",IF(OR($R676=TRUE(),$R676="TRUE"),1,0))</f>
        <v/>
      </c>
      <c r="AN676">
        <f>IF($D676="","",IF($AA676="Yes",1,0))</f>
        <v/>
      </c>
      <c r="AO676">
        <f>IF($AK676=1,IFERROR(IF(VALUE($D676)&lt;100000000,VALUE($D676),1000000000),IFERROR(IF(VALUE(MID($D676,2,20))&lt;100000000,VALUE(MID($D676,2,20)),1000000000),1000000000))+ROW()/100000,"")</f>
        <v/>
      </c>
    </row>
    <row r="677">
      <c r="F677" s="11" t="n"/>
      <c r="N677" s="7">
        <f>IF($D677="","",M677*V677/100)</f>
        <v/>
      </c>
      <c r="O677" s="7" t="n"/>
      <c r="U677" s="7" t="n"/>
      <c r="V677" s="7" t="n"/>
      <c r="W677" s="7">
        <f>IF($D677="","",V677*AB677/100)</f>
        <v/>
      </c>
      <c r="X677" s="7">
        <f>IF($D677="","",V677-W677)</f>
        <v/>
      </c>
      <c r="Y677" s="7">
        <f>IF($D677="","",X677-N677)</f>
        <v/>
      </c>
      <c r="AB677">
        <f>IF($D677="","",IF($AN677=1,0,IF($AM677=1,Settings!$C$6,Settings!$C$7))*100)</f>
        <v/>
      </c>
      <c r="AF677" s="7" t="n"/>
      <c r="AI677" s="11" t="n"/>
      <c r="AK677">
        <f>IF($D677="","",IF(COUNTIF($D$2:$D677,$D677)=1,1,0))</f>
        <v/>
      </c>
      <c r="AL677">
        <f>IF($AK677=1,SUMPRODUCT(--($AO$2:$AO$1501&lt;$AO677))+1,"")</f>
        <v/>
      </c>
      <c r="AM677">
        <f>IF($D677="","",IF(OR($R677=TRUE(),$R677="TRUE"),1,0))</f>
        <v/>
      </c>
      <c r="AN677">
        <f>IF($D677="","",IF($AA677="Yes",1,0))</f>
        <v/>
      </c>
      <c r="AO677">
        <f>IF($AK677=1,IFERROR(IF(VALUE($D677)&lt;100000000,VALUE($D677),1000000000),IFERROR(IF(VALUE(MID($D677,2,20))&lt;100000000,VALUE(MID($D677,2,20)),1000000000),1000000000))+ROW()/100000,"")</f>
        <v/>
      </c>
    </row>
    <row r="678">
      <c r="F678" s="11" t="n"/>
      <c r="N678" s="7">
        <f>IF($D678="","",M678*V678/100)</f>
        <v/>
      </c>
      <c r="O678" s="7" t="n"/>
      <c r="U678" s="7" t="n"/>
      <c r="V678" s="7" t="n"/>
      <c r="W678" s="7">
        <f>IF($D678="","",V678*AB678/100)</f>
        <v/>
      </c>
      <c r="X678" s="7">
        <f>IF($D678="","",V678-W678)</f>
        <v/>
      </c>
      <c r="Y678" s="7">
        <f>IF($D678="","",X678-N678)</f>
        <v/>
      </c>
      <c r="AB678">
        <f>IF($D678="","",IF($AN678=1,0,IF($AM678=1,Settings!$C$6,Settings!$C$7))*100)</f>
        <v/>
      </c>
      <c r="AF678" s="7" t="n"/>
      <c r="AI678" s="11" t="n"/>
      <c r="AK678">
        <f>IF($D678="","",IF(COUNTIF($D$2:$D678,$D678)=1,1,0))</f>
        <v/>
      </c>
      <c r="AL678">
        <f>IF($AK678=1,SUMPRODUCT(--($AO$2:$AO$1501&lt;$AO678))+1,"")</f>
        <v/>
      </c>
      <c r="AM678">
        <f>IF($D678="","",IF(OR($R678=TRUE(),$R678="TRUE"),1,0))</f>
        <v/>
      </c>
      <c r="AN678">
        <f>IF($D678="","",IF($AA678="Yes",1,0))</f>
        <v/>
      </c>
      <c r="AO678">
        <f>IF($AK678=1,IFERROR(IF(VALUE($D678)&lt;100000000,VALUE($D678),1000000000),IFERROR(IF(VALUE(MID($D678,2,20))&lt;100000000,VALUE(MID($D678,2,20)),1000000000),1000000000))+ROW()/100000,"")</f>
        <v/>
      </c>
    </row>
    <row r="679">
      <c r="F679" s="11" t="n"/>
      <c r="N679" s="7">
        <f>IF($D679="","",M679*V679/100)</f>
        <v/>
      </c>
      <c r="O679" s="7" t="n"/>
      <c r="U679" s="7" t="n"/>
      <c r="V679" s="7" t="n"/>
      <c r="W679" s="7">
        <f>IF($D679="","",V679*AB679/100)</f>
        <v/>
      </c>
      <c r="X679" s="7">
        <f>IF($D679="","",V679-W679)</f>
        <v/>
      </c>
      <c r="Y679" s="7">
        <f>IF($D679="","",X679-N679)</f>
        <v/>
      </c>
      <c r="AB679">
        <f>IF($D679="","",IF($AN679=1,0,IF($AM679=1,Settings!$C$6,Settings!$C$7))*100)</f>
        <v/>
      </c>
      <c r="AF679" s="7" t="n"/>
      <c r="AI679" s="11" t="n"/>
      <c r="AK679">
        <f>IF($D679="","",IF(COUNTIF($D$2:$D679,$D679)=1,1,0))</f>
        <v/>
      </c>
      <c r="AL679">
        <f>IF($AK679=1,SUMPRODUCT(--($AO$2:$AO$1501&lt;$AO679))+1,"")</f>
        <v/>
      </c>
      <c r="AM679">
        <f>IF($D679="","",IF(OR($R679=TRUE(),$R679="TRUE"),1,0))</f>
        <v/>
      </c>
      <c r="AN679">
        <f>IF($D679="","",IF($AA679="Yes",1,0))</f>
        <v/>
      </c>
      <c r="AO679">
        <f>IF($AK679=1,IFERROR(IF(VALUE($D679)&lt;100000000,VALUE($D679),1000000000),IFERROR(IF(VALUE(MID($D679,2,20))&lt;100000000,VALUE(MID($D679,2,20)),1000000000),1000000000))+ROW()/100000,"")</f>
        <v/>
      </c>
    </row>
    <row r="680">
      <c r="F680" s="11" t="n"/>
      <c r="N680" s="7">
        <f>IF($D680="","",M680*V680/100)</f>
        <v/>
      </c>
      <c r="O680" s="7" t="n"/>
      <c r="U680" s="7" t="n"/>
      <c r="V680" s="7" t="n"/>
      <c r="W680" s="7">
        <f>IF($D680="","",V680*AB680/100)</f>
        <v/>
      </c>
      <c r="X680" s="7">
        <f>IF($D680="","",V680-W680)</f>
        <v/>
      </c>
      <c r="Y680" s="7">
        <f>IF($D680="","",X680-N680)</f>
        <v/>
      </c>
      <c r="AB680">
        <f>IF($D680="","",IF($AN680=1,0,IF($AM680=1,Settings!$C$6,Settings!$C$7))*100)</f>
        <v/>
      </c>
      <c r="AF680" s="7" t="n"/>
      <c r="AI680" s="11" t="n"/>
      <c r="AK680">
        <f>IF($D680="","",IF(COUNTIF($D$2:$D680,$D680)=1,1,0))</f>
        <v/>
      </c>
      <c r="AL680">
        <f>IF($AK680=1,SUMPRODUCT(--($AO$2:$AO$1501&lt;$AO680))+1,"")</f>
        <v/>
      </c>
      <c r="AM680">
        <f>IF($D680="","",IF(OR($R680=TRUE(),$R680="TRUE"),1,0))</f>
        <v/>
      </c>
      <c r="AN680">
        <f>IF($D680="","",IF($AA680="Yes",1,0))</f>
        <v/>
      </c>
      <c r="AO680">
        <f>IF($AK680=1,IFERROR(IF(VALUE($D680)&lt;100000000,VALUE($D680),1000000000),IFERROR(IF(VALUE(MID($D680,2,20))&lt;100000000,VALUE(MID($D680,2,20)),1000000000),1000000000))+ROW()/100000,"")</f>
        <v/>
      </c>
    </row>
    <row r="681">
      <c r="F681" s="11" t="n"/>
      <c r="N681" s="7">
        <f>IF($D681="","",M681*V681/100)</f>
        <v/>
      </c>
      <c r="O681" s="7" t="n"/>
      <c r="U681" s="7" t="n"/>
      <c r="V681" s="7" t="n"/>
      <c r="W681" s="7">
        <f>IF($D681="","",V681*AB681/100)</f>
        <v/>
      </c>
      <c r="X681" s="7">
        <f>IF($D681="","",V681-W681)</f>
        <v/>
      </c>
      <c r="Y681" s="7">
        <f>IF($D681="","",X681-N681)</f>
        <v/>
      </c>
      <c r="AB681">
        <f>IF($D681="","",IF($AN681=1,0,IF($AM681=1,Settings!$C$6,Settings!$C$7))*100)</f>
        <v/>
      </c>
      <c r="AF681" s="7" t="n"/>
      <c r="AI681" s="11" t="n"/>
      <c r="AK681">
        <f>IF($D681="","",IF(COUNTIF($D$2:$D681,$D681)=1,1,0))</f>
        <v/>
      </c>
      <c r="AL681">
        <f>IF($AK681=1,SUMPRODUCT(--($AO$2:$AO$1501&lt;$AO681))+1,"")</f>
        <v/>
      </c>
      <c r="AM681">
        <f>IF($D681="","",IF(OR($R681=TRUE(),$R681="TRUE"),1,0))</f>
        <v/>
      </c>
      <c r="AN681">
        <f>IF($D681="","",IF($AA681="Yes",1,0))</f>
        <v/>
      </c>
      <c r="AO681">
        <f>IF($AK681=1,IFERROR(IF(VALUE($D681)&lt;100000000,VALUE($D681),1000000000),IFERROR(IF(VALUE(MID($D681,2,20))&lt;100000000,VALUE(MID($D681,2,20)),1000000000),1000000000))+ROW()/100000,"")</f>
        <v/>
      </c>
    </row>
    <row r="682">
      <c r="F682" s="11" t="n"/>
      <c r="N682" s="7">
        <f>IF($D682="","",M682*V682/100)</f>
        <v/>
      </c>
      <c r="O682" s="7" t="n"/>
      <c r="U682" s="7" t="n"/>
      <c r="V682" s="7" t="n"/>
      <c r="W682" s="7">
        <f>IF($D682="","",V682*AB682/100)</f>
        <v/>
      </c>
      <c r="X682" s="7">
        <f>IF($D682="","",V682-W682)</f>
        <v/>
      </c>
      <c r="Y682" s="7">
        <f>IF($D682="","",X682-N682)</f>
        <v/>
      </c>
      <c r="AB682">
        <f>IF($D682="","",IF($AN682=1,0,IF($AM682=1,Settings!$C$6,Settings!$C$7))*100)</f>
        <v/>
      </c>
      <c r="AF682" s="7" t="n"/>
      <c r="AI682" s="11" t="n"/>
      <c r="AK682">
        <f>IF($D682="","",IF(COUNTIF($D$2:$D682,$D682)=1,1,0))</f>
        <v/>
      </c>
      <c r="AL682">
        <f>IF($AK682=1,SUMPRODUCT(--($AO$2:$AO$1501&lt;$AO682))+1,"")</f>
        <v/>
      </c>
      <c r="AM682">
        <f>IF($D682="","",IF(OR($R682=TRUE(),$R682="TRUE"),1,0))</f>
        <v/>
      </c>
      <c r="AN682">
        <f>IF($D682="","",IF($AA682="Yes",1,0))</f>
        <v/>
      </c>
      <c r="AO682">
        <f>IF($AK682=1,IFERROR(IF(VALUE($D682)&lt;100000000,VALUE($D682),1000000000),IFERROR(IF(VALUE(MID($D682,2,20))&lt;100000000,VALUE(MID($D682,2,20)),1000000000),1000000000))+ROW()/100000,"")</f>
        <v/>
      </c>
    </row>
    <row r="683">
      <c r="F683" s="11" t="n"/>
      <c r="N683" s="7">
        <f>IF($D683="","",M683*V683/100)</f>
        <v/>
      </c>
      <c r="O683" s="7" t="n"/>
      <c r="U683" s="7" t="n"/>
      <c r="V683" s="7" t="n"/>
      <c r="W683" s="7">
        <f>IF($D683="","",V683*AB683/100)</f>
        <v/>
      </c>
      <c r="X683" s="7">
        <f>IF($D683="","",V683-W683)</f>
        <v/>
      </c>
      <c r="Y683" s="7">
        <f>IF($D683="","",X683-N683)</f>
        <v/>
      </c>
      <c r="AB683">
        <f>IF($D683="","",IF($AN683=1,0,IF($AM683=1,Settings!$C$6,Settings!$C$7))*100)</f>
        <v/>
      </c>
      <c r="AF683" s="7" t="n"/>
      <c r="AI683" s="11" t="n"/>
      <c r="AK683">
        <f>IF($D683="","",IF(COUNTIF($D$2:$D683,$D683)=1,1,0))</f>
        <v/>
      </c>
      <c r="AL683">
        <f>IF($AK683=1,SUMPRODUCT(--($AO$2:$AO$1501&lt;$AO683))+1,"")</f>
        <v/>
      </c>
      <c r="AM683">
        <f>IF($D683="","",IF(OR($R683=TRUE(),$R683="TRUE"),1,0))</f>
        <v/>
      </c>
      <c r="AN683">
        <f>IF($D683="","",IF($AA683="Yes",1,0))</f>
        <v/>
      </c>
      <c r="AO683">
        <f>IF($AK683=1,IFERROR(IF(VALUE($D683)&lt;100000000,VALUE($D683),1000000000),IFERROR(IF(VALUE(MID($D683,2,20))&lt;100000000,VALUE(MID($D683,2,20)),1000000000),1000000000))+ROW()/100000,"")</f>
        <v/>
      </c>
    </row>
    <row r="684">
      <c r="F684" s="11" t="n"/>
      <c r="N684" s="7">
        <f>IF($D684="","",M684*V684/100)</f>
        <v/>
      </c>
      <c r="O684" s="7" t="n"/>
      <c r="U684" s="7" t="n"/>
      <c r="V684" s="7" t="n"/>
      <c r="W684" s="7">
        <f>IF($D684="","",V684*AB684/100)</f>
        <v/>
      </c>
      <c r="X684" s="7">
        <f>IF($D684="","",V684-W684)</f>
        <v/>
      </c>
      <c r="Y684" s="7">
        <f>IF($D684="","",X684-N684)</f>
        <v/>
      </c>
      <c r="AB684">
        <f>IF($D684="","",IF($AN684=1,0,IF($AM684=1,Settings!$C$6,Settings!$C$7))*100)</f>
        <v/>
      </c>
      <c r="AF684" s="7" t="n"/>
      <c r="AI684" s="11" t="n"/>
      <c r="AK684">
        <f>IF($D684="","",IF(COUNTIF($D$2:$D684,$D684)=1,1,0))</f>
        <v/>
      </c>
      <c r="AL684">
        <f>IF($AK684=1,SUMPRODUCT(--($AO$2:$AO$1501&lt;$AO684))+1,"")</f>
        <v/>
      </c>
      <c r="AM684">
        <f>IF($D684="","",IF(OR($R684=TRUE(),$R684="TRUE"),1,0))</f>
        <v/>
      </c>
      <c r="AN684">
        <f>IF($D684="","",IF($AA684="Yes",1,0))</f>
        <v/>
      </c>
      <c r="AO684">
        <f>IF($AK684=1,IFERROR(IF(VALUE($D684)&lt;100000000,VALUE($D684),1000000000),IFERROR(IF(VALUE(MID($D684,2,20))&lt;100000000,VALUE(MID($D684,2,20)),1000000000),1000000000))+ROW()/100000,"")</f>
        <v/>
      </c>
    </row>
    <row r="685">
      <c r="F685" s="11" t="n"/>
      <c r="N685" s="7">
        <f>IF($D685="","",M685*V685/100)</f>
        <v/>
      </c>
      <c r="O685" s="7" t="n"/>
      <c r="U685" s="7" t="n"/>
      <c r="V685" s="7" t="n"/>
      <c r="W685" s="7">
        <f>IF($D685="","",V685*AB685/100)</f>
        <v/>
      </c>
      <c r="X685" s="7">
        <f>IF($D685="","",V685-W685)</f>
        <v/>
      </c>
      <c r="Y685" s="7">
        <f>IF($D685="","",X685-N685)</f>
        <v/>
      </c>
      <c r="AB685">
        <f>IF($D685="","",IF($AN685=1,0,IF($AM685=1,Settings!$C$6,Settings!$C$7))*100)</f>
        <v/>
      </c>
      <c r="AF685" s="7" t="n"/>
      <c r="AI685" s="11" t="n"/>
      <c r="AK685">
        <f>IF($D685="","",IF(COUNTIF($D$2:$D685,$D685)=1,1,0))</f>
        <v/>
      </c>
      <c r="AL685">
        <f>IF($AK685=1,SUMPRODUCT(--($AO$2:$AO$1501&lt;$AO685))+1,"")</f>
        <v/>
      </c>
      <c r="AM685">
        <f>IF($D685="","",IF(OR($R685=TRUE(),$R685="TRUE"),1,0))</f>
        <v/>
      </c>
      <c r="AN685">
        <f>IF($D685="","",IF($AA685="Yes",1,0))</f>
        <v/>
      </c>
      <c r="AO685">
        <f>IF($AK685=1,IFERROR(IF(VALUE($D685)&lt;100000000,VALUE($D685),1000000000),IFERROR(IF(VALUE(MID($D685,2,20))&lt;100000000,VALUE(MID($D685,2,20)),1000000000),1000000000))+ROW()/100000,"")</f>
        <v/>
      </c>
    </row>
    <row r="686">
      <c r="F686" s="11" t="n"/>
      <c r="N686" s="7">
        <f>IF($D686="","",M686*V686/100)</f>
        <v/>
      </c>
      <c r="O686" s="7" t="n"/>
      <c r="U686" s="7" t="n"/>
      <c r="V686" s="7" t="n"/>
      <c r="W686" s="7">
        <f>IF($D686="","",V686*AB686/100)</f>
        <v/>
      </c>
      <c r="X686" s="7">
        <f>IF($D686="","",V686-W686)</f>
        <v/>
      </c>
      <c r="Y686" s="7">
        <f>IF($D686="","",X686-N686)</f>
        <v/>
      </c>
      <c r="AB686">
        <f>IF($D686="","",IF($AN686=1,0,IF($AM686=1,Settings!$C$6,Settings!$C$7))*100)</f>
        <v/>
      </c>
      <c r="AF686" s="7" t="n"/>
      <c r="AI686" s="11" t="n"/>
      <c r="AK686">
        <f>IF($D686="","",IF(COUNTIF($D$2:$D686,$D686)=1,1,0))</f>
        <v/>
      </c>
      <c r="AL686">
        <f>IF($AK686=1,SUMPRODUCT(--($AO$2:$AO$1501&lt;$AO686))+1,"")</f>
        <v/>
      </c>
      <c r="AM686">
        <f>IF($D686="","",IF(OR($R686=TRUE(),$R686="TRUE"),1,0))</f>
        <v/>
      </c>
      <c r="AN686">
        <f>IF($D686="","",IF($AA686="Yes",1,0))</f>
        <v/>
      </c>
      <c r="AO686">
        <f>IF($AK686=1,IFERROR(IF(VALUE($D686)&lt;100000000,VALUE($D686),1000000000),IFERROR(IF(VALUE(MID($D686,2,20))&lt;100000000,VALUE(MID($D686,2,20)),1000000000),1000000000))+ROW()/100000,"")</f>
        <v/>
      </c>
    </row>
    <row r="687">
      <c r="F687" s="11" t="n"/>
      <c r="N687" s="7">
        <f>IF($D687="","",M687*V687/100)</f>
        <v/>
      </c>
      <c r="O687" s="7" t="n"/>
      <c r="U687" s="7" t="n"/>
      <c r="V687" s="7" t="n"/>
      <c r="W687" s="7">
        <f>IF($D687="","",V687*AB687/100)</f>
        <v/>
      </c>
      <c r="X687" s="7">
        <f>IF($D687="","",V687-W687)</f>
        <v/>
      </c>
      <c r="Y687" s="7">
        <f>IF($D687="","",X687-N687)</f>
        <v/>
      </c>
      <c r="AB687">
        <f>IF($D687="","",IF($AN687=1,0,IF($AM687=1,Settings!$C$6,Settings!$C$7))*100)</f>
        <v/>
      </c>
      <c r="AF687" s="7" t="n"/>
      <c r="AI687" s="11" t="n"/>
      <c r="AK687">
        <f>IF($D687="","",IF(COUNTIF($D$2:$D687,$D687)=1,1,0))</f>
        <v/>
      </c>
      <c r="AL687">
        <f>IF($AK687=1,SUMPRODUCT(--($AO$2:$AO$1501&lt;$AO687))+1,"")</f>
        <v/>
      </c>
      <c r="AM687">
        <f>IF($D687="","",IF(OR($R687=TRUE(),$R687="TRUE"),1,0))</f>
        <v/>
      </c>
      <c r="AN687">
        <f>IF($D687="","",IF($AA687="Yes",1,0))</f>
        <v/>
      </c>
      <c r="AO687">
        <f>IF($AK687=1,IFERROR(IF(VALUE($D687)&lt;100000000,VALUE($D687),1000000000),IFERROR(IF(VALUE(MID($D687,2,20))&lt;100000000,VALUE(MID($D687,2,20)),1000000000),1000000000))+ROW()/100000,"")</f>
        <v/>
      </c>
    </row>
    <row r="688">
      <c r="F688" s="11" t="n"/>
      <c r="N688" s="7">
        <f>IF($D688="","",M688*V688/100)</f>
        <v/>
      </c>
      <c r="O688" s="7" t="n"/>
      <c r="U688" s="7" t="n"/>
      <c r="V688" s="7" t="n"/>
      <c r="W688" s="7">
        <f>IF($D688="","",V688*AB688/100)</f>
        <v/>
      </c>
      <c r="X688" s="7">
        <f>IF($D688="","",V688-W688)</f>
        <v/>
      </c>
      <c r="Y688" s="7">
        <f>IF($D688="","",X688-N688)</f>
        <v/>
      </c>
      <c r="AB688">
        <f>IF($D688="","",IF($AN688=1,0,IF($AM688=1,Settings!$C$6,Settings!$C$7))*100)</f>
        <v/>
      </c>
      <c r="AF688" s="7" t="n"/>
      <c r="AI688" s="11" t="n"/>
      <c r="AK688">
        <f>IF($D688="","",IF(COUNTIF($D$2:$D688,$D688)=1,1,0))</f>
        <v/>
      </c>
      <c r="AL688">
        <f>IF($AK688=1,SUMPRODUCT(--($AO$2:$AO$1501&lt;$AO688))+1,"")</f>
        <v/>
      </c>
      <c r="AM688">
        <f>IF($D688="","",IF(OR($R688=TRUE(),$R688="TRUE"),1,0))</f>
        <v/>
      </c>
      <c r="AN688">
        <f>IF($D688="","",IF($AA688="Yes",1,0))</f>
        <v/>
      </c>
      <c r="AO688">
        <f>IF($AK688=1,IFERROR(IF(VALUE($D688)&lt;100000000,VALUE($D688),1000000000),IFERROR(IF(VALUE(MID($D688,2,20))&lt;100000000,VALUE(MID($D688,2,20)),1000000000),1000000000))+ROW()/100000,"")</f>
        <v/>
      </c>
    </row>
    <row r="689">
      <c r="F689" s="11" t="n"/>
      <c r="N689" s="7">
        <f>IF($D689="","",M689*V689/100)</f>
        <v/>
      </c>
      <c r="O689" s="7" t="n"/>
      <c r="U689" s="7" t="n"/>
      <c r="V689" s="7" t="n"/>
      <c r="W689" s="7">
        <f>IF($D689="","",V689*AB689/100)</f>
        <v/>
      </c>
      <c r="X689" s="7">
        <f>IF($D689="","",V689-W689)</f>
        <v/>
      </c>
      <c r="Y689" s="7">
        <f>IF($D689="","",X689-N689)</f>
        <v/>
      </c>
      <c r="AB689">
        <f>IF($D689="","",IF($AN689=1,0,IF($AM689=1,Settings!$C$6,Settings!$C$7))*100)</f>
        <v/>
      </c>
      <c r="AF689" s="7" t="n"/>
      <c r="AI689" s="11" t="n"/>
      <c r="AK689">
        <f>IF($D689="","",IF(COUNTIF($D$2:$D689,$D689)=1,1,0))</f>
        <v/>
      </c>
      <c r="AL689">
        <f>IF($AK689=1,SUMPRODUCT(--($AO$2:$AO$1501&lt;$AO689))+1,"")</f>
        <v/>
      </c>
      <c r="AM689">
        <f>IF($D689="","",IF(OR($R689=TRUE(),$R689="TRUE"),1,0))</f>
        <v/>
      </c>
      <c r="AN689">
        <f>IF($D689="","",IF($AA689="Yes",1,0))</f>
        <v/>
      </c>
      <c r="AO689">
        <f>IF($AK689=1,IFERROR(IF(VALUE($D689)&lt;100000000,VALUE($D689),1000000000),IFERROR(IF(VALUE(MID($D689,2,20))&lt;100000000,VALUE(MID($D689,2,20)),1000000000),1000000000))+ROW()/100000,"")</f>
        <v/>
      </c>
    </row>
    <row r="690">
      <c r="F690" s="11" t="n"/>
      <c r="N690" s="7">
        <f>IF($D690="","",M690*V690/100)</f>
        <v/>
      </c>
      <c r="O690" s="7" t="n"/>
      <c r="U690" s="7" t="n"/>
      <c r="V690" s="7" t="n"/>
      <c r="W690" s="7">
        <f>IF($D690="","",V690*AB690/100)</f>
        <v/>
      </c>
      <c r="X690" s="7">
        <f>IF($D690="","",V690-W690)</f>
        <v/>
      </c>
      <c r="Y690" s="7">
        <f>IF($D690="","",X690-N690)</f>
        <v/>
      </c>
      <c r="AB690">
        <f>IF($D690="","",IF($AN690=1,0,IF($AM690=1,Settings!$C$6,Settings!$C$7))*100)</f>
        <v/>
      </c>
      <c r="AF690" s="7" t="n"/>
      <c r="AI690" s="11" t="n"/>
      <c r="AK690">
        <f>IF($D690="","",IF(COUNTIF($D$2:$D690,$D690)=1,1,0))</f>
        <v/>
      </c>
      <c r="AL690">
        <f>IF($AK690=1,SUMPRODUCT(--($AO$2:$AO$1501&lt;$AO690))+1,"")</f>
        <v/>
      </c>
      <c r="AM690">
        <f>IF($D690="","",IF(OR($R690=TRUE(),$R690="TRUE"),1,0))</f>
        <v/>
      </c>
      <c r="AN690">
        <f>IF($D690="","",IF($AA690="Yes",1,0))</f>
        <v/>
      </c>
      <c r="AO690">
        <f>IF($AK690=1,IFERROR(IF(VALUE($D690)&lt;100000000,VALUE($D690),1000000000),IFERROR(IF(VALUE(MID($D690,2,20))&lt;100000000,VALUE(MID($D690,2,20)),1000000000),1000000000))+ROW()/100000,"")</f>
        <v/>
      </c>
    </row>
    <row r="691">
      <c r="F691" s="11" t="n"/>
      <c r="N691" s="7">
        <f>IF($D691="","",M691*V691/100)</f>
        <v/>
      </c>
      <c r="O691" s="7" t="n"/>
      <c r="U691" s="7" t="n"/>
      <c r="V691" s="7" t="n"/>
      <c r="W691" s="7">
        <f>IF($D691="","",V691*AB691/100)</f>
        <v/>
      </c>
      <c r="X691" s="7">
        <f>IF($D691="","",V691-W691)</f>
        <v/>
      </c>
      <c r="Y691" s="7">
        <f>IF($D691="","",X691-N691)</f>
        <v/>
      </c>
      <c r="AB691">
        <f>IF($D691="","",IF($AN691=1,0,IF($AM691=1,Settings!$C$6,Settings!$C$7))*100)</f>
        <v/>
      </c>
      <c r="AF691" s="7" t="n"/>
      <c r="AI691" s="11" t="n"/>
      <c r="AK691">
        <f>IF($D691="","",IF(COUNTIF($D$2:$D691,$D691)=1,1,0))</f>
        <v/>
      </c>
      <c r="AL691">
        <f>IF($AK691=1,SUMPRODUCT(--($AO$2:$AO$1501&lt;$AO691))+1,"")</f>
        <v/>
      </c>
      <c r="AM691">
        <f>IF($D691="","",IF(OR($R691=TRUE(),$R691="TRUE"),1,0))</f>
        <v/>
      </c>
      <c r="AN691">
        <f>IF($D691="","",IF($AA691="Yes",1,0))</f>
        <v/>
      </c>
      <c r="AO691">
        <f>IF($AK691=1,IFERROR(IF(VALUE($D691)&lt;100000000,VALUE($D691),1000000000),IFERROR(IF(VALUE(MID($D691,2,20))&lt;100000000,VALUE(MID($D691,2,20)),1000000000),1000000000))+ROW()/100000,"")</f>
        <v/>
      </c>
    </row>
    <row r="692">
      <c r="F692" s="11" t="n"/>
      <c r="N692" s="7">
        <f>IF($D692="","",M692*V692/100)</f>
        <v/>
      </c>
      <c r="O692" s="7" t="n"/>
      <c r="U692" s="7" t="n"/>
      <c r="V692" s="7" t="n"/>
      <c r="W692" s="7">
        <f>IF($D692="","",V692*AB692/100)</f>
        <v/>
      </c>
      <c r="X692" s="7">
        <f>IF($D692="","",V692-W692)</f>
        <v/>
      </c>
      <c r="Y692" s="7">
        <f>IF($D692="","",X692-N692)</f>
        <v/>
      </c>
      <c r="AB692">
        <f>IF($D692="","",IF($AN692=1,0,IF($AM692=1,Settings!$C$6,Settings!$C$7))*100)</f>
        <v/>
      </c>
      <c r="AF692" s="7" t="n"/>
      <c r="AI692" s="11" t="n"/>
      <c r="AK692">
        <f>IF($D692="","",IF(COUNTIF($D$2:$D692,$D692)=1,1,0))</f>
        <v/>
      </c>
      <c r="AL692">
        <f>IF($AK692=1,SUMPRODUCT(--($AO$2:$AO$1501&lt;$AO692))+1,"")</f>
        <v/>
      </c>
      <c r="AM692">
        <f>IF($D692="","",IF(OR($R692=TRUE(),$R692="TRUE"),1,0))</f>
        <v/>
      </c>
      <c r="AN692">
        <f>IF($D692="","",IF($AA692="Yes",1,0))</f>
        <v/>
      </c>
      <c r="AO692">
        <f>IF($AK692=1,IFERROR(IF(VALUE($D692)&lt;100000000,VALUE($D692),1000000000),IFERROR(IF(VALUE(MID($D692,2,20))&lt;100000000,VALUE(MID($D692,2,20)),1000000000),1000000000))+ROW()/100000,"")</f>
        <v/>
      </c>
    </row>
    <row r="693">
      <c r="F693" s="11" t="n"/>
      <c r="N693" s="7">
        <f>IF($D693="","",M693*V693/100)</f>
        <v/>
      </c>
      <c r="O693" s="7" t="n"/>
      <c r="U693" s="7" t="n"/>
      <c r="V693" s="7" t="n"/>
      <c r="W693" s="7">
        <f>IF($D693="","",V693*AB693/100)</f>
        <v/>
      </c>
      <c r="X693" s="7">
        <f>IF($D693="","",V693-W693)</f>
        <v/>
      </c>
      <c r="Y693" s="7">
        <f>IF($D693="","",X693-N693)</f>
        <v/>
      </c>
      <c r="AB693">
        <f>IF($D693="","",IF($AN693=1,0,IF($AM693=1,Settings!$C$6,Settings!$C$7))*100)</f>
        <v/>
      </c>
      <c r="AF693" s="7" t="n"/>
      <c r="AI693" s="11" t="n"/>
      <c r="AK693">
        <f>IF($D693="","",IF(COUNTIF($D$2:$D693,$D693)=1,1,0))</f>
        <v/>
      </c>
      <c r="AL693">
        <f>IF($AK693=1,SUMPRODUCT(--($AO$2:$AO$1501&lt;$AO693))+1,"")</f>
        <v/>
      </c>
      <c r="AM693">
        <f>IF($D693="","",IF(OR($R693=TRUE(),$R693="TRUE"),1,0))</f>
        <v/>
      </c>
      <c r="AN693">
        <f>IF($D693="","",IF($AA693="Yes",1,0))</f>
        <v/>
      </c>
      <c r="AO693">
        <f>IF($AK693=1,IFERROR(IF(VALUE($D693)&lt;100000000,VALUE($D693),1000000000),IFERROR(IF(VALUE(MID($D693,2,20))&lt;100000000,VALUE(MID($D693,2,20)),1000000000),1000000000))+ROW()/100000,"")</f>
        <v/>
      </c>
    </row>
    <row r="694">
      <c r="F694" s="11" t="n"/>
      <c r="N694" s="7">
        <f>IF($D694="","",M694*V694/100)</f>
        <v/>
      </c>
      <c r="O694" s="7" t="n"/>
      <c r="U694" s="7" t="n"/>
      <c r="V694" s="7" t="n"/>
      <c r="W694" s="7">
        <f>IF($D694="","",V694*AB694/100)</f>
        <v/>
      </c>
      <c r="X694" s="7">
        <f>IF($D694="","",V694-W694)</f>
        <v/>
      </c>
      <c r="Y694" s="7">
        <f>IF($D694="","",X694-N694)</f>
        <v/>
      </c>
      <c r="AB694">
        <f>IF($D694="","",IF($AN694=1,0,IF($AM694=1,Settings!$C$6,Settings!$C$7))*100)</f>
        <v/>
      </c>
      <c r="AF694" s="7" t="n"/>
      <c r="AI694" s="11" t="n"/>
      <c r="AK694">
        <f>IF($D694="","",IF(COUNTIF($D$2:$D694,$D694)=1,1,0))</f>
        <v/>
      </c>
      <c r="AL694">
        <f>IF($AK694=1,SUMPRODUCT(--($AO$2:$AO$1501&lt;$AO694))+1,"")</f>
        <v/>
      </c>
      <c r="AM694">
        <f>IF($D694="","",IF(OR($R694=TRUE(),$R694="TRUE"),1,0))</f>
        <v/>
      </c>
      <c r="AN694">
        <f>IF($D694="","",IF($AA694="Yes",1,0))</f>
        <v/>
      </c>
      <c r="AO694">
        <f>IF($AK694=1,IFERROR(IF(VALUE($D694)&lt;100000000,VALUE($D694),1000000000),IFERROR(IF(VALUE(MID($D694,2,20))&lt;100000000,VALUE(MID($D694,2,20)),1000000000),1000000000))+ROW()/100000,"")</f>
        <v/>
      </c>
    </row>
    <row r="695">
      <c r="F695" s="11" t="n"/>
      <c r="N695" s="7">
        <f>IF($D695="","",M695*V695/100)</f>
        <v/>
      </c>
      <c r="O695" s="7" t="n"/>
      <c r="U695" s="7" t="n"/>
      <c r="V695" s="7" t="n"/>
      <c r="W695" s="7">
        <f>IF($D695="","",V695*AB695/100)</f>
        <v/>
      </c>
      <c r="X695" s="7">
        <f>IF($D695="","",V695-W695)</f>
        <v/>
      </c>
      <c r="Y695" s="7">
        <f>IF($D695="","",X695-N695)</f>
        <v/>
      </c>
      <c r="AB695">
        <f>IF($D695="","",IF($AN695=1,0,IF($AM695=1,Settings!$C$6,Settings!$C$7))*100)</f>
        <v/>
      </c>
      <c r="AF695" s="7" t="n"/>
      <c r="AI695" s="11" t="n"/>
      <c r="AK695">
        <f>IF($D695="","",IF(COUNTIF($D$2:$D695,$D695)=1,1,0))</f>
        <v/>
      </c>
      <c r="AL695">
        <f>IF($AK695=1,SUMPRODUCT(--($AO$2:$AO$1501&lt;$AO695))+1,"")</f>
        <v/>
      </c>
      <c r="AM695">
        <f>IF($D695="","",IF(OR($R695=TRUE(),$R695="TRUE"),1,0))</f>
        <v/>
      </c>
      <c r="AN695">
        <f>IF($D695="","",IF($AA695="Yes",1,0))</f>
        <v/>
      </c>
      <c r="AO695">
        <f>IF($AK695=1,IFERROR(IF(VALUE($D695)&lt;100000000,VALUE($D695),1000000000),IFERROR(IF(VALUE(MID($D695,2,20))&lt;100000000,VALUE(MID($D695,2,20)),1000000000),1000000000))+ROW()/100000,"")</f>
        <v/>
      </c>
    </row>
    <row r="696">
      <c r="F696" s="11" t="n"/>
      <c r="N696" s="7">
        <f>IF($D696="","",M696*V696/100)</f>
        <v/>
      </c>
      <c r="O696" s="7" t="n"/>
      <c r="U696" s="7" t="n"/>
      <c r="V696" s="7" t="n"/>
      <c r="W696" s="7">
        <f>IF($D696="","",V696*AB696/100)</f>
        <v/>
      </c>
      <c r="X696" s="7">
        <f>IF($D696="","",V696-W696)</f>
        <v/>
      </c>
      <c r="Y696" s="7">
        <f>IF($D696="","",X696-N696)</f>
        <v/>
      </c>
      <c r="AB696">
        <f>IF($D696="","",IF($AN696=1,0,IF($AM696=1,Settings!$C$6,Settings!$C$7))*100)</f>
        <v/>
      </c>
      <c r="AF696" s="7" t="n"/>
      <c r="AI696" s="11" t="n"/>
      <c r="AK696">
        <f>IF($D696="","",IF(COUNTIF($D$2:$D696,$D696)=1,1,0))</f>
        <v/>
      </c>
      <c r="AL696">
        <f>IF($AK696=1,SUMPRODUCT(--($AO$2:$AO$1501&lt;$AO696))+1,"")</f>
        <v/>
      </c>
      <c r="AM696">
        <f>IF($D696="","",IF(OR($R696=TRUE(),$R696="TRUE"),1,0))</f>
        <v/>
      </c>
      <c r="AN696">
        <f>IF($D696="","",IF($AA696="Yes",1,0))</f>
        <v/>
      </c>
      <c r="AO696">
        <f>IF($AK696=1,IFERROR(IF(VALUE($D696)&lt;100000000,VALUE($D696),1000000000),IFERROR(IF(VALUE(MID($D696,2,20))&lt;100000000,VALUE(MID($D696,2,20)),1000000000),1000000000))+ROW()/100000,"")</f>
        <v/>
      </c>
    </row>
    <row r="697">
      <c r="F697" s="11" t="n"/>
      <c r="N697" s="7">
        <f>IF($D697="","",M697*V697/100)</f>
        <v/>
      </c>
      <c r="O697" s="7" t="n"/>
      <c r="U697" s="7" t="n"/>
      <c r="V697" s="7" t="n"/>
      <c r="W697" s="7">
        <f>IF($D697="","",V697*AB697/100)</f>
        <v/>
      </c>
      <c r="X697" s="7">
        <f>IF($D697="","",V697-W697)</f>
        <v/>
      </c>
      <c r="Y697" s="7">
        <f>IF($D697="","",X697-N697)</f>
        <v/>
      </c>
      <c r="AB697">
        <f>IF($D697="","",IF($AN697=1,0,IF($AM697=1,Settings!$C$6,Settings!$C$7))*100)</f>
        <v/>
      </c>
      <c r="AF697" s="7" t="n"/>
      <c r="AI697" s="11" t="n"/>
      <c r="AK697">
        <f>IF($D697="","",IF(COUNTIF($D$2:$D697,$D697)=1,1,0))</f>
        <v/>
      </c>
      <c r="AL697">
        <f>IF($AK697=1,SUMPRODUCT(--($AO$2:$AO$1501&lt;$AO697))+1,"")</f>
        <v/>
      </c>
      <c r="AM697">
        <f>IF($D697="","",IF(OR($R697=TRUE(),$R697="TRUE"),1,0))</f>
        <v/>
      </c>
      <c r="AN697">
        <f>IF($D697="","",IF($AA697="Yes",1,0))</f>
        <v/>
      </c>
      <c r="AO697">
        <f>IF($AK697=1,IFERROR(IF(VALUE($D697)&lt;100000000,VALUE($D697),1000000000),IFERROR(IF(VALUE(MID($D697,2,20))&lt;100000000,VALUE(MID($D697,2,20)),1000000000),1000000000))+ROW()/100000,"")</f>
        <v/>
      </c>
    </row>
    <row r="698">
      <c r="F698" s="11" t="n"/>
      <c r="N698" s="7">
        <f>IF($D698="","",M698*V698/100)</f>
        <v/>
      </c>
      <c r="O698" s="7" t="n"/>
      <c r="U698" s="7" t="n"/>
      <c r="V698" s="7" t="n"/>
      <c r="W698" s="7">
        <f>IF($D698="","",V698*AB698/100)</f>
        <v/>
      </c>
      <c r="X698" s="7">
        <f>IF($D698="","",V698-W698)</f>
        <v/>
      </c>
      <c r="Y698" s="7">
        <f>IF($D698="","",X698-N698)</f>
        <v/>
      </c>
      <c r="AB698">
        <f>IF($D698="","",IF($AN698=1,0,IF($AM698=1,Settings!$C$6,Settings!$C$7))*100)</f>
        <v/>
      </c>
      <c r="AF698" s="7" t="n"/>
      <c r="AI698" s="11" t="n"/>
      <c r="AK698">
        <f>IF($D698="","",IF(COUNTIF($D$2:$D698,$D698)=1,1,0))</f>
        <v/>
      </c>
      <c r="AL698">
        <f>IF($AK698=1,SUMPRODUCT(--($AO$2:$AO$1501&lt;$AO698))+1,"")</f>
        <v/>
      </c>
      <c r="AM698">
        <f>IF($D698="","",IF(OR($R698=TRUE(),$R698="TRUE"),1,0))</f>
        <v/>
      </c>
      <c r="AN698">
        <f>IF($D698="","",IF($AA698="Yes",1,0))</f>
        <v/>
      </c>
      <c r="AO698">
        <f>IF($AK698=1,IFERROR(IF(VALUE($D698)&lt;100000000,VALUE($D698),1000000000),IFERROR(IF(VALUE(MID($D698,2,20))&lt;100000000,VALUE(MID($D698,2,20)),1000000000),1000000000))+ROW()/100000,"")</f>
        <v/>
      </c>
    </row>
    <row r="699">
      <c r="F699" s="11" t="n"/>
      <c r="N699" s="7">
        <f>IF($D699="","",M699*V699/100)</f>
        <v/>
      </c>
      <c r="O699" s="7" t="n"/>
      <c r="U699" s="7" t="n"/>
      <c r="V699" s="7" t="n"/>
      <c r="W699" s="7">
        <f>IF($D699="","",V699*AB699/100)</f>
        <v/>
      </c>
      <c r="X699" s="7">
        <f>IF($D699="","",V699-W699)</f>
        <v/>
      </c>
      <c r="Y699" s="7">
        <f>IF($D699="","",X699-N699)</f>
        <v/>
      </c>
      <c r="AB699">
        <f>IF($D699="","",IF($AN699=1,0,IF($AM699=1,Settings!$C$6,Settings!$C$7))*100)</f>
        <v/>
      </c>
      <c r="AF699" s="7" t="n"/>
      <c r="AI699" s="11" t="n"/>
      <c r="AK699">
        <f>IF($D699="","",IF(COUNTIF($D$2:$D699,$D699)=1,1,0))</f>
        <v/>
      </c>
      <c r="AL699">
        <f>IF($AK699=1,SUMPRODUCT(--($AO$2:$AO$1501&lt;$AO699))+1,"")</f>
        <v/>
      </c>
      <c r="AM699">
        <f>IF($D699="","",IF(OR($R699=TRUE(),$R699="TRUE"),1,0))</f>
        <v/>
      </c>
      <c r="AN699">
        <f>IF($D699="","",IF($AA699="Yes",1,0))</f>
        <v/>
      </c>
      <c r="AO699">
        <f>IF($AK699=1,IFERROR(IF(VALUE($D699)&lt;100000000,VALUE($D699),1000000000),IFERROR(IF(VALUE(MID($D699,2,20))&lt;100000000,VALUE(MID($D699,2,20)),1000000000),1000000000))+ROW()/100000,"")</f>
        <v/>
      </c>
    </row>
    <row r="700">
      <c r="F700" s="11" t="n"/>
      <c r="N700" s="7">
        <f>IF($D700="","",M700*V700/100)</f>
        <v/>
      </c>
      <c r="O700" s="7" t="n"/>
      <c r="U700" s="7" t="n"/>
      <c r="V700" s="7" t="n"/>
      <c r="W700" s="7">
        <f>IF($D700="","",V700*AB700/100)</f>
        <v/>
      </c>
      <c r="X700" s="7">
        <f>IF($D700="","",V700-W700)</f>
        <v/>
      </c>
      <c r="Y700" s="7">
        <f>IF($D700="","",X700-N700)</f>
        <v/>
      </c>
      <c r="AB700">
        <f>IF($D700="","",IF($AN700=1,0,IF($AM700=1,Settings!$C$6,Settings!$C$7))*100)</f>
        <v/>
      </c>
      <c r="AF700" s="7" t="n"/>
      <c r="AI700" s="11" t="n"/>
      <c r="AK700">
        <f>IF($D700="","",IF(COUNTIF($D$2:$D700,$D700)=1,1,0))</f>
        <v/>
      </c>
      <c r="AL700">
        <f>IF($AK700=1,SUMPRODUCT(--($AO$2:$AO$1501&lt;$AO700))+1,"")</f>
        <v/>
      </c>
      <c r="AM700">
        <f>IF($D700="","",IF(OR($R700=TRUE(),$R700="TRUE"),1,0))</f>
        <v/>
      </c>
      <c r="AN700">
        <f>IF($D700="","",IF($AA700="Yes",1,0))</f>
        <v/>
      </c>
      <c r="AO700">
        <f>IF($AK700=1,IFERROR(IF(VALUE($D700)&lt;100000000,VALUE($D700),1000000000),IFERROR(IF(VALUE(MID($D700,2,20))&lt;100000000,VALUE(MID($D700,2,20)),1000000000),1000000000))+ROW()/100000,"")</f>
        <v/>
      </c>
    </row>
    <row r="701">
      <c r="F701" s="11" t="n"/>
      <c r="N701" s="7">
        <f>IF($D701="","",M701*V701/100)</f>
        <v/>
      </c>
      <c r="O701" s="7" t="n"/>
      <c r="U701" s="7" t="n"/>
      <c r="V701" s="7" t="n"/>
      <c r="W701" s="7">
        <f>IF($D701="","",V701*AB701/100)</f>
        <v/>
      </c>
      <c r="X701" s="7">
        <f>IF($D701="","",V701-W701)</f>
        <v/>
      </c>
      <c r="Y701" s="7">
        <f>IF($D701="","",X701-N701)</f>
        <v/>
      </c>
      <c r="AB701">
        <f>IF($D701="","",IF($AN701=1,0,IF($AM701=1,Settings!$C$6,Settings!$C$7))*100)</f>
        <v/>
      </c>
      <c r="AF701" s="7" t="n"/>
      <c r="AI701" s="11" t="n"/>
      <c r="AK701">
        <f>IF($D701="","",IF(COUNTIF($D$2:$D701,$D701)=1,1,0))</f>
        <v/>
      </c>
      <c r="AL701">
        <f>IF($AK701=1,SUMPRODUCT(--($AO$2:$AO$1501&lt;$AO701))+1,"")</f>
        <v/>
      </c>
      <c r="AM701">
        <f>IF($D701="","",IF(OR($R701=TRUE(),$R701="TRUE"),1,0))</f>
        <v/>
      </c>
      <c r="AN701">
        <f>IF($D701="","",IF($AA701="Yes",1,0))</f>
        <v/>
      </c>
      <c r="AO701">
        <f>IF($AK701=1,IFERROR(IF(VALUE($D701)&lt;100000000,VALUE($D701),1000000000),IFERROR(IF(VALUE(MID($D701,2,20))&lt;100000000,VALUE(MID($D701,2,20)),1000000000),1000000000))+ROW()/100000,"")</f>
        <v/>
      </c>
    </row>
    <row r="702">
      <c r="F702" s="11" t="n"/>
      <c r="N702" s="7">
        <f>IF($D702="","",M702*V702/100)</f>
        <v/>
      </c>
      <c r="O702" s="7" t="n"/>
      <c r="U702" s="7" t="n"/>
      <c r="V702" s="7" t="n"/>
      <c r="W702" s="7">
        <f>IF($D702="","",V702*AB702/100)</f>
        <v/>
      </c>
      <c r="X702" s="7">
        <f>IF($D702="","",V702-W702)</f>
        <v/>
      </c>
      <c r="Y702" s="7">
        <f>IF($D702="","",X702-N702)</f>
        <v/>
      </c>
      <c r="AB702">
        <f>IF($D702="","",IF($AN702=1,0,IF($AM702=1,Settings!$C$6,Settings!$C$7))*100)</f>
        <v/>
      </c>
      <c r="AF702" s="7" t="n"/>
      <c r="AI702" s="11" t="n"/>
      <c r="AK702">
        <f>IF($D702="","",IF(COUNTIF($D$2:$D702,$D702)=1,1,0))</f>
        <v/>
      </c>
      <c r="AL702">
        <f>IF($AK702=1,SUMPRODUCT(--($AO$2:$AO$1501&lt;$AO702))+1,"")</f>
        <v/>
      </c>
      <c r="AM702">
        <f>IF($D702="","",IF(OR($R702=TRUE(),$R702="TRUE"),1,0))</f>
        <v/>
      </c>
      <c r="AN702">
        <f>IF($D702="","",IF($AA702="Yes",1,0))</f>
        <v/>
      </c>
      <c r="AO702">
        <f>IF($AK702=1,IFERROR(IF(VALUE($D702)&lt;100000000,VALUE($D702),1000000000),IFERROR(IF(VALUE(MID($D702,2,20))&lt;100000000,VALUE(MID($D702,2,20)),1000000000),1000000000))+ROW()/100000,"")</f>
        <v/>
      </c>
    </row>
    <row r="703">
      <c r="F703" s="11" t="n"/>
      <c r="N703" s="7">
        <f>IF($D703="","",M703*V703/100)</f>
        <v/>
      </c>
      <c r="O703" s="7" t="n"/>
      <c r="U703" s="7" t="n"/>
      <c r="V703" s="7" t="n"/>
      <c r="W703" s="7">
        <f>IF($D703="","",V703*AB703/100)</f>
        <v/>
      </c>
      <c r="X703" s="7">
        <f>IF($D703="","",V703-W703)</f>
        <v/>
      </c>
      <c r="Y703" s="7">
        <f>IF($D703="","",X703-N703)</f>
        <v/>
      </c>
      <c r="AB703">
        <f>IF($D703="","",IF($AN703=1,0,IF($AM703=1,Settings!$C$6,Settings!$C$7))*100)</f>
        <v/>
      </c>
      <c r="AF703" s="7" t="n"/>
      <c r="AI703" s="11" t="n"/>
      <c r="AK703">
        <f>IF($D703="","",IF(COUNTIF($D$2:$D703,$D703)=1,1,0))</f>
        <v/>
      </c>
      <c r="AL703">
        <f>IF($AK703=1,SUMPRODUCT(--($AO$2:$AO$1501&lt;$AO703))+1,"")</f>
        <v/>
      </c>
      <c r="AM703">
        <f>IF($D703="","",IF(OR($R703=TRUE(),$R703="TRUE"),1,0))</f>
        <v/>
      </c>
      <c r="AN703">
        <f>IF($D703="","",IF($AA703="Yes",1,0))</f>
        <v/>
      </c>
      <c r="AO703">
        <f>IF($AK703=1,IFERROR(IF(VALUE($D703)&lt;100000000,VALUE($D703),1000000000),IFERROR(IF(VALUE(MID($D703,2,20))&lt;100000000,VALUE(MID($D703,2,20)),1000000000),1000000000))+ROW()/100000,"")</f>
        <v/>
      </c>
    </row>
    <row r="704">
      <c r="F704" s="11" t="n"/>
      <c r="N704" s="7">
        <f>IF($D704="","",M704*V704/100)</f>
        <v/>
      </c>
      <c r="O704" s="7" t="n"/>
      <c r="U704" s="7" t="n"/>
      <c r="V704" s="7" t="n"/>
      <c r="W704" s="7">
        <f>IF($D704="","",V704*AB704/100)</f>
        <v/>
      </c>
      <c r="X704" s="7">
        <f>IF($D704="","",V704-W704)</f>
        <v/>
      </c>
      <c r="Y704" s="7">
        <f>IF($D704="","",X704-N704)</f>
        <v/>
      </c>
      <c r="AB704">
        <f>IF($D704="","",IF($AN704=1,0,IF($AM704=1,Settings!$C$6,Settings!$C$7))*100)</f>
        <v/>
      </c>
      <c r="AF704" s="7" t="n"/>
      <c r="AI704" s="11" t="n"/>
      <c r="AK704">
        <f>IF($D704="","",IF(COUNTIF($D$2:$D704,$D704)=1,1,0))</f>
        <v/>
      </c>
      <c r="AL704">
        <f>IF($AK704=1,SUMPRODUCT(--($AO$2:$AO$1501&lt;$AO704))+1,"")</f>
        <v/>
      </c>
      <c r="AM704">
        <f>IF($D704="","",IF(OR($R704=TRUE(),$R704="TRUE"),1,0))</f>
        <v/>
      </c>
      <c r="AN704">
        <f>IF($D704="","",IF($AA704="Yes",1,0))</f>
        <v/>
      </c>
      <c r="AO704">
        <f>IF($AK704=1,IFERROR(IF(VALUE($D704)&lt;100000000,VALUE($D704),1000000000),IFERROR(IF(VALUE(MID($D704,2,20))&lt;100000000,VALUE(MID($D704,2,20)),1000000000),1000000000))+ROW()/100000,"")</f>
        <v/>
      </c>
    </row>
    <row r="705">
      <c r="F705" s="11" t="n"/>
      <c r="N705" s="7">
        <f>IF($D705="","",M705*V705/100)</f>
        <v/>
      </c>
      <c r="O705" s="7" t="n"/>
      <c r="U705" s="7" t="n"/>
      <c r="V705" s="7" t="n"/>
      <c r="W705" s="7">
        <f>IF($D705="","",V705*AB705/100)</f>
        <v/>
      </c>
      <c r="X705" s="7">
        <f>IF($D705="","",V705-W705)</f>
        <v/>
      </c>
      <c r="Y705" s="7">
        <f>IF($D705="","",X705-N705)</f>
        <v/>
      </c>
      <c r="AB705">
        <f>IF($D705="","",IF($AN705=1,0,IF($AM705=1,Settings!$C$6,Settings!$C$7))*100)</f>
        <v/>
      </c>
      <c r="AF705" s="7" t="n"/>
      <c r="AI705" s="11" t="n"/>
      <c r="AK705">
        <f>IF($D705="","",IF(COUNTIF($D$2:$D705,$D705)=1,1,0))</f>
        <v/>
      </c>
      <c r="AL705">
        <f>IF($AK705=1,SUMPRODUCT(--($AO$2:$AO$1501&lt;$AO705))+1,"")</f>
        <v/>
      </c>
      <c r="AM705">
        <f>IF($D705="","",IF(OR($R705=TRUE(),$R705="TRUE"),1,0))</f>
        <v/>
      </c>
      <c r="AN705">
        <f>IF($D705="","",IF($AA705="Yes",1,0))</f>
        <v/>
      </c>
      <c r="AO705">
        <f>IF($AK705=1,IFERROR(IF(VALUE($D705)&lt;100000000,VALUE($D705),1000000000),IFERROR(IF(VALUE(MID($D705,2,20))&lt;100000000,VALUE(MID($D705,2,20)),1000000000),1000000000))+ROW()/100000,"")</f>
        <v/>
      </c>
    </row>
    <row r="706">
      <c r="F706" s="11" t="n"/>
      <c r="N706" s="7">
        <f>IF($D706="","",M706*V706/100)</f>
        <v/>
      </c>
      <c r="O706" s="7" t="n"/>
      <c r="U706" s="7" t="n"/>
      <c r="V706" s="7" t="n"/>
      <c r="W706" s="7">
        <f>IF($D706="","",V706*AB706/100)</f>
        <v/>
      </c>
      <c r="X706" s="7">
        <f>IF($D706="","",V706-W706)</f>
        <v/>
      </c>
      <c r="Y706" s="7">
        <f>IF($D706="","",X706-N706)</f>
        <v/>
      </c>
      <c r="AB706">
        <f>IF($D706="","",IF($AN706=1,0,IF($AM706=1,Settings!$C$6,Settings!$C$7))*100)</f>
        <v/>
      </c>
      <c r="AF706" s="7" t="n"/>
      <c r="AI706" s="11" t="n"/>
      <c r="AK706">
        <f>IF($D706="","",IF(COUNTIF($D$2:$D706,$D706)=1,1,0))</f>
        <v/>
      </c>
      <c r="AL706">
        <f>IF($AK706=1,SUMPRODUCT(--($AO$2:$AO$1501&lt;$AO706))+1,"")</f>
        <v/>
      </c>
      <c r="AM706">
        <f>IF($D706="","",IF(OR($R706=TRUE(),$R706="TRUE"),1,0))</f>
        <v/>
      </c>
      <c r="AN706">
        <f>IF($D706="","",IF($AA706="Yes",1,0))</f>
        <v/>
      </c>
      <c r="AO706">
        <f>IF($AK706=1,IFERROR(IF(VALUE($D706)&lt;100000000,VALUE($D706),1000000000),IFERROR(IF(VALUE(MID($D706,2,20))&lt;100000000,VALUE(MID($D706,2,20)),1000000000),1000000000))+ROW()/100000,"")</f>
        <v/>
      </c>
    </row>
    <row r="707">
      <c r="F707" s="11" t="n"/>
      <c r="N707" s="7">
        <f>IF($D707="","",M707*V707/100)</f>
        <v/>
      </c>
      <c r="O707" s="7" t="n"/>
      <c r="U707" s="7" t="n"/>
      <c r="V707" s="7" t="n"/>
      <c r="W707" s="7">
        <f>IF($D707="","",V707*AB707/100)</f>
        <v/>
      </c>
      <c r="X707" s="7">
        <f>IF($D707="","",V707-W707)</f>
        <v/>
      </c>
      <c r="Y707" s="7">
        <f>IF($D707="","",X707-N707)</f>
        <v/>
      </c>
      <c r="AB707">
        <f>IF($D707="","",IF($AN707=1,0,IF($AM707=1,Settings!$C$6,Settings!$C$7))*100)</f>
        <v/>
      </c>
      <c r="AF707" s="7" t="n"/>
      <c r="AI707" s="11" t="n"/>
      <c r="AK707">
        <f>IF($D707="","",IF(COUNTIF($D$2:$D707,$D707)=1,1,0))</f>
        <v/>
      </c>
      <c r="AL707">
        <f>IF($AK707=1,SUMPRODUCT(--($AO$2:$AO$1501&lt;$AO707))+1,"")</f>
        <v/>
      </c>
      <c r="AM707">
        <f>IF($D707="","",IF(OR($R707=TRUE(),$R707="TRUE"),1,0))</f>
        <v/>
      </c>
      <c r="AN707">
        <f>IF($D707="","",IF($AA707="Yes",1,0))</f>
        <v/>
      </c>
      <c r="AO707">
        <f>IF($AK707=1,IFERROR(IF(VALUE($D707)&lt;100000000,VALUE($D707),1000000000),IFERROR(IF(VALUE(MID($D707,2,20))&lt;100000000,VALUE(MID($D707,2,20)),1000000000),1000000000))+ROW()/100000,"")</f>
        <v/>
      </c>
    </row>
    <row r="708">
      <c r="F708" s="11" t="n"/>
      <c r="N708" s="7">
        <f>IF($D708="","",M708*V708/100)</f>
        <v/>
      </c>
      <c r="O708" s="7" t="n"/>
      <c r="U708" s="7" t="n"/>
      <c r="V708" s="7" t="n"/>
      <c r="W708" s="7">
        <f>IF($D708="","",V708*AB708/100)</f>
        <v/>
      </c>
      <c r="X708" s="7">
        <f>IF($D708="","",V708-W708)</f>
        <v/>
      </c>
      <c r="Y708" s="7">
        <f>IF($D708="","",X708-N708)</f>
        <v/>
      </c>
      <c r="AB708">
        <f>IF($D708="","",IF($AN708=1,0,IF($AM708=1,Settings!$C$6,Settings!$C$7))*100)</f>
        <v/>
      </c>
      <c r="AF708" s="7" t="n"/>
      <c r="AI708" s="11" t="n"/>
      <c r="AK708">
        <f>IF($D708="","",IF(COUNTIF($D$2:$D708,$D708)=1,1,0))</f>
        <v/>
      </c>
      <c r="AL708">
        <f>IF($AK708=1,SUMPRODUCT(--($AO$2:$AO$1501&lt;$AO708))+1,"")</f>
        <v/>
      </c>
      <c r="AM708">
        <f>IF($D708="","",IF(OR($R708=TRUE(),$R708="TRUE"),1,0))</f>
        <v/>
      </c>
      <c r="AN708">
        <f>IF($D708="","",IF($AA708="Yes",1,0))</f>
        <v/>
      </c>
      <c r="AO708">
        <f>IF($AK708=1,IFERROR(IF(VALUE($D708)&lt;100000000,VALUE($D708),1000000000),IFERROR(IF(VALUE(MID($D708,2,20))&lt;100000000,VALUE(MID($D708,2,20)),1000000000),1000000000))+ROW()/100000,"")</f>
        <v/>
      </c>
    </row>
    <row r="709">
      <c r="F709" s="11" t="n"/>
      <c r="N709" s="7">
        <f>IF($D709="","",M709*V709/100)</f>
        <v/>
      </c>
      <c r="O709" s="7" t="n"/>
      <c r="U709" s="7" t="n"/>
      <c r="V709" s="7" t="n"/>
      <c r="W709" s="7">
        <f>IF($D709="","",V709*AB709/100)</f>
        <v/>
      </c>
      <c r="X709" s="7">
        <f>IF($D709="","",V709-W709)</f>
        <v/>
      </c>
      <c r="Y709" s="7">
        <f>IF($D709="","",X709-N709)</f>
        <v/>
      </c>
      <c r="AB709">
        <f>IF($D709="","",IF($AN709=1,0,IF($AM709=1,Settings!$C$6,Settings!$C$7))*100)</f>
        <v/>
      </c>
      <c r="AF709" s="7" t="n"/>
      <c r="AI709" s="11" t="n"/>
      <c r="AK709">
        <f>IF($D709="","",IF(COUNTIF($D$2:$D709,$D709)=1,1,0))</f>
        <v/>
      </c>
      <c r="AL709">
        <f>IF($AK709=1,SUMPRODUCT(--($AO$2:$AO$1501&lt;$AO709))+1,"")</f>
        <v/>
      </c>
      <c r="AM709">
        <f>IF($D709="","",IF(OR($R709=TRUE(),$R709="TRUE"),1,0))</f>
        <v/>
      </c>
      <c r="AN709">
        <f>IF($D709="","",IF($AA709="Yes",1,0))</f>
        <v/>
      </c>
      <c r="AO709">
        <f>IF($AK709=1,IFERROR(IF(VALUE($D709)&lt;100000000,VALUE($D709),1000000000),IFERROR(IF(VALUE(MID($D709,2,20))&lt;100000000,VALUE(MID($D709,2,20)),1000000000),1000000000))+ROW()/100000,"")</f>
        <v/>
      </c>
    </row>
    <row r="710">
      <c r="F710" s="11" t="n"/>
      <c r="N710" s="7">
        <f>IF($D710="","",M710*V710/100)</f>
        <v/>
      </c>
      <c r="O710" s="7" t="n"/>
      <c r="U710" s="7" t="n"/>
      <c r="V710" s="7" t="n"/>
      <c r="W710" s="7">
        <f>IF($D710="","",V710*AB710/100)</f>
        <v/>
      </c>
      <c r="X710" s="7">
        <f>IF($D710="","",V710-W710)</f>
        <v/>
      </c>
      <c r="Y710" s="7">
        <f>IF($D710="","",X710-N710)</f>
        <v/>
      </c>
      <c r="AB710">
        <f>IF($D710="","",IF($AN710=1,0,IF($AM710=1,Settings!$C$6,Settings!$C$7))*100)</f>
        <v/>
      </c>
      <c r="AF710" s="7" t="n"/>
      <c r="AI710" s="11" t="n"/>
      <c r="AK710">
        <f>IF($D710="","",IF(COUNTIF($D$2:$D710,$D710)=1,1,0))</f>
        <v/>
      </c>
      <c r="AL710">
        <f>IF($AK710=1,SUMPRODUCT(--($AO$2:$AO$1501&lt;$AO710))+1,"")</f>
        <v/>
      </c>
      <c r="AM710">
        <f>IF($D710="","",IF(OR($R710=TRUE(),$R710="TRUE"),1,0))</f>
        <v/>
      </c>
      <c r="AN710">
        <f>IF($D710="","",IF($AA710="Yes",1,0))</f>
        <v/>
      </c>
      <c r="AO710">
        <f>IF($AK710=1,IFERROR(IF(VALUE($D710)&lt;100000000,VALUE($D710),1000000000),IFERROR(IF(VALUE(MID($D710,2,20))&lt;100000000,VALUE(MID($D710,2,20)),1000000000),1000000000))+ROW()/100000,"")</f>
        <v/>
      </c>
    </row>
    <row r="711">
      <c r="F711" s="11" t="n"/>
      <c r="N711" s="7">
        <f>IF($D711="","",M711*V711/100)</f>
        <v/>
      </c>
      <c r="O711" s="7" t="n"/>
      <c r="U711" s="7" t="n"/>
      <c r="V711" s="7" t="n"/>
      <c r="W711" s="7">
        <f>IF($D711="","",V711*AB711/100)</f>
        <v/>
      </c>
      <c r="X711" s="7">
        <f>IF($D711="","",V711-W711)</f>
        <v/>
      </c>
      <c r="Y711" s="7">
        <f>IF($D711="","",X711-N711)</f>
        <v/>
      </c>
      <c r="AB711">
        <f>IF($D711="","",IF($AN711=1,0,IF($AM711=1,Settings!$C$6,Settings!$C$7))*100)</f>
        <v/>
      </c>
      <c r="AF711" s="7" t="n"/>
      <c r="AI711" s="11" t="n"/>
      <c r="AK711">
        <f>IF($D711="","",IF(COUNTIF($D$2:$D711,$D711)=1,1,0))</f>
        <v/>
      </c>
      <c r="AL711">
        <f>IF($AK711=1,SUMPRODUCT(--($AO$2:$AO$1501&lt;$AO711))+1,"")</f>
        <v/>
      </c>
      <c r="AM711">
        <f>IF($D711="","",IF(OR($R711=TRUE(),$R711="TRUE"),1,0))</f>
        <v/>
      </c>
      <c r="AN711">
        <f>IF($D711="","",IF($AA711="Yes",1,0))</f>
        <v/>
      </c>
      <c r="AO711">
        <f>IF($AK711=1,IFERROR(IF(VALUE($D711)&lt;100000000,VALUE($D711),1000000000),IFERROR(IF(VALUE(MID($D711,2,20))&lt;100000000,VALUE(MID($D711,2,20)),1000000000),1000000000))+ROW()/100000,"")</f>
        <v/>
      </c>
    </row>
    <row r="712">
      <c r="F712" s="11" t="n"/>
      <c r="N712" s="7">
        <f>IF($D712="","",M712*V712/100)</f>
        <v/>
      </c>
      <c r="O712" s="7" t="n"/>
      <c r="U712" s="7" t="n"/>
      <c r="V712" s="7" t="n"/>
      <c r="W712" s="7">
        <f>IF($D712="","",V712*AB712/100)</f>
        <v/>
      </c>
      <c r="X712" s="7">
        <f>IF($D712="","",V712-W712)</f>
        <v/>
      </c>
      <c r="Y712" s="7">
        <f>IF($D712="","",X712-N712)</f>
        <v/>
      </c>
      <c r="AB712">
        <f>IF($D712="","",IF($AN712=1,0,IF($AM712=1,Settings!$C$6,Settings!$C$7))*100)</f>
        <v/>
      </c>
      <c r="AF712" s="7" t="n"/>
      <c r="AI712" s="11" t="n"/>
      <c r="AK712">
        <f>IF($D712="","",IF(COUNTIF($D$2:$D712,$D712)=1,1,0))</f>
        <v/>
      </c>
      <c r="AL712">
        <f>IF($AK712=1,SUMPRODUCT(--($AO$2:$AO$1501&lt;$AO712))+1,"")</f>
        <v/>
      </c>
      <c r="AM712">
        <f>IF($D712="","",IF(OR($R712=TRUE(),$R712="TRUE"),1,0))</f>
        <v/>
      </c>
      <c r="AN712">
        <f>IF($D712="","",IF($AA712="Yes",1,0))</f>
        <v/>
      </c>
      <c r="AO712">
        <f>IF($AK712=1,IFERROR(IF(VALUE($D712)&lt;100000000,VALUE($D712),1000000000),IFERROR(IF(VALUE(MID($D712,2,20))&lt;100000000,VALUE(MID($D712,2,20)),1000000000),1000000000))+ROW()/100000,"")</f>
        <v/>
      </c>
    </row>
    <row r="713">
      <c r="F713" s="11" t="n"/>
      <c r="N713" s="7">
        <f>IF($D713="","",M713*V713/100)</f>
        <v/>
      </c>
      <c r="O713" s="7" t="n"/>
      <c r="U713" s="7" t="n"/>
      <c r="V713" s="7" t="n"/>
      <c r="W713" s="7">
        <f>IF($D713="","",V713*AB713/100)</f>
        <v/>
      </c>
      <c r="X713" s="7">
        <f>IF($D713="","",V713-W713)</f>
        <v/>
      </c>
      <c r="Y713" s="7">
        <f>IF($D713="","",X713-N713)</f>
        <v/>
      </c>
      <c r="AB713">
        <f>IF($D713="","",IF($AN713=1,0,IF($AM713=1,Settings!$C$6,Settings!$C$7))*100)</f>
        <v/>
      </c>
      <c r="AF713" s="7" t="n"/>
      <c r="AI713" s="11" t="n"/>
      <c r="AK713">
        <f>IF($D713="","",IF(COUNTIF($D$2:$D713,$D713)=1,1,0))</f>
        <v/>
      </c>
      <c r="AL713">
        <f>IF($AK713=1,SUMPRODUCT(--($AO$2:$AO$1501&lt;$AO713))+1,"")</f>
        <v/>
      </c>
      <c r="AM713">
        <f>IF($D713="","",IF(OR($R713=TRUE(),$R713="TRUE"),1,0))</f>
        <v/>
      </c>
      <c r="AN713">
        <f>IF($D713="","",IF($AA713="Yes",1,0))</f>
        <v/>
      </c>
      <c r="AO713">
        <f>IF($AK713=1,IFERROR(IF(VALUE($D713)&lt;100000000,VALUE($D713),1000000000),IFERROR(IF(VALUE(MID($D713,2,20))&lt;100000000,VALUE(MID($D713,2,20)),1000000000),1000000000))+ROW()/100000,"")</f>
        <v/>
      </c>
    </row>
    <row r="714">
      <c r="F714" s="11" t="n"/>
      <c r="N714" s="7">
        <f>IF($D714="","",M714*V714/100)</f>
        <v/>
      </c>
      <c r="O714" s="7" t="n"/>
      <c r="U714" s="7" t="n"/>
      <c r="V714" s="7" t="n"/>
      <c r="W714" s="7">
        <f>IF($D714="","",V714*AB714/100)</f>
        <v/>
      </c>
      <c r="X714" s="7">
        <f>IF($D714="","",V714-W714)</f>
        <v/>
      </c>
      <c r="Y714" s="7">
        <f>IF($D714="","",X714-N714)</f>
        <v/>
      </c>
      <c r="AB714">
        <f>IF($D714="","",IF($AN714=1,0,IF($AM714=1,Settings!$C$6,Settings!$C$7))*100)</f>
        <v/>
      </c>
      <c r="AF714" s="7" t="n"/>
      <c r="AI714" s="11" t="n"/>
      <c r="AK714">
        <f>IF($D714="","",IF(COUNTIF($D$2:$D714,$D714)=1,1,0))</f>
        <v/>
      </c>
      <c r="AL714">
        <f>IF($AK714=1,SUMPRODUCT(--($AO$2:$AO$1501&lt;$AO714))+1,"")</f>
        <v/>
      </c>
      <c r="AM714">
        <f>IF($D714="","",IF(OR($R714=TRUE(),$R714="TRUE"),1,0))</f>
        <v/>
      </c>
      <c r="AN714">
        <f>IF($D714="","",IF($AA714="Yes",1,0))</f>
        <v/>
      </c>
      <c r="AO714">
        <f>IF($AK714=1,IFERROR(IF(VALUE($D714)&lt;100000000,VALUE($D714),1000000000),IFERROR(IF(VALUE(MID($D714,2,20))&lt;100000000,VALUE(MID($D714,2,20)),1000000000),1000000000))+ROW()/100000,"")</f>
        <v/>
      </c>
    </row>
    <row r="715">
      <c r="F715" s="11" t="n"/>
      <c r="N715" s="7">
        <f>IF($D715="","",M715*V715/100)</f>
        <v/>
      </c>
      <c r="O715" s="7" t="n"/>
      <c r="U715" s="7" t="n"/>
      <c r="V715" s="7" t="n"/>
      <c r="W715" s="7">
        <f>IF($D715="","",V715*AB715/100)</f>
        <v/>
      </c>
      <c r="X715" s="7">
        <f>IF($D715="","",V715-W715)</f>
        <v/>
      </c>
      <c r="Y715" s="7">
        <f>IF($D715="","",X715-N715)</f>
        <v/>
      </c>
      <c r="AB715">
        <f>IF($D715="","",IF($AN715=1,0,IF($AM715=1,Settings!$C$6,Settings!$C$7))*100)</f>
        <v/>
      </c>
      <c r="AF715" s="7" t="n"/>
      <c r="AI715" s="11" t="n"/>
      <c r="AK715">
        <f>IF($D715="","",IF(COUNTIF($D$2:$D715,$D715)=1,1,0))</f>
        <v/>
      </c>
      <c r="AL715">
        <f>IF($AK715=1,SUMPRODUCT(--($AO$2:$AO$1501&lt;$AO715))+1,"")</f>
        <v/>
      </c>
      <c r="AM715">
        <f>IF($D715="","",IF(OR($R715=TRUE(),$R715="TRUE"),1,0))</f>
        <v/>
      </c>
      <c r="AN715">
        <f>IF($D715="","",IF($AA715="Yes",1,0))</f>
        <v/>
      </c>
      <c r="AO715">
        <f>IF($AK715=1,IFERROR(IF(VALUE($D715)&lt;100000000,VALUE($D715),1000000000),IFERROR(IF(VALUE(MID($D715,2,20))&lt;100000000,VALUE(MID($D715,2,20)),1000000000),1000000000))+ROW()/100000,"")</f>
        <v/>
      </c>
    </row>
    <row r="716">
      <c r="F716" s="11" t="n"/>
      <c r="N716" s="7">
        <f>IF($D716="","",M716*V716/100)</f>
        <v/>
      </c>
      <c r="O716" s="7" t="n"/>
      <c r="U716" s="7" t="n"/>
      <c r="V716" s="7" t="n"/>
      <c r="W716" s="7">
        <f>IF($D716="","",V716*AB716/100)</f>
        <v/>
      </c>
      <c r="X716" s="7">
        <f>IF($D716="","",V716-W716)</f>
        <v/>
      </c>
      <c r="Y716" s="7">
        <f>IF($D716="","",X716-N716)</f>
        <v/>
      </c>
      <c r="AB716">
        <f>IF($D716="","",IF($AN716=1,0,IF($AM716=1,Settings!$C$6,Settings!$C$7))*100)</f>
        <v/>
      </c>
      <c r="AF716" s="7" t="n"/>
      <c r="AI716" s="11" t="n"/>
      <c r="AK716">
        <f>IF($D716="","",IF(COUNTIF($D$2:$D716,$D716)=1,1,0))</f>
        <v/>
      </c>
      <c r="AL716">
        <f>IF($AK716=1,SUMPRODUCT(--($AO$2:$AO$1501&lt;$AO716))+1,"")</f>
        <v/>
      </c>
      <c r="AM716">
        <f>IF($D716="","",IF(OR($R716=TRUE(),$R716="TRUE"),1,0))</f>
        <v/>
      </c>
      <c r="AN716">
        <f>IF($D716="","",IF($AA716="Yes",1,0))</f>
        <v/>
      </c>
      <c r="AO716">
        <f>IF($AK716=1,IFERROR(IF(VALUE($D716)&lt;100000000,VALUE($D716),1000000000),IFERROR(IF(VALUE(MID($D716,2,20))&lt;100000000,VALUE(MID($D716,2,20)),1000000000),1000000000))+ROW()/100000,"")</f>
        <v/>
      </c>
    </row>
    <row r="717">
      <c r="F717" s="11" t="n"/>
      <c r="N717" s="7">
        <f>IF($D717="","",M717*V717/100)</f>
        <v/>
      </c>
      <c r="O717" s="7" t="n"/>
      <c r="U717" s="7" t="n"/>
      <c r="V717" s="7" t="n"/>
      <c r="W717" s="7">
        <f>IF($D717="","",V717*AB717/100)</f>
        <v/>
      </c>
      <c r="X717" s="7">
        <f>IF($D717="","",V717-W717)</f>
        <v/>
      </c>
      <c r="Y717" s="7">
        <f>IF($D717="","",X717-N717)</f>
        <v/>
      </c>
      <c r="AB717">
        <f>IF($D717="","",IF($AN717=1,0,IF($AM717=1,Settings!$C$6,Settings!$C$7))*100)</f>
        <v/>
      </c>
      <c r="AF717" s="7" t="n"/>
      <c r="AI717" s="11" t="n"/>
      <c r="AK717">
        <f>IF($D717="","",IF(COUNTIF($D$2:$D717,$D717)=1,1,0))</f>
        <v/>
      </c>
      <c r="AL717">
        <f>IF($AK717=1,SUMPRODUCT(--($AO$2:$AO$1501&lt;$AO717))+1,"")</f>
        <v/>
      </c>
      <c r="AM717">
        <f>IF($D717="","",IF(OR($R717=TRUE(),$R717="TRUE"),1,0))</f>
        <v/>
      </c>
      <c r="AN717">
        <f>IF($D717="","",IF($AA717="Yes",1,0))</f>
        <v/>
      </c>
      <c r="AO717">
        <f>IF($AK717=1,IFERROR(IF(VALUE($D717)&lt;100000000,VALUE($D717),1000000000),IFERROR(IF(VALUE(MID($D717,2,20))&lt;100000000,VALUE(MID($D717,2,20)),1000000000),1000000000))+ROW()/100000,"")</f>
        <v/>
      </c>
    </row>
    <row r="718">
      <c r="F718" s="11" t="n"/>
      <c r="N718" s="7">
        <f>IF($D718="","",M718*V718/100)</f>
        <v/>
      </c>
      <c r="O718" s="7" t="n"/>
      <c r="U718" s="7" t="n"/>
      <c r="V718" s="7" t="n"/>
      <c r="W718" s="7">
        <f>IF($D718="","",V718*AB718/100)</f>
        <v/>
      </c>
      <c r="X718" s="7">
        <f>IF($D718="","",V718-W718)</f>
        <v/>
      </c>
      <c r="Y718" s="7">
        <f>IF($D718="","",X718-N718)</f>
        <v/>
      </c>
      <c r="AB718">
        <f>IF($D718="","",IF($AN718=1,0,IF($AM718=1,Settings!$C$6,Settings!$C$7))*100)</f>
        <v/>
      </c>
      <c r="AF718" s="7" t="n"/>
      <c r="AI718" s="11" t="n"/>
      <c r="AK718">
        <f>IF($D718="","",IF(COUNTIF($D$2:$D718,$D718)=1,1,0))</f>
        <v/>
      </c>
      <c r="AL718">
        <f>IF($AK718=1,SUMPRODUCT(--($AO$2:$AO$1501&lt;$AO718))+1,"")</f>
        <v/>
      </c>
      <c r="AM718">
        <f>IF($D718="","",IF(OR($R718=TRUE(),$R718="TRUE"),1,0))</f>
        <v/>
      </c>
      <c r="AN718">
        <f>IF($D718="","",IF($AA718="Yes",1,0))</f>
        <v/>
      </c>
      <c r="AO718">
        <f>IF($AK718=1,IFERROR(IF(VALUE($D718)&lt;100000000,VALUE($D718),1000000000),IFERROR(IF(VALUE(MID($D718,2,20))&lt;100000000,VALUE(MID($D718,2,20)),1000000000),1000000000))+ROW()/100000,"")</f>
        <v/>
      </c>
    </row>
    <row r="719">
      <c r="F719" s="11" t="n"/>
      <c r="N719" s="7">
        <f>IF($D719="","",M719*V719/100)</f>
        <v/>
      </c>
      <c r="O719" s="7" t="n"/>
      <c r="U719" s="7" t="n"/>
      <c r="V719" s="7" t="n"/>
      <c r="W719" s="7">
        <f>IF($D719="","",V719*AB719/100)</f>
        <v/>
      </c>
      <c r="X719" s="7">
        <f>IF($D719="","",V719-W719)</f>
        <v/>
      </c>
      <c r="Y719" s="7">
        <f>IF($D719="","",X719-N719)</f>
        <v/>
      </c>
      <c r="AB719">
        <f>IF($D719="","",IF($AN719=1,0,IF($AM719=1,Settings!$C$6,Settings!$C$7))*100)</f>
        <v/>
      </c>
      <c r="AF719" s="7" t="n"/>
      <c r="AI719" s="11" t="n"/>
      <c r="AK719">
        <f>IF($D719="","",IF(COUNTIF($D$2:$D719,$D719)=1,1,0))</f>
        <v/>
      </c>
      <c r="AL719">
        <f>IF($AK719=1,SUMPRODUCT(--($AO$2:$AO$1501&lt;$AO719))+1,"")</f>
        <v/>
      </c>
      <c r="AM719">
        <f>IF($D719="","",IF(OR($R719=TRUE(),$R719="TRUE"),1,0))</f>
        <v/>
      </c>
      <c r="AN719">
        <f>IF($D719="","",IF($AA719="Yes",1,0))</f>
        <v/>
      </c>
      <c r="AO719">
        <f>IF($AK719=1,IFERROR(IF(VALUE($D719)&lt;100000000,VALUE($D719),1000000000),IFERROR(IF(VALUE(MID($D719,2,20))&lt;100000000,VALUE(MID($D719,2,20)),1000000000),1000000000))+ROW()/100000,"")</f>
        <v/>
      </c>
    </row>
    <row r="720">
      <c r="F720" s="11" t="n"/>
      <c r="N720" s="7">
        <f>IF($D720="","",M720*V720/100)</f>
        <v/>
      </c>
      <c r="O720" s="7" t="n"/>
      <c r="U720" s="7" t="n"/>
      <c r="V720" s="7" t="n"/>
      <c r="W720" s="7">
        <f>IF($D720="","",V720*AB720/100)</f>
        <v/>
      </c>
      <c r="X720" s="7">
        <f>IF($D720="","",V720-W720)</f>
        <v/>
      </c>
      <c r="Y720" s="7">
        <f>IF($D720="","",X720-N720)</f>
        <v/>
      </c>
      <c r="AB720">
        <f>IF($D720="","",IF($AN720=1,0,IF($AM720=1,Settings!$C$6,Settings!$C$7))*100)</f>
        <v/>
      </c>
      <c r="AF720" s="7" t="n"/>
      <c r="AI720" s="11" t="n"/>
      <c r="AK720">
        <f>IF($D720="","",IF(COUNTIF($D$2:$D720,$D720)=1,1,0))</f>
        <v/>
      </c>
      <c r="AL720">
        <f>IF($AK720=1,SUMPRODUCT(--($AO$2:$AO$1501&lt;$AO720))+1,"")</f>
        <v/>
      </c>
      <c r="AM720">
        <f>IF($D720="","",IF(OR($R720=TRUE(),$R720="TRUE"),1,0))</f>
        <v/>
      </c>
      <c r="AN720">
        <f>IF($D720="","",IF($AA720="Yes",1,0))</f>
        <v/>
      </c>
      <c r="AO720">
        <f>IF($AK720=1,IFERROR(IF(VALUE($D720)&lt;100000000,VALUE($D720),1000000000),IFERROR(IF(VALUE(MID($D720,2,20))&lt;100000000,VALUE(MID($D720,2,20)),1000000000),1000000000))+ROW()/100000,"")</f>
        <v/>
      </c>
    </row>
    <row r="721">
      <c r="F721" s="11" t="n"/>
      <c r="N721" s="7">
        <f>IF($D721="","",M721*V721/100)</f>
        <v/>
      </c>
      <c r="O721" s="7" t="n"/>
      <c r="U721" s="7" t="n"/>
      <c r="V721" s="7" t="n"/>
      <c r="W721" s="7">
        <f>IF($D721="","",V721*AB721/100)</f>
        <v/>
      </c>
      <c r="X721" s="7">
        <f>IF($D721="","",V721-W721)</f>
        <v/>
      </c>
      <c r="Y721" s="7">
        <f>IF($D721="","",X721-N721)</f>
        <v/>
      </c>
      <c r="AB721">
        <f>IF($D721="","",IF($AN721=1,0,IF($AM721=1,Settings!$C$6,Settings!$C$7))*100)</f>
        <v/>
      </c>
      <c r="AF721" s="7" t="n"/>
      <c r="AI721" s="11" t="n"/>
      <c r="AK721">
        <f>IF($D721="","",IF(COUNTIF($D$2:$D721,$D721)=1,1,0))</f>
        <v/>
      </c>
      <c r="AL721">
        <f>IF($AK721=1,SUMPRODUCT(--($AO$2:$AO$1501&lt;$AO721))+1,"")</f>
        <v/>
      </c>
      <c r="AM721">
        <f>IF($D721="","",IF(OR($R721=TRUE(),$R721="TRUE"),1,0))</f>
        <v/>
      </c>
      <c r="AN721">
        <f>IF($D721="","",IF($AA721="Yes",1,0))</f>
        <v/>
      </c>
      <c r="AO721">
        <f>IF($AK721=1,IFERROR(IF(VALUE($D721)&lt;100000000,VALUE($D721),1000000000),IFERROR(IF(VALUE(MID($D721,2,20))&lt;100000000,VALUE(MID($D721,2,20)),1000000000),1000000000))+ROW()/100000,"")</f>
        <v/>
      </c>
    </row>
    <row r="722">
      <c r="F722" s="11" t="n"/>
      <c r="N722" s="7">
        <f>IF($D722="","",M722*V722/100)</f>
        <v/>
      </c>
      <c r="O722" s="7" t="n"/>
      <c r="U722" s="7" t="n"/>
      <c r="V722" s="7" t="n"/>
      <c r="W722" s="7">
        <f>IF($D722="","",V722*AB722/100)</f>
        <v/>
      </c>
      <c r="X722" s="7">
        <f>IF($D722="","",V722-W722)</f>
        <v/>
      </c>
      <c r="Y722" s="7">
        <f>IF($D722="","",X722-N722)</f>
        <v/>
      </c>
      <c r="AB722">
        <f>IF($D722="","",IF($AN722=1,0,IF($AM722=1,Settings!$C$6,Settings!$C$7))*100)</f>
        <v/>
      </c>
      <c r="AF722" s="7" t="n"/>
      <c r="AI722" s="11" t="n"/>
      <c r="AK722">
        <f>IF($D722="","",IF(COUNTIF($D$2:$D722,$D722)=1,1,0))</f>
        <v/>
      </c>
      <c r="AL722">
        <f>IF($AK722=1,SUMPRODUCT(--($AO$2:$AO$1501&lt;$AO722))+1,"")</f>
        <v/>
      </c>
      <c r="AM722">
        <f>IF($D722="","",IF(OR($R722=TRUE(),$R722="TRUE"),1,0))</f>
        <v/>
      </c>
      <c r="AN722">
        <f>IF($D722="","",IF($AA722="Yes",1,0))</f>
        <v/>
      </c>
      <c r="AO722">
        <f>IF($AK722=1,IFERROR(IF(VALUE($D722)&lt;100000000,VALUE($D722),1000000000),IFERROR(IF(VALUE(MID($D722,2,20))&lt;100000000,VALUE(MID($D722,2,20)),1000000000),1000000000))+ROW()/100000,"")</f>
        <v/>
      </c>
    </row>
    <row r="723">
      <c r="F723" s="11" t="n"/>
      <c r="N723" s="7">
        <f>IF($D723="","",M723*V723/100)</f>
        <v/>
      </c>
      <c r="O723" s="7" t="n"/>
      <c r="U723" s="7" t="n"/>
      <c r="V723" s="7" t="n"/>
      <c r="W723" s="7">
        <f>IF($D723="","",V723*AB723/100)</f>
        <v/>
      </c>
      <c r="X723" s="7">
        <f>IF($D723="","",V723-W723)</f>
        <v/>
      </c>
      <c r="Y723" s="7">
        <f>IF($D723="","",X723-N723)</f>
        <v/>
      </c>
      <c r="AB723">
        <f>IF($D723="","",IF($AN723=1,0,IF($AM723=1,Settings!$C$6,Settings!$C$7))*100)</f>
        <v/>
      </c>
      <c r="AF723" s="7" t="n"/>
      <c r="AI723" s="11" t="n"/>
      <c r="AK723">
        <f>IF($D723="","",IF(COUNTIF($D$2:$D723,$D723)=1,1,0))</f>
        <v/>
      </c>
      <c r="AL723">
        <f>IF($AK723=1,SUMPRODUCT(--($AO$2:$AO$1501&lt;$AO723))+1,"")</f>
        <v/>
      </c>
      <c r="AM723">
        <f>IF($D723="","",IF(OR($R723=TRUE(),$R723="TRUE"),1,0))</f>
        <v/>
      </c>
      <c r="AN723">
        <f>IF($D723="","",IF($AA723="Yes",1,0))</f>
        <v/>
      </c>
      <c r="AO723">
        <f>IF($AK723=1,IFERROR(IF(VALUE($D723)&lt;100000000,VALUE($D723),1000000000),IFERROR(IF(VALUE(MID($D723,2,20))&lt;100000000,VALUE(MID($D723,2,20)),1000000000),1000000000))+ROW()/100000,"")</f>
        <v/>
      </c>
    </row>
    <row r="724">
      <c r="F724" s="11" t="n"/>
      <c r="N724" s="7">
        <f>IF($D724="","",M724*V724/100)</f>
        <v/>
      </c>
      <c r="O724" s="7" t="n"/>
      <c r="U724" s="7" t="n"/>
      <c r="V724" s="7" t="n"/>
      <c r="W724" s="7">
        <f>IF($D724="","",V724*AB724/100)</f>
        <v/>
      </c>
      <c r="X724" s="7">
        <f>IF($D724="","",V724-W724)</f>
        <v/>
      </c>
      <c r="Y724" s="7">
        <f>IF($D724="","",X724-N724)</f>
        <v/>
      </c>
      <c r="AB724">
        <f>IF($D724="","",IF($AN724=1,0,IF($AM724=1,Settings!$C$6,Settings!$C$7))*100)</f>
        <v/>
      </c>
      <c r="AF724" s="7" t="n"/>
      <c r="AI724" s="11" t="n"/>
      <c r="AK724">
        <f>IF($D724="","",IF(COUNTIF($D$2:$D724,$D724)=1,1,0))</f>
        <v/>
      </c>
      <c r="AL724">
        <f>IF($AK724=1,SUMPRODUCT(--($AO$2:$AO$1501&lt;$AO724))+1,"")</f>
        <v/>
      </c>
      <c r="AM724">
        <f>IF($D724="","",IF(OR($R724=TRUE(),$R724="TRUE"),1,0))</f>
        <v/>
      </c>
      <c r="AN724">
        <f>IF($D724="","",IF($AA724="Yes",1,0))</f>
        <v/>
      </c>
      <c r="AO724">
        <f>IF($AK724=1,IFERROR(IF(VALUE($D724)&lt;100000000,VALUE($D724),1000000000),IFERROR(IF(VALUE(MID($D724,2,20))&lt;100000000,VALUE(MID($D724,2,20)),1000000000),1000000000))+ROW()/100000,"")</f>
        <v/>
      </c>
    </row>
    <row r="725">
      <c r="F725" s="11" t="n"/>
      <c r="N725" s="7">
        <f>IF($D725="","",M725*V725/100)</f>
        <v/>
      </c>
      <c r="O725" s="7" t="n"/>
      <c r="U725" s="7" t="n"/>
      <c r="V725" s="7" t="n"/>
      <c r="W725" s="7">
        <f>IF($D725="","",V725*AB725/100)</f>
        <v/>
      </c>
      <c r="X725" s="7">
        <f>IF($D725="","",V725-W725)</f>
        <v/>
      </c>
      <c r="Y725" s="7">
        <f>IF($D725="","",X725-N725)</f>
        <v/>
      </c>
      <c r="AB725">
        <f>IF($D725="","",IF($AN725=1,0,IF($AM725=1,Settings!$C$6,Settings!$C$7))*100)</f>
        <v/>
      </c>
      <c r="AF725" s="7" t="n"/>
      <c r="AI725" s="11" t="n"/>
      <c r="AK725">
        <f>IF($D725="","",IF(COUNTIF($D$2:$D725,$D725)=1,1,0))</f>
        <v/>
      </c>
      <c r="AL725">
        <f>IF($AK725=1,SUMPRODUCT(--($AO$2:$AO$1501&lt;$AO725))+1,"")</f>
        <v/>
      </c>
      <c r="AM725">
        <f>IF($D725="","",IF(OR($R725=TRUE(),$R725="TRUE"),1,0))</f>
        <v/>
      </c>
      <c r="AN725">
        <f>IF($D725="","",IF($AA725="Yes",1,0))</f>
        <v/>
      </c>
      <c r="AO725">
        <f>IF($AK725=1,IFERROR(IF(VALUE($D725)&lt;100000000,VALUE($D725),1000000000),IFERROR(IF(VALUE(MID($D725,2,20))&lt;100000000,VALUE(MID($D725,2,20)),1000000000),1000000000))+ROW()/100000,"")</f>
        <v/>
      </c>
    </row>
    <row r="726">
      <c r="F726" s="11" t="n"/>
      <c r="N726" s="7">
        <f>IF($D726="","",M726*V726/100)</f>
        <v/>
      </c>
      <c r="O726" s="7" t="n"/>
      <c r="U726" s="7" t="n"/>
      <c r="V726" s="7" t="n"/>
      <c r="W726" s="7">
        <f>IF($D726="","",V726*AB726/100)</f>
        <v/>
      </c>
      <c r="X726" s="7">
        <f>IF($D726="","",V726-W726)</f>
        <v/>
      </c>
      <c r="Y726" s="7">
        <f>IF($D726="","",X726-N726)</f>
        <v/>
      </c>
      <c r="AB726">
        <f>IF($D726="","",IF($AN726=1,0,IF($AM726=1,Settings!$C$6,Settings!$C$7))*100)</f>
        <v/>
      </c>
      <c r="AF726" s="7" t="n"/>
      <c r="AI726" s="11" t="n"/>
      <c r="AK726">
        <f>IF($D726="","",IF(COUNTIF($D$2:$D726,$D726)=1,1,0))</f>
        <v/>
      </c>
      <c r="AL726">
        <f>IF($AK726=1,SUMPRODUCT(--($AO$2:$AO$1501&lt;$AO726))+1,"")</f>
        <v/>
      </c>
      <c r="AM726">
        <f>IF($D726="","",IF(OR($R726=TRUE(),$R726="TRUE"),1,0))</f>
        <v/>
      </c>
      <c r="AN726">
        <f>IF($D726="","",IF($AA726="Yes",1,0))</f>
        <v/>
      </c>
      <c r="AO726">
        <f>IF($AK726=1,IFERROR(IF(VALUE($D726)&lt;100000000,VALUE($D726),1000000000),IFERROR(IF(VALUE(MID($D726,2,20))&lt;100000000,VALUE(MID($D726,2,20)),1000000000),1000000000))+ROW()/100000,"")</f>
        <v/>
      </c>
    </row>
    <row r="727">
      <c r="F727" s="11" t="n"/>
      <c r="N727" s="7">
        <f>IF($D727="","",M727*V727/100)</f>
        <v/>
      </c>
      <c r="O727" s="7" t="n"/>
      <c r="U727" s="7" t="n"/>
      <c r="V727" s="7" t="n"/>
      <c r="W727" s="7">
        <f>IF($D727="","",V727*AB727/100)</f>
        <v/>
      </c>
      <c r="X727" s="7">
        <f>IF($D727="","",V727-W727)</f>
        <v/>
      </c>
      <c r="Y727" s="7">
        <f>IF($D727="","",X727-N727)</f>
        <v/>
      </c>
      <c r="AB727">
        <f>IF($D727="","",IF($AN727=1,0,IF($AM727=1,Settings!$C$6,Settings!$C$7))*100)</f>
        <v/>
      </c>
      <c r="AF727" s="7" t="n"/>
      <c r="AI727" s="11" t="n"/>
      <c r="AK727">
        <f>IF($D727="","",IF(COUNTIF($D$2:$D727,$D727)=1,1,0))</f>
        <v/>
      </c>
      <c r="AL727">
        <f>IF($AK727=1,SUMPRODUCT(--($AO$2:$AO$1501&lt;$AO727))+1,"")</f>
        <v/>
      </c>
      <c r="AM727">
        <f>IF($D727="","",IF(OR($R727=TRUE(),$R727="TRUE"),1,0))</f>
        <v/>
      </c>
      <c r="AN727">
        <f>IF($D727="","",IF($AA727="Yes",1,0))</f>
        <v/>
      </c>
      <c r="AO727">
        <f>IF($AK727=1,IFERROR(IF(VALUE($D727)&lt;100000000,VALUE($D727),1000000000),IFERROR(IF(VALUE(MID($D727,2,20))&lt;100000000,VALUE(MID($D727,2,20)),1000000000),1000000000))+ROW()/100000,"")</f>
        <v/>
      </c>
    </row>
    <row r="728">
      <c r="F728" s="11" t="n"/>
      <c r="N728" s="7">
        <f>IF($D728="","",M728*V728/100)</f>
        <v/>
      </c>
      <c r="O728" s="7" t="n"/>
      <c r="U728" s="7" t="n"/>
      <c r="V728" s="7" t="n"/>
      <c r="W728" s="7">
        <f>IF($D728="","",V728*AB728/100)</f>
        <v/>
      </c>
      <c r="X728" s="7">
        <f>IF($D728="","",V728-W728)</f>
        <v/>
      </c>
      <c r="Y728" s="7">
        <f>IF($D728="","",X728-N728)</f>
        <v/>
      </c>
      <c r="AB728">
        <f>IF($D728="","",IF($AN728=1,0,IF($AM728=1,Settings!$C$6,Settings!$C$7))*100)</f>
        <v/>
      </c>
      <c r="AF728" s="7" t="n"/>
      <c r="AI728" s="11" t="n"/>
      <c r="AK728">
        <f>IF($D728="","",IF(COUNTIF($D$2:$D728,$D728)=1,1,0))</f>
        <v/>
      </c>
      <c r="AL728">
        <f>IF($AK728=1,SUMPRODUCT(--($AO$2:$AO$1501&lt;$AO728))+1,"")</f>
        <v/>
      </c>
      <c r="AM728">
        <f>IF($D728="","",IF(OR($R728=TRUE(),$R728="TRUE"),1,0))</f>
        <v/>
      </c>
      <c r="AN728">
        <f>IF($D728="","",IF($AA728="Yes",1,0))</f>
        <v/>
      </c>
      <c r="AO728">
        <f>IF($AK728=1,IFERROR(IF(VALUE($D728)&lt;100000000,VALUE($D728),1000000000),IFERROR(IF(VALUE(MID($D728,2,20))&lt;100000000,VALUE(MID($D728,2,20)),1000000000),1000000000))+ROW()/100000,"")</f>
        <v/>
      </c>
    </row>
    <row r="729">
      <c r="F729" s="11" t="n"/>
      <c r="N729" s="7">
        <f>IF($D729="","",M729*V729/100)</f>
        <v/>
      </c>
      <c r="O729" s="7" t="n"/>
      <c r="U729" s="7" t="n"/>
      <c r="V729" s="7" t="n"/>
      <c r="W729" s="7">
        <f>IF($D729="","",V729*AB729/100)</f>
        <v/>
      </c>
      <c r="X729" s="7">
        <f>IF($D729="","",V729-W729)</f>
        <v/>
      </c>
      <c r="Y729" s="7">
        <f>IF($D729="","",X729-N729)</f>
        <v/>
      </c>
      <c r="AB729">
        <f>IF($D729="","",IF($AN729=1,0,IF($AM729=1,Settings!$C$6,Settings!$C$7))*100)</f>
        <v/>
      </c>
      <c r="AF729" s="7" t="n"/>
      <c r="AI729" s="11" t="n"/>
      <c r="AK729">
        <f>IF($D729="","",IF(COUNTIF($D$2:$D729,$D729)=1,1,0))</f>
        <v/>
      </c>
      <c r="AL729">
        <f>IF($AK729=1,SUMPRODUCT(--($AO$2:$AO$1501&lt;$AO729))+1,"")</f>
        <v/>
      </c>
      <c r="AM729">
        <f>IF($D729="","",IF(OR($R729=TRUE(),$R729="TRUE"),1,0))</f>
        <v/>
      </c>
      <c r="AN729">
        <f>IF($D729="","",IF($AA729="Yes",1,0))</f>
        <v/>
      </c>
      <c r="AO729">
        <f>IF($AK729=1,IFERROR(IF(VALUE($D729)&lt;100000000,VALUE($D729),1000000000),IFERROR(IF(VALUE(MID($D729,2,20))&lt;100000000,VALUE(MID($D729,2,20)),1000000000),1000000000))+ROW()/100000,"")</f>
        <v/>
      </c>
    </row>
    <row r="730">
      <c r="F730" s="11" t="n"/>
      <c r="N730" s="7">
        <f>IF($D730="","",M730*V730/100)</f>
        <v/>
      </c>
      <c r="O730" s="7" t="n"/>
      <c r="U730" s="7" t="n"/>
      <c r="V730" s="7" t="n"/>
      <c r="W730" s="7">
        <f>IF($D730="","",V730*AB730/100)</f>
        <v/>
      </c>
      <c r="X730" s="7">
        <f>IF($D730="","",V730-W730)</f>
        <v/>
      </c>
      <c r="Y730" s="7">
        <f>IF($D730="","",X730-N730)</f>
        <v/>
      </c>
      <c r="AB730">
        <f>IF($D730="","",IF($AN730=1,0,IF($AM730=1,Settings!$C$6,Settings!$C$7))*100)</f>
        <v/>
      </c>
      <c r="AF730" s="7" t="n"/>
      <c r="AI730" s="11" t="n"/>
      <c r="AK730">
        <f>IF($D730="","",IF(COUNTIF($D$2:$D730,$D730)=1,1,0))</f>
        <v/>
      </c>
      <c r="AL730">
        <f>IF($AK730=1,SUMPRODUCT(--($AO$2:$AO$1501&lt;$AO730))+1,"")</f>
        <v/>
      </c>
      <c r="AM730">
        <f>IF($D730="","",IF(OR($R730=TRUE(),$R730="TRUE"),1,0))</f>
        <v/>
      </c>
      <c r="AN730">
        <f>IF($D730="","",IF($AA730="Yes",1,0))</f>
        <v/>
      </c>
      <c r="AO730">
        <f>IF($AK730=1,IFERROR(IF(VALUE($D730)&lt;100000000,VALUE($D730),1000000000),IFERROR(IF(VALUE(MID($D730,2,20))&lt;100000000,VALUE(MID($D730,2,20)),1000000000),1000000000))+ROW()/100000,"")</f>
        <v/>
      </c>
    </row>
    <row r="731">
      <c r="F731" s="11" t="n"/>
      <c r="N731" s="7">
        <f>IF($D731="","",M731*V731/100)</f>
        <v/>
      </c>
      <c r="O731" s="7" t="n"/>
      <c r="U731" s="7" t="n"/>
      <c r="V731" s="7" t="n"/>
      <c r="W731" s="7">
        <f>IF($D731="","",V731*AB731/100)</f>
        <v/>
      </c>
      <c r="X731" s="7">
        <f>IF($D731="","",V731-W731)</f>
        <v/>
      </c>
      <c r="Y731" s="7">
        <f>IF($D731="","",X731-N731)</f>
        <v/>
      </c>
      <c r="AB731">
        <f>IF($D731="","",IF($AN731=1,0,IF($AM731=1,Settings!$C$6,Settings!$C$7))*100)</f>
        <v/>
      </c>
      <c r="AF731" s="7" t="n"/>
      <c r="AI731" s="11" t="n"/>
      <c r="AK731">
        <f>IF($D731="","",IF(COUNTIF($D$2:$D731,$D731)=1,1,0))</f>
        <v/>
      </c>
      <c r="AL731">
        <f>IF($AK731=1,SUMPRODUCT(--($AO$2:$AO$1501&lt;$AO731))+1,"")</f>
        <v/>
      </c>
      <c r="AM731">
        <f>IF($D731="","",IF(OR($R731=TRUE(),$R731="TRUE"),1,0))</f>
        <v/>
      </c>
      <c r="AN731">
        <f>IF($D731="","",IF($AA731="Yes",1,0))</f>
        <v/>
      </c>
      <c r="AO731">
        <f>IF($AK731=1,IFERROR(IF(VALUE($D731)&lt;100000000,VALUE($D731),1000000000),IFERROR(IF(VALUE(MID($D731,2,20))&lt;100000000,VALUE(MID($D731,2,20)),1000000000),1000000000))+ROW()/100000,"")</f>
        <v/>
      </c>
    </row>
    <row r="732">
      <c r="F732" s="11" t="n"/>
      <c r="N732" s="7">
        <f>IF($D732="","",M732*V732/100)</f>
        <v/>
      </c>
      <c r="O732" s="7" t="n"/>
      <c r="U732" s="7" t="n"/>
      <c r="V732" s="7" t="n"/>
      <c r="W732" s="7">
        <f>IF($D732="","",V732*AB732/100)</f>
        <v/>
      </c>
      <c r="X732" s="7">
        <f>IF($D732="","",V732-W732)</f>
        <v/>
      </c>
      <c r="Y732" s="7">
        <f>IF($D732="","",X732-N732)</f>
        <v/>
      </c>
      <c r="AB732">
        <f>IF($D732="","",IF($AN732=1,0,IF($AM732=1,Settings!$C$6,Settings!$C$7))*100)</f>
        <v/>
      </c>
      <c r="AF732" s="7" t="n"/>
      <c r="AI732" s="11" t="n"/>
      <c r="AK732">
        <f>IF($D732="","",IF(COUNTIF($D$2:$D732,$D732)=1,1,0))</f>
        <v/>
      </c>
      <c r="AL732">
        <f>IF($AK732=1,SUMPRODUCT(--($AO$2:$AO$1501&lt;$AO732))+1,"")</f>
        <v/>
      </c>
      <c r="AM732">
        <f>IF($D732="","",IF(OR($R732=TRUE(),$R732="TRUE"),1,0))</f>
        <v/>
      </c>
      <c r="AN732">
        <f>IF($D732="","",IF($AA732="Yes",1,0))</f>
        <v/>
      </c>
      <c r="AO732">
        <f>IF($AK732=1,IFERROR(IF(VALUE($D732)&lt;100000000,VALUE($D732),1000000000),IFERROR(IF(VALUE(MID($D732,2,20))&lt;100000000,VALUE(MID($D732,2,20)),1000000000),1000000000))+ROW()/100000,"")</f>
        <v/>
      </c>
    </row>
    <row r="733">
      <c r="F733" s="11" t="n"/>
      <c r="N733" s="7">
        <f>IF($D733="","",M733*V733/100)</f>
        <v/>
      </c>
      <c r="O733" s="7" t="n"/>
      <c r="U733" s="7" t="n"/>
      <c r="V733" s="7" t="n"/>
      <c r="W733" s="7">
        <f>IF($D733="","",V733*AB733/100)</f>
        <v/>
      </c>
      <c r="X733" s="7">
        <f>IF($D733="","",V733-W733)</f>
        <v/>
      </c>
      <c r="Y733" s="7">
        <f>IF($D733="","",X733-N733)</f>
        <v/>
      </c>
      <c r="AB733">
        <f>IF($D733="","",IF($AN733=1,0,IF($AM733=1,Settings!$C$6,Settings!$C$7))*100)</f>
        <v/>
      </c>
      <c r="AF733" s="7" t="n"/>
      <c r="AI733" s="11" t="n"/>
      <c r="AK733">
        <f>IF($D733="","",IF(COUNTIF($D$2:$D733,$D733)=1,1,0))</f>
        <v/>
      </c>
      <c r="AL733">
        <f>IF($AK733=1,SUMPRODUCT(--($AO$2:$AO$1501&lt;$AO733))+1,"")</f>
        <v/>
      </c>
      <c r="AM733">
        <f>IF($D733="","",IF(OR($R733=TRUE(),$R733="TRUE"),1,0))</f>
        <v/>
      </c>
      <c r="AN733">
        <f>IF($D733="","",IF($AA733="Yes",1,0))</f>
        <v/>
      </c>
      <c r="AO733">
        <f>IF($AK733=1,IFERROR(IF(VALUE($D733)&lt;100000000,VALUE($D733),1000000000),IFERROR(IF(VALUE(MID($D733,2,20))&lt;100000000,VALUE(MID($D733,2,20)),1000000000),1000000000))+ROW()/100000,"")</f>
        <v/>
      </c>
    </row>
    <row r="734">
      <c r="F734" s="11" t="n"/>
      <c r="N734" s="7">
        <f>IF($D734="","",M734*V734/100)</f>
        <v/>
      </c>
      <c r="O734" s="7" t="n"/>
      <c r="U734" s="7" t="n"/>
      <c r="V734" s="7" t="n"/>
      <c r="W734" s="7">
        <f>IF($D734="","",V734*AB734/100)</f>
        <v/>
      </c>
      <c r="X734" s="7">
        <f>IF($D734="","",V734-W734)</f>
        <v/>
      </c>
      <c r="Y734" s="7">
        <f>IF($D734="","",X734-N734)</f>
        <v/>
      </c>
      <c r="AB734">
        <f>IF($D734="","",IF($AN734=1,0,IF($AM734=1,Settings!$C$6,Settings!$C$7))*100)</f>
        <v/>
      </c>
      <c r="AF734" s="7" t="n"/>
      <c r="AI734" s="11" t="n"/>
      <c r="AK734">
        <f>IF($D734="","",IF(COUNTIF($D$2:$D734,$D734)=1,1,0))</f>
        <v/>
      </c>
      <c r="AL734">
        <f>IF($AK734=1,SUMPRODUCT(--($AO$2:$AO$1501&lt;$AO734))+1,"")</f>
        <v/>
      </c>
      <c r="AM734">
        <f>IF($D734="","",IF(OR($R734=TRUE(),$R734="TRUE"),1,0))</f>
        <v/>
      </c>
      <c r="AN734">
        <f>IF($D734="","",IF($AA734="Yes",1,0))</f>
        <v/>
      </c>
      <c r="AO734">
        <f>IF($AK734=1,IFERROR(IF(VALUE($D734)&lt;100000000,VALUE($D734),1000000000),IFERROR(IF(VALUE(MID($D734,2,20))&lt;100000000,VALUE(MID($D734,2,20)),1000000000),1000000000))+ROW()/100000,"")</f>
        <v/>
      </c>
    </row>
    <row r="735">
      <c r="F735" s="11" t="n"/>
      <c r="N735" s="7">
        <f>IF($D735="","",M735*V735/100)</f>
        <v/>
      </c>
      <c r="O735" s="7" t="n"/>
      <c r="U735" s="7" t="n"/>
      <c r="V735" s="7" t="n"/>
      <c r="W735" s="7">
        <f>IF($D735="","",V735*AB735/100)</f>
        <v/>
      </c>
      <c r="X735" s="7">
        <f>IF($D735="","",V735-W735)</f>
        <v/>
      </c>
      <c r="Y735" s="7">
        <f>IF($D735="","",X735-N735)</f>
        <v/>
      </c>
      <c r="AB735">
        <f>IF($D735="","",IF($AN735=1,0,IF($AM735=1,Settings!$C$6,Settings!$C$7))*100)</f>
        <v/>
      </c>
      <c r="AF735" s="7" t="n"/>
      <c r="AI735" s="11" t="n"/>
      <c r="AK735">
        <f>IF($D735="","",IF(COUNTIF($D$2:$D735,$D735)=1,1,0))</f>
        <v/>
      </c>
      <c r="AL735">
        <f>IF($AK735=1,SUMPRODUCT(--($AO$2:$AO$1501&lt;$AO735))+1,"")</f>
        <v/>
      </c>
      <c r="AM735">
        <f>IF($D735="","",IF(OR($R735=TRUE(),$R735="TRUE"),1,0))</f>
        <v/>
      </c>
      <c r="AN735">
        <f>IF($D735="","",IF($AA735="Yes",1,0))</f>
        <v/>
      </c>
      <c r="AO735">
        <f>IF($AK735=1,IFERROR(IF(VALUE($D735)&lt;100000000,VALUE($D735),1000000000),IFERROR(IF(VALUE(MID($D735,2,20))&lt;100000000,VALUE(MID($D735,2,20)),1000000000),1000000000))+ROW()/100000,"")</f>
        <v/>
      </c>
    </row>
    <row r="736">
      <c r="F736" s="11" t="n"/>
      <c r="N736" s="7">
        <f>IF($D736="","",M736*V736/100)</f>
        <v/>
      </c>
      <c r="O736" s="7" t="n"/>
      <c r="U736" s="7" t="n"/>
      <c r="V736" s="7" t="n"/>
      <c r="W736" s="7">
        <f>IF($D736="","",V736*AB736/100)</f>
        <v/>
      </c>
      <c r="X736" s="7">
        <f>IF($D736="","",V736-W736)</f>
        <v/>
      </c>
      <c r="Y736" s="7">
        <f>IF($D736="","",X736-N736)</f>
        <v/>
      </c>
      <c r="AB736">
        <f>IF($D736="","",IF($AN736=1,0,IF($AM736=1,Settings!$C$6,Settings!$C$7))*100)</f>
        <v/>
      </c>
      <c r="AF736" s="7" t="n"/>
      <c r="AI736" s="11" t="n"/>
      <c r="AK736">
        <f>IF($D736="","",IF(COUNTIF($D$2:$D736,$D736)=1,1,0))</f>
        <v/>
      </c>
      <c r="AL736">
        <f>IF($AK736=1,SUMPRODUCT(--($AO$2:$AO$1501&lt;$AO736))+1,"")</f>
        <v/>
      </c>
      <c r="AM736">
        <f>IF($D736="","",IF(OR($R736=TRUE(),$R736="TRUE"),1,0))</f>
        <v/>
      </c>
      <c r="AN736">
        <f>IF($D736="","",IF($AA736="Yes",1,0))</f>
        <v/>
      </c>
      <c r="AO736">
        <f>IF($AK736=1,IFERROR(IF(VALUE($D736)&lt;100000000,VALUE($D736),1000000000),IFERROR(IF(VALUE(MID($D736,2,20))&lt;100000000,VALUE(MID($D736,2,20)),1000000000),1000000000))+ROW()/100000,"")</f>
        <v/>
      </c>
    </row>
    <row r="737">
      <c r="F737" s="11" t="n"/>
      <c r="N737" s="7">
        <f>IF($D737="","",M737*V737/100)</f>
        <v/>
      </c>
      <c r="O737" s="7" t="n"/>
      <c r="U737" s="7" t="n"/>
      <c r="V737" s="7" t="n"/>
      <c r="W737" s="7">
        <f>IF($D737="","",V737*AB737/100)</f>
        <v/>
      </c>
      <c r="X737" s="7">
        <f>IF($D737="","",V737-W737)</f>
        <v/>
      </c>
      <c r="Y737" s="7">
        <f>IF($D737="","",X737-N737)</f>
        <v/>
      </c>
      <c r="AB737">
        <f>IF($D737="","",IF($AN737=1,0,IF($AM737=1,Settings!$C$6,Settings!$C$7))*100)</f>
        <v/>
      </c>
      <c r="AF737" s="7" t="n"/>
      <c r="AI737" s="11" t="n"/>
      <c r="AK737">
        <f>IF($D737="","",IF(COUNTIF($D$2:$D737,$D737)=1,1,0))</f>
        <v/>
      </c>
      <c r="AL737">
        <f>IF($AK737=1,SUMPRODUCT(--($AO$2:$AO$1501&lt;$AO737))+1,"")</f>
        <v/>
      </c>
      <c r="AM737">
        <f>IF($D737="","",IF(OR($R737=TRUE(),$R737="TRUE"),1,0))</f>
        <v/>
      </c>
      <c r="AN737">
        <f>IF($D737="","",IF($AA737="Yes",1,0))</f>
        <v/>
      </c>
      <c r="AO737">
        <f>IF($AK737=1,IFERROR(IF(VALUE($D737)&lt;100000000,VALUE($D737),1000000000),IFERROR(IF(VALUE(MID($D737,2,20))&lt;100000000,VALUE(MID($D737,2,20)),1000000000),1000000000))+ROW()/100000,"")</f>
        <v/>
      </c>
    </row>
    <row r="738">
      <c r="F738" s="11" t="n"/>
      <c r="N738" s="7">
        <f>IF($D738="","",M738*V738/100)</f>
        <v/>
      </c>
      <c r="O738" s="7" t="n"/>
      <c r="U738" s="7" t="n"/>
      <c r="V738" s="7" t="n"/>
      <c r="W738" s="7">
        <f>IF($D738="","",V738*AB738/100)</f>
        <v/>
      </c>
      <c r="X738" s="7">
        <f>IF($D738="","",V738-W738)</f>
        <v/>
      </c>
      <c r="Y738" s="7">
        <f>IF($D738="","",X738-N738)</f>
        <v/>
      </c>
      <c r="AB738">
        <f>IF($D738="","",IF($AN738=1,0,IF($AM738=1,Settings!$C$6,Settings!$C$7))*100)</f>
        <v/>
      </c>
      <c r="AF738" s="7" t="n"/>
      <c r="AI738" s="11" t="n"/>
      <c r="AK738">
        <f>IF($D738="","",IF(COUNTIF($D$2:$D738,$D738)=1,1,0))</f>
        <v/>
      </c>
      <c r="AL738">
        <f>IF($AK738=1,SUMPRODUCT(--($AO$2:$AO$1501&lt;$AO738))+1,"")</f>
        <v/>
      </c>
      <c r="AM738">
        <f>IF($D738="","",IF(OR($R738=TRUE(),$R738="TRUE"),1,0))</f>
        <v/>
      </c>
      <c r="AN738">
        <f>IF($D738="","",IF($AA738="Yes",1,0))</f>
        <v/>
      </c>
      <c r="AO738">
        <f>IF($AK738=1,IFERROR(IF(VALUE($D738)&lt;100000000,VALUE($D738),1000000000),IFERROR(IF(VALUE(MID($D738,2,20))&lt;100000000,VALUE(MID($D738,2,20)),1000000000),1000000000))+ROW()/100000,"")</f>
        <v/>
      </c>
    </row>
    <row r="739">
      <c r="F739" s="11" t="n"/>
      <c r="N739" s="7">
        <f>IF($D739="","",M739*V739/100)</f>
        <v/>
      </c>
      <c r="O739" s="7" t="n"/>
      <c r="U739" s="7" t="n"/>
      <c r="V739" s="7" t="n"/>
      <c r="W739" s="7">
        <f>IF($D739="","",V739*AB739/100)</f>
        <v/>
      </c>
      <c r="X739" s="7">
        <f>IF($D739="","",V739-W739)</f>
        <v/>
      </c>
      <c r="Y739" s="7">
        <f>IF($D739="","",X739-N739)</f>
        <v/>
      </c>
      <c r="AB739">
        <f>IF($D739="","",IF($AN739=1,0,IF($AM739=1,Settings!$C$6,Settings!$C$7))*100)</f>
        <v/>
      </c>
      <c r="AF739" s="7" t="n"/>
      <c r="AI739" s="11" t="n"/>
      <c r="AK739">
        <f>IF($D739="","",IF(COUNTIF($D$2:$D739,$D739)=1,1,0))</f>
        <v/>
      </c>
      <c r="AL739">
        <f>IF($AK739=1,SUMPRODUCT(--($AO$2:$AO$1501&lt;$AO739))+1,"")</f>
        <v/>
      </c>
      <c r="AM739">
        <f>IF($D739="","",IF(OR($R739=TRUE(),$R739="TRUE"),1,0))</f>
        <v/>
      </c>
      <c r="AN739">
        <f>IF($D739="","",IF($AA739="Yes",1,0))</f>
        <v/>
      </c>
      <c r="AO739">
        <f>IF($AK739=1,IFERROR(IF(VALUE($D739)&lt;100000000,VALUE($D739),1000000000),IFERROR(IF(VALUE(MID($D739,2,20))&lt;100000000,VALUE(MID($D739,2,20)),1000000000),1000000000))+ROW()/100000,"")</f>
        <v/>
      </c>
    </row>
    <row r="740">
      <c r="F740" s="11" t="n"/>
      <c r="N740" s="7">
        <f>IF($D740="","",M740*V740/100)</f>
        <v/>
      </c>
      <c r="O740" s="7" t="n"/>
      <c r="U740" s="7" t="n"/>
      <c r="V740" s="7" t="n"/>
      <c r="W740" s="7">
        <f>IF($D740="","",V740*AB740/100)</f>
        <v/>
      </c>
      <c r="X740" s="7">
        <f>IF($D740="","",V740-W740)</f>
        <v/>
      </c>
      <c r="Y740" s="7">
        <f>IF($D740="","",X740-N740)</f>
        <v/>
      </c>
      <c r="AB740">
        <f>IF($D740="","",IF($AN740=1,0,IF($AM740=1,Settings!$C$6,Settings!$C$7))*100)</f>
        <v/>
      </c>
      <c r="AF740" s="7" t="n"/>
      <c r="AI740" s="11" t="n"/>
      <c r="AK740">
        <f>IF($D740="","",IF(COUNTIF($D$2:$D740,$D740)=1,1,0))</f>
        <v/>
      </c>
      <c r="AL740">
        <f>IF($AK740=1,SUMPRODUCT(--($AO$2:$AO$1501&lt;$AO740))+1,"")</f>
        <v/>
      </c>
      <c r="AM740">
        <f>IF($D740="","",IF(OR($R740=TRUE(),$R740="TRUE"),1,0))</f>
        <v/>
      </c>
      <c r="AN740">
        <f>IF($D740="","",IF($AA740="Yes",1,0))</f>
        <v/>
      </c>
      <c r="AO740">
        <f>IF($AK740=1,IFERROR(IF(VALUE($D740)&lt;100000000,VALUE($D740),1000000000),IFERROR(IF(VALUE(MID($D740,2,20))&lt;100000000,VALUE(MID($D740,2,20)),1000000000),1000000000))+ROW()/100000,"")</f>
        <v/>
      </c>
    </row>
    <row r="741">
      <c r="F741" s="11" t="n"/>
      <c r="N741" s="7">
        <f>IF($D741="","",M741*V741/100)</f>
        <v/>
      </c>
      <c r="O741" s="7" t="n"/>
      <c r="U741" s="7" t="n"/>
      <c r="V741" s="7" t="n"/>
      <c r="W741" s="7">
        <f>IF($D741="","",V741*AB741/100)</f>
        <v/>
      </c>
      <c r="X741" s="7">
        <f>IF($D741="","",V741-W741)</f>
        <v/>
      </c>
      <c r="Y741" s="7">
        <f>IF($D741="","",X741-N741)</f>
        <v/>
      </c>
      <c r="AB741">
        <f>IF($D741="","",IF($AN741=1,0,IF($AM741=1,Settings!$C$6,Settings!$C$7))*100)</f>
        <v/>
      </c>
      <c r="AF741" s="7" t="n"/>
      <c r="AI741" s="11" t="n"/>
      <c r="AK741">
        <f>IF($D741="","",IF(COUNTIF($D$2:$D741,$D741)=1,1,0))</f>
        <v/>
      </c>
      <c r="AL741">
        <f>IF($AK741=1,SUMPRODUCT(--($AO$2:$AO$1501&lt;$AO741))+1,"")</f>
        <v/>
      </c>
      <c r="AM741">
        <f>IF($D741="","",IF(OR($R741=TRUE(),$R741="TRUE"),1,0))</f>
        <v/>
      </c>
      <c r="AN741">
        <f>IF($D741="","",IF($AA741="Yes",1,0))</f>
        <v/>
      </c>
      <c r="AO741">
        <f>IF($AK741=1,IFERROR(IF(VALUE($D741)&lt;100000000,VALUE($D741),1000000000),IFERROR(IF(VALUE(MID($D741,2,20))&lt;100000000,VALUE(MID($D741,2,20)),1000000000),1000000000))+ROW()/100000,"")</f>
        <v/>
      </c>
    </row>
    <row r="742">
      <c r="F742" s="11" t="n"/>
      <c r="N742" s="7">
        <f>IF($D742="","",M742*V742/100)</f>
        <v/>
      </c>
      <c r="O742" s="7" t="n"/>
      <c r="U742" s="7" t="n"/>
      <c r="V742" s="7" t="n"/>
      <c r="W742" s="7">
        <f>IF($D742="","",V742*AB742/100)</f>
        <v/>
      </c>
      <c r="X742" s="7">
        <f>IF($D742="","",V742-W742)</f>
        <v/>
      </c>
      <c r="Y742" s="7">
        <f>IF($D742="","",X742-N742)</f>
        <v/>
      </c>
      <c r="AB742">
        <f>IF($D742="","",IF($AN742=1,0,IF($AM742=1,Settings!$C$6,Settings!$C$7))*100)</f>
        <v/>
      </c>
      <c r="AF742" s="7" t="n"/>
      <c r="AI742" s="11" t="n"/>
      <c r="AK742">
        <f>IF($D742="","",IF(COUNTIF($D$2:$D742,$D742)=1,1,0))</f>
        <v/>
      </c>
      <c r="AL742">
        <f>IF($AK742=1,SUMPRODUCT(--($AO$2:$AO$1501&lt;$AO742))+1,"")</f>
        <v/>
      </c>
      <c r="AM742">
        <f>IF($D742="","",IF(OR($R742=TRUE(),$R742="TRUE"),1,0))</f>
        <v/>
      </c>
      <c r="AN742">
        <f>IF($D742="","",IF($AA742="Yes",1,0))</f>
        <v/>
      </c>
      <c r="AO742">
        <f>IF($AK742=1,IFERROR(IF(VALUE($D742)&lt;100000000,VALUE($D742),1000000000),IFERROR(IF(VALUE(MID($D742,2,20))&lt;100000000,VALUE(MID($D742,2,20)),1000000000),1000000000))+ROW()/100000,"")</f>
        <v/>
      </c>
    </row>
    <row r="743">
      <c r="F743" s="11" t="n"/>
      <c r="N743" s="7">
        <f>IF($D743="","",M743*V743/100)</f>
        <v/>
      </c>
      <c r="O743" s="7" t="n"/>
      <c r="U743" s="7" t="n"/>
      <c r="V743" s="7" t="n"/>
      <c r="W743" s="7">
        <f>IF($D743="","",V743*AB743/100)</f>
        <v/>
      </c>
      <c r="X743" s="7">
        <f>IF($D743="","",V743-W743)</f>
        <v/>
      </c>
      <c r="Y743" s="7">
        <f>IF($D743="","",X743-N743)</f>
        <v/>
      </c>
      <c r="AB743">
        <f>IF($D743="","",IF($AN743=1,0,IF($AM743=1,Settings!$C$6,Settings!$C$7))*100)</f>
        <v/>
      </c>
      <c r="AF743" s="7" t="n"/>
      <c r="AI743" s="11" t="n"/>
      <c r="AK743">
        <f>IF($D743="","",IF(COUNTIF($D$2:$D743,$D743)=1,1,0))</f>
        <v/>
      </c>
      <c r="AL743">
        <f>IF($AK743=1,SUMPRODUCT(--($AO$2:$AO$1501&lt;$AO743))+1,"")</f>
        <v/>
      </c>
      <c r="AM743">
        <f>IF($D743="","",IF(OR($R743=TRUE(),$R743="TRUE"),1,0))</f>
        <v/>
      </c>
      <c r="AN743">
        <f>IF($D743="","",IF($AA743="Yes",1,0))</f>
        <v/>
      </c>
      <c r="AO743">
        <f>IF($AK743=1,IFERROR(IF(VALUE($D743)&lt;100000000,VALUE($D743),1000000000),IFERROR(IF(VALUE(MID($D743,2,20))&lt;100000000,VALUE(MID($D743,2,20)),1000000000),1000000000))+ROW()/100000,"")</f>
        <v/>
      </c>
    </row>
    <row r="744">
      <c r="F744" s="11" t="n"/>
      <c r="N744" s="7">
        <f>IF($D744="","",M744*V744/100)</f>
        <v/>
      </c>
      <c r="O744" s="7" t="n"/>
      <c r="U744" s="7" t="n"/>
      <c r="V744" s="7" t="n"/>
      <c r="W744" s="7">
        <f>IF($D744="","",V744*AB744/100)</f>
        <v/>
      </c>
      <c r="X744" s="7">
        <f>IF($D744="","",V744-W744)</f>
        <v/>
      </c>
      <c r="Y744" s="7">
        <f>IF($D744="","",X744-N744)</f>
        <v/>
      </c>
      <c r="AB744">
        <f>IF($D744="","",IF($AN744=1,0,IF($AM744=1,Settings!$C$6,Settings!$C$7))*100)</f>
        <v/>
      </c>
      <c r="AF744" s="7" t="n"/>
      <c r="AI744" s="11" t="n"/>
      <c r="AK744">
        <f>IF($D744="","",IF(COUNTIF($D$2:$D744,$D744)=1,1,0))</f>
        <v/>
      </c>
      <c r="AL744">
        <f>IF($AK744=1,SUMPRODUCT(--($AO$2:$AO$1501&lt;$AO744))+1,"")</f>
        <v/>
      </c>
      <c r="AM744">
        <f>IF($D744="","",IF(OR($R744=TRUE(),$R744="TRUE"),1,0))</f>
        <v/>
      </c>
      <c r="AN744">
        <f>IF($D744="","",IF($AA744="Yes",1,0))</f>
        <v/>
      </c>
      <c r="AO744">
        <f>IF($AK744=1,IFERROR(IF(VALUE($D744)&lt;100000000,VALUE($D744),1000000000),IFERROR(IF(VALUE(MID($D744,2,20))&lt;100000000,VALUE(MID($D744,2,20)),1000000000),1000000000))+ROW()/100000,"")</f>
        <v/>
      </c>
    </row>
    <row r="745">
      <c r="F745" s="11" t="n"/>
      <c r="N745" s="7">
        <f>IF($D745="","",M745*V745/100)</f>
        <v/>
      </c>
      <c r="O745" s="7" t="n"/>
      <c r="U745" s="7" t="n"/>
      <c r="V745" s="7" t="n"/>
      <c r="W745" s="7">
        <f>IF($D745="","",V745*AB745/100)</f>
        <v/>
      </c>
      <c r="X745" s="7">
        <f>IF($D745="","",V745-W745)</f>
        <v/>
      </c>
      <c r="Y745" s="7">
        <f>IF($D745="","",X745-N745)</f>
        <v/>
      </c>
      <c r="AB745">
        <f>IF($D745="","",IF($AN745=1,0,IF($AM745=1,Settings!$C$6,Settings!$C$7))*100)</f>
        <v/>
      </c>
      <c r="AF745" s="7" t="n"/>
      <c r="AI745" s="11" t="n"/>
      <c r="AK745">
        <f>IF($D745="","",IF(COUNTIF($D$2:$D745,$D745)=1,1,0))</f>
        <v/>
      </c>
      <c r="AL745">
        <f>IF($AK745=1,SUMPRODUCT(--($AO$2:$AO$1501&lt;$AO745))+1,"")</f>
        <v/>
      </c>
      <c r="AM745">
        <f>IF($D745="","",IF(OR($R745=TRUE(),$R745="TRUE"),1,0))</f>
        <v/>
      </c>
      <c r="AN745">
        <f>IF($D745="","",IF($AA745="Yes",1,0))</f>
        <v/>
      </c>
      <c r="AO745">
        <f>IF($AK745=1,IFERROR(IF(VALUE($D745)&lt;100000000,VALUE($D745),1000000000),IFERROR(IF(VALUE(MID($D745,2,20))&lt;100000000,VALUE(MID($D745,2,20)),1000000000),1000000000))+ROW()/100000,"")</f>
        <v/>
      </c>
    </row>
    <row r="746">
      <c r="F746" s="11" t="n"/>
      <c r="N746" s="7">
        <f>IF($D746="","",M746*V746/100)</f>
        <v/>
      </c>
      <c r="O746" s="7" t="n"/>
      <c r="U746" s="7" t="n"/>
      <c r="V746" s="7" t="n"/>
      <c r="W746" s="7">
        <f>IF($D746="","",V746*AB746/100)</f>
        <v/>
      </c>
      <c r="X746" s="7">
        <f>IF($D746="","",V746-W746)</f>
        <v/>
      </c>
      <c r="Y746" s="7">
        <f>IF($D746="","",X746-N746)</f>
        <v/>
      </c>
      <c r="AB746">
        <f>IF($D746="","",IF($AN746=1,0,IF($AM746=1,Settings!$C$6,Settings!$C$7))*100)</f>
        <v/>
      </c>
      <c r="AF746" s="7" t="n"/>
      <c r="AI746" s="11" t="n"/>
      <c r="AK746">
        <f>IF($D746="","",IF(COUNTIF($D$2:$D746,$D746)=1,1,0))</f>
        <v/>
      </c>
      <c r="AL746">
        <f>IF($AK746=1,SUMPRODUCT(--($AO$2:$AO$1501&lt;$AO746))+1,"")</f>
        <v/>
      </c>
      <c r="AM746">
        <f>IF($D746="","",IF(OR($R746=TRUE(),$R746="TRUE"),1,0))</f>
        <v/>
      </c>
      <c r="AN746">
        <f>IF($D746="","",IF($AA746="Yes",1,0))</f>
        <v/>
      </c>
      <c r="AO746">
        <f>IF($AK746=1,IFERROR(IF(VALUE($D746)&lt;100000000,VALUE($D746),1000000000),IFERROR(IF(VALUE(MID($D746,2,20))&lt;100000000,VALUE(MID($D746,2,20)),1000000000),1000000000))+ROW()/100000,"")</f>
        <v/>
      </c>
    </row>
    <row r="747">
      <c r="F747" s="11" t="n"/>
      <c r="N747" s="7">
        <f>IF($D747="","",M747*V747/100)</f>
        <v/>
      </c>
      <c r="O747" s="7" t="n"/>
      <c r="U747" s="7" t="n"/>
      <c r="V747" s="7" t="n"/>
      <c r="W747" s="7">
        <f>IF($D747="","",V747*AB747/100)</f>
        <v/>
      </c>
      <c r="X747" s="7">
        <f>IF($D747="","",V747-W747)</f>
        <v/>
      </c>
      <c r="Y747" s="7">
        <f>IF($D747="","",X747-N747)</f>
        <v/>
      </c>
      <c r="AB747">
        <f>IF($D747="","",IF($AN747=1,0,IF($AM747=1,Settings!$C$6,Settings!$C$7))*100)</f>
        <v/>
      </c>
      <c r="AF747" s="7" t="n"/>
      <c r="AI747" s="11" t="n"/>
      <c r="AK747">
        <f>IF($D747="","",IF(COUNTIF($D$2:$D747,$D747)=1,1,0))</f>
        <v/>
      </c>
      <c r="AL747">
        <f>IF($AK747=1,SUMPRODUCT(--($AO$2:$AO$1501&lt;$AO747))+1,"")</f>
        <v/>
      </c>
      <c r="AM747">
        <f>IF($D747="","",IF(OR($R747=TRUE(),$R747="TRUE"),1,0))</f>
        <v/>
      </c>
      <c r="AN747">
        <f>IF($D747="","",IF($AA747="Yes",1,0))</f>
        <v/>
      </c>
      <c r="AO747">
        <f>IF($AK747=1,IFERROR(IF(VALUE($D747)&lt;100000000,VALUE($D747),1000000000),IFERROR(IF(VALUE(MID($D747,2,20))&lt;100000000,VALUE(MID($D747,2,20)),1000000000),1000000000))+ROW()/100000,"")</f>
        <v/>
      </c>
    </row>
    <row r="748">
      <c r="F748" s="11" t="n"/>
      <c r="N748" s="7">
        <f>IF($D748="","",M748*V748/100)</f>
        <v/>
      </c>
      <c r="O748" s="7" t="n"/>
      <c r="U748" s="7" t="n"/>
      <c r="V748" s="7" t="n"/>
      <c r="W748" s="7">
        <f>IF($D748="","",V748*AB748/100)</f>
        <v/>
      </c>
      <c r="X748" s="7">
        <f>IF($D748="","",V748-W748)</f>
        <v/>
      </c>
      <c r="Y748" s="7">
        <f>IF($D748="","",X748-N748)</f>
        <v/>
      </c>
      <c r="AB748">
        <f>IF($D748="","",IF($AN748=1,0,IF($AM748=1,Settings!$C$6,Settings!$C$7))*100)</f>
        <v/>
      </c>
      <c r="AF748" s="7" t="n"/>
      <c r="AI748" s="11" t="n"/>
      <c r="AK748">
        <f>IF($D748="","",IF(COUNTIF($D$2:$D748,$D748)=1,1,0))</f>
        <v/>
      </c>
      <c r="AL748">
        <f>IF($AK748=1,SUMPRODUCT(--($AO$2:$AO$1501&lt;$AO748))+1,"")</f>
        <v/>
      </c>
      <c r="AM748">
        <f>IF($D748="","",IF(OR($R748=TRUE(),$R748="TRUE"),1,0))</f>
        <v/>
      </c>
      <c r="AN748">
        <f>IF($D748="","",IF($AA748="Yes",1,0))</f>
        <v/>
      </c>
      <c r="AO748">
        <f>IF($AK748=1,IFERROR(IF(VALUE($D748)&lt;100000000,VALUE($D748),1000000000),IFERROR(IF(VALUE(MID($D748,2,20))&lt;100000000,VALUE(MID($D748,2,20)),1000000000),1000000000))+ROW()/100000,"")</f>
        <v/>
      </c>
    </row>
    <row r="749">
      <c r="F749" s="11" t="n"/>
      <c r="N749" s="7">
        <f>IF($D749="","",M749*V749/100)</f>
        <v/>
      </c>
      <c r="O749" s="7" t="n"/>
      <c r="U749" s="7" t="n"/>
      <c r="V749" s="7" t="n"/>
      <c r="W749" s="7">
        <f>IF($D749="","",V749*AB749/100)</f>
        <v/>
      </c>
      <c r="X749" s="7">
        <f>IF($D749="","",V749-W749)</f>
        <v/>
      </c>
      <c r="Y749" s="7">
        <f>IF($D749="","",X749-N749)</f>
        <v/>
      </c>
      <c r="AB749">
        <f>IF($D749="","",IF($AN749=1,0,IF($AM749=1,Settings!$C$6,Settings!$C$7))*100)</f>
        <v/>
      </c>
      <c r="AF749" s="7" t="n"/>
      <c r="AI749" s="11" t="n"/>
      <c r="AK749">
        <f>IF($D749="","",IF(COUNTIF($D$2:$D749,$D749)=1,1,0))</f>
        <v/>
      </c>
      <c r="AL749">
        <f>IF($AK749=1,SUMPRODUCT(--($AO$2:$AO$1501&lt;$AO749))+1,"")</f>
        <v/>
      </c>
      <c r="AM749">
        <f>IF($D749="","",IF(OR($R749=TRUE(),$R749="TRUE"),1,0))</f>
        <v/>
      </c>
      <c r="AN749">
        <f>IF($D749="","",IF($AA749="Yes",1,0))</f>
        <v/>
      </c>
      <c r="AO749">
        <f>IF($AK749=1,IFERROR(IF(VALUE($D749)&lt;100000000,VALUE($D749),1000000000),IFERROR(IF(VALUE(MID($D749,2,20))&lt;100000000,VALUE(MID($D749,2,20)),1000000000),1000000000))+ROW()/100000,"")</f>
        <v/>
      </c>
    </row>
    <row r="750">
      <c r="F750" s="11" t="n"/>
      <c r="N750" s="7">
        <f>IF($D750="","",M750*V750/100)</f>
        <v/>
      </c>
      <c r="O750" s="7" t="n"/>
      <c r="U750" s="7" t="n"/>
      <c r="V750" s="7" t="n"/>
      <c r="W750" s="7">
        <f>IF($D750="","",V750*AB750/100)</f>
        <v/>
      </c>
      <c r="X750" s="7">
        <f>IF($D750="","",V750-W750)</f>
        <v/>
      </c>
      <c r="Y750" s="7">
        <f>IF($D750="","",X750-N750)</f>
        <v/>
      </c>
      <c r="AB750">
        <f>IF($D750="","",IF($AN750=1,0,IF($AM750=1,Settings!$C$6,Settings!$C$7))*100)</f>
        <v/>
      </c>
      <c r="AF750" s="7" t="n"/>
      <c r="AI750" s="11" t="n"/>
      <c r="AK750">
        <f>IF($D750="","",IF(COUNTIF($D$2:$D750,$D750)=1,1,0))</f>
        <v/>
      </c>
      <c r="AL750">
        <f>IF($AK750=1,SUMPRODUCT(--($AO$2:$AO$1501&lt;$AO750))+1,"")</f>
        <v/>
      </c>
      <c r="AM750">
        <f>IF($D750="","",IF(OR($R750=TRUE(),$R750="TRUE"),1,0))</f>
        <v/>
      </c>
      <c r="AN750">
        <f>IF($D750="","",IF($AA750="Yes",1,0))</f>
        <v/>
      </c>
      <c r="AO750">
        <f>IF($AK750=1,IFERROR(IF(VALUE($D750)&lt;100000000,VALUE($D750),1000000000),IFERROR(IF(VALUE(MID($D750,2,20))&lt;100000000,VALUE(MID($D750,2,20)),1000000000),1000000000))+ROW()/100000,"")</f>
        <v/>
      </c>
    </row>
    <row r="751">
      <c r="F751" s="11" t="n"/>
      <c r="N751" s="7">
        <f>IF($D751="","",M751*V751/100)</f>
        <v/>
      </c>
      <c r="O751" s="7" t="n"/>
      <c r="U751" s="7" t="n"/>
      <c r="V751" s="7" t="n"/>
      <c r="W751" s="7">
        <f>IF($D751="","",V751*AB751/100)</f>
        <v/>
      </c>
      <c r="X751" s="7">
        <f>IF($D751="","",V751-W751)</f>
        <v/>
      </c>
      <c r="Y751" s="7">
        <f>IF($D751="","",X751-N751)</f>
        <v/>
      </c>
      <c r="AB751">
        <f>IF($D751="","",IF($AN751=1,0,IF($AM751=1,Settings!$C$6,Settings!$C$7))*100)</f>
        <v/>
      </c>
      <c r="AF751" s="7" t="n"/>
      <c r="AI751" s="11" t="n"/>
      <c r="AK751">
        <f>IF($D751="","",IF(COUNTIF($D$2:$D751,$D751)=1,1,0))</f>
        <v/>
      </c>
      <c r="AL751">
        <f>IF($AK751=1,SUMPRODUCT(--($AO$2:$AO$1501&lt;$AO751))+1,"")</f>
        <v/>
      </c>
      <c r="AM751">
        <f>IF($D751="","",IF(OR($R751=TRUE(),$R751="TRUE"),1,0))</f>
        <v/>
      </c>
      <c r="AN751">
        <f>IF($D751="","",IF($AA751="Yes",1,0))</f>
        <v/>
      </c>
      <c r="AO751">
        <f>IF($AK751=1,IFERROR(IF(VALUE($D751)&lt;100000000,VALUE($D751),1000000000),IFERROR(IF(VALUE(MID($D751,2,20))&lt;100000000,VALUE(MID($D751,2,20)),1000000000),1000000000))+ROW()/100000,"")</f>
        <v/>
      </c>
    </row>
    <row r="752">
      <c r="F752" s="11" t="n"/>
      <c r="N752" s="7">
        <f>IF($D752="","",M752*V752/100)</f>
        <v/>
      </c>
      <c r="O752" s="7" t="n"/>
      <c r="U752" s="7" t="n"/>
      <c r="V752" s="7" t="n"/>
      <c r="W752" s="7">
        <f>IF($D752="","",V752*AB752/100)</f>
        <v/>
      </c>
      <c r="X752" s="7">
        <f>IF($D752="","",V752-W752)</f>
        <v/>
      </c>
      <c r="Y752" s="7">
        <f>IF($D752="","",X752-N752)</f>
        <v/>
      </c>
      <c r="AB752">
        <f>IF($D752="","",IF($AN752=1,0,IF($AM752=1,Settings!$C$6,Settings!$C$7))*100)</f>
        <v/>
      </c>
      <c r="AF752" s="7" t="n"/>
      <c r="AI752" s="11" t="n"/>
      <c r="AK752">
        <f>IF($D752="","",IF(COUNTIF($D$2:$D752,$D752)=1,1,0))</f>
        <v/>
      </c>
      <c r="AL752">
        <f>IF($AK752=1,SUMPRODUCT(--($AO$2:$AO$1501&lt;$AO752))+1,"")</f>
        <v/>
      </c>
      <c r="AM752">
        <f>IF($D752="","",IF(OR($R752=TRUE(),$R752="TRUE"),1,0))</f>
        <v/>
      </c>
      <c r="AN752">
        <f>IF($D752="","",IF($AA752="Yes",1,0))</f>
        <v/>
      </c>
      <c r="AO752">
        <f>IF($AK752=1,IFERROR(IF(VALUE($D752)&lt;100000000,VALUE($D752),1000000000),IFERROR(IF(VALUE(MID($D752,2,20))&lt;100000000,VALUE(MID($D752,2,20)),1000000000),1000000000))+ROW()/100000,"")</f>
        <v/>
      </c>
    </row>
    <row r="753">
      <c r="F753" s="11" t="n"/>
      <c r="N753" s="7">
        <f>IF($D753="","",M753*V753/100)</f>
        <v/>
      </c>
      <c r="O753" s="7" t="n"/>
      <c r="U753" s="7" t="n"/>
      <c r="V753" s="7" t="n"/>
      <c r="W753" s="7">
        <f>IF($D753="","",V753*AB753/100)</f>
        <v/>
      </c>
      <c r="X753" s="7">
        <f>IF($D753="","",V753-W753)</f>
        <v/>
      </c>
      <c r="Y753" s="7">
        <f>IF($D753="","",X753-N753)</f>
        <v/>
      </c>
      <c r="AB753">
        <f>IF($D753="","",IF($AN753=1,0,IF($AM753=1,Settings!$C$6,Settings!$C$7))*100)</f>
        <v/>
      </c>
      <c r="AF753" s="7" t="n"/>
      <c r="AI753" s="11" t="n"/>
      <c r="AK753">
        <f>IF($D753="","",IF(COUNTIF($D$2:$D753,$D753)=1,1,0))</f>
        <v/>
      </c>
      <c r="AL753">
        <f>IF($AK753=1,SUMPRODUCT(--($AO$2:$AO$1501&lt;$AO753))+1,"")</f>
        <v/>
      </c>
      <c r="AM753">
        <f>IF($D753="","",IF(OR($R753=TRUE(),$R753="TRUE"),1,0))</f>
        <v/>
      </c>
      <c r="AN753">
        <f>IF($D753="","",IF($AA753="Yes",1,0))</f>
        <v/>
      </c>
      <c r="AO753">
        <f>IF($AK753=1,IFERROR(IF(VALUE($D753)&lt;100000000,VALUE($D753),1000000000),IFERROR(IF(VALUE(MID($D753,2,20))&lt;100000000,VALUE(MID($D753,2,20)),1000000000),1000000000))+ROW()/100000,"")</f>
        <v/>
      </c>
    </row>
    <row r="754">
      <c r="F754" s="11" t="n"/>
      <c r="N754" s="7">
        <f>IF($D754="","",M754*V754/100)</f>
        <v/>
      </c>
      <c r="O754" s="7" t="n"/>
      <c r="U754" s="7" t="n"/>
      <c r="V754" s="7" t="n"/>
      <c r="W754" s="7">
        <f>IF($D754="","",V754*AB754/100)</f>
        <v/>
      </c>
      <c r="X754" s="7">
        <f>IF($D754="","",V754-W754)</f>
        <v/>
      </c>
      <c r="Y754" s="7">
        <f>IF($D754="","",X754-N754)</f>
        <v/>
      </c>
      <c r="AB754">
        <f>IF($D754="","",IF($AN754=1,0,IF($AM754=1,Settings!$C$6,Settings!$C$7))*100)</f>
        <v/>
      </c>
      <c r="AF754" s="7" t="n"/>
      <c r="AI754" s="11" t="n"/>
      <c r="AK754">
        <f>IF($D754="","",IF(COUNTIF($D$2:$D754,$D754)=1,1,0))</f>
        <v/>
      </c>
      <c r="AL754">
        <f>IF($AK754=1,SUMPRODUCT(--($AO$2:$AO$1501&lt;$AO754))+1,"")</f>
        <v/>
      </c>
      <c r="AM754">
        <f>IF($D754="","",IF(OR($R754=TRUE(),$R754="TRUE"),1,0))</f>
        <v/>
      </c>
      <c r="AN754">
        <f>IF($D754="","",IF($AA754="Yes",1,0))</f>
        <v/>
      </c>
      <c r="AO754">
        <f>IF($AK754=1,IFERROR(IF(VALUE($D754)&lt;100000000,VALUE($D754),1000000000),IFERROR(IF(VALUE(MID($D754,2,20))&lt;100000000,VALUE(MID($D754,2,20)),1000000000),1000000000))+ROW()/100000,"")</f>
        <v/>
      </c>
    </row>
    <row r="755">
      <c r="F755" s="11" t="n"/>
      <c r="N755" s="7">
        <f>IF($D755="","",M755*V755/100)</f>
        <v/>
      </c>
      <c r="O755" s="7" t="n"/>
      <c r="U755" s="7" t="n"/>
      <c r="V755" s="7" t="n"/>
      <c r="W755" s="7">
        <f>IF($D755="","",V755*AB755/100)</f>
        <v/>
      </c>
      <c r="X755" s="7">
        <f>IF($D755="","",V755-W755)</f>
        <v/>
      </c>
      <c r="Y755" s="7">
        <f>IF($D755="","",X755-N755)</f>
        <v/>
      </c>
      <c r="AB755">
        <f>IF($D755="","",IF($AN755=1,0,IF($AM755=1,Settings!$C$6,Settings!$C$7))*100)</f>
        <v/>
      </c>
      <c r="AF755" s="7" t="n"/>
      <c r="AI755" s="11" t="n"/>
      <c r="AK755">
        <f>IF($D755="","",IF(COUNTIF($D$2:$D755,$D755)=1,1,0))</f>
        <v/>
      </c>
      <c r="AL755">
        <f>IF($AK755=1,SUMPRODUCT(--($AO$2:$AO$1501&lt;$AO755))+1,"")</f>
        <v/>
      </c>
      <c r="AM755">
        <f>IF($D755="","",IF(OR($R755=TRUE(),$R755="TRUE"),1,0))</f>
        <v/>
      </c>
      <c r="AN755">
        <f>IF($D755="","",IF($AA755="Yes",1,0))</f>
        <v/>
      </c>
      <c r="AO755">
        <f>IF($AK755=1,IFERROR(IF(VALUE($D755)&lt;100000000,VALUE($D755),1000000000),IFERROR(IF(VALUE(MID($D755,2,20))&lt;100000000,VALUE(MID($D755,2,20)),1000000000),1000000000))+ROW()/100000,"")</f>
        <v/>
      </c>
    </row>
    <row r="756">
      <c r="F756" s="11" t="n"/>
      <c r="N756" s="7">
        <f>IF($D756="","",M756*V756/100)</f>
        <v/>
      </c>
      <c r="O756" s="7" t="n"/>
      <c r="U756" s="7" t="n"/>
      <c r="V756" s="7" t="n"/>
      <c r="W756" s="7">
        <f>IF($D756="","",V756*AB756/100)</f>
        <v/>
      </c>
      <c r="X756" s="7">
        <f>IF($D756="","",V756-W756)</f>
        <v/>
      </c>
      <c r="Y756" s="7">
        <f>IF($D756="","",X756-N756)</f>
        <v/>
      </c>
      <c r="AB756">
        <f>IF($D756="","",IF($AN756=1,0,IF($AM756=1,Settings!$C$6,Settings!$C$7))*100)</f>
        <v/>
      </c>
      <c r="AF756" s="7" t="n"/>
      <c r="AI756" s="11" t="n"/>
      <c r="AK756">
        <f>IF($D756="","",IF(COUNTIF($D$2:$D756,$D756)=1,1,0))</f>
        <v/>
      </c>
      <c r="AL756">
        <f>IF($AK756=1,SUMPRODUCT(--($AO$2:$AO$1501&lt;$AO756))+1,"")</f>
        <v/>
      </c>
      <c r="AM756">
        <f>IF($D756="","",IF(OR($R756=TRUE(),$R756="TRUE"),1,0))</f>
        <v/>
      </c>
      <c r="AN756">
        <f>IF($D756="","",IF($AA756="Yes",1,0))</f>
        <v/>
      </c>
      <c r="AO756">
        <f>IF($AK756=1,IFERROR(IF(VALUE($D756)&lt;100000000,VALUE($D756),1000000000),IFERROR(IF(VALUE(MID($D756,2,20))&lt;100000000,VALUE(MID($D756,2,20)),1000000000),1000000000))+ROW()/100000,"")</f>
        <v/>
      </c>
    </row>
    <row r="757">
      <c r="F757" s="11" t="n"/>
      <c r="N757" s="7">
        <f>IF($D757="","",M757*V757/100)</f>
        <v/>
      </c>
      <c r="O757" s="7" t="n"/>
      <c r="U757" s="7" t="n"/>
      <c r="V757" s="7" t="n"/>
      <c r="W757" s="7">
        <f>IF($D757="","",V757*AB757/100)</f>
        <v/>
      </c>
      <c r="X757" s="7">
        <f>IF($D757="","",V757-W757)</f>
        <v/>
      </c>
      <c r="Y757" s="7">
        <f>IF($D757="","",X757-N757)</f>
        <v/>
      </c>
      <c r="AB757">
        <f>IF($D757="","",IF($AN757=1,0,IF($AM757=1,Settings!$C$6,Settings!$C$7))*100)</f>
        <v/>
      </c>
      <c r="AF757" s="7" t="n"/>
      <c r="AI757" s="11" t="n"/>
      <c r="AK757">
        <f>IF($D757="","",IF(COUNTIF($D$2:$D757,$D757)=1,1,0))</f>
        <v/>
      </c>
      <c r="AL757">
        <f>IF($AK757=1,SUMPRODUCT(--($AO$2:$AO$1501&lt;$AO757))+1,"")</f>
        <v/>
      </c>
      <c r="AM757">
        <f>IF($D757="","",IF(OR($R757=TRUE(),$R757="TRUE"),1,0))</f>
        <v/>
      </c>
      <c r="AN757">
        <f>IF($D757="","",IF($AA757="Yes",1,0))</f>
        <v/>
      </c>
      <c r="AO757">
        <f>IF($AK757=1,IFERROR(IF(VALUE($D757)&lt;100000000,VALUE($D757),1000000000),IFERROR(IF(VALUE(MID($D757,2,20))&lt;100000000,VALUE(MID($D757,2,20)),1000000000),1000000000))+ROW()/100000,"")</f>
        <v/>
      </c>
    </row>
    <row r="758">
      <c r="F758" s="11" t="n"/>
      <c r="N758" s="7">
        <f>IF($D758="","",M758*V758/100)</f>
        <v/>
      </c>
      <c r="O758" s="7" t="n"/>
      <c r="U758" s="7" t="n"/>
      <c r="V758" s="7" t="n"/>
      <c r="W758" s="7">
        <f>IF($D758="","",V758*AB758/100)</f>
        <v/>
      </c>
      <c r="X758" s="7">
        <f>IF($D758="","",V758-W758)</f>
        <v/>
      </c>
      <c r="Y758" s="7">
        <f>IF($D758="","",X758-N758)</f>
        <v/>
      </c>
      <c r="AB758">
        <f>IF($D758="","",IF($AN758=1,0,IF($AM758=1,Settings!$C$6,Settings!$C$7))*100)</f>
        <v/>
      </c>
      <c r="AF758" s="7" t="n"/>
      <c r="AI758" s="11" t="n"/>
      <c r="AK758">
        <f>IF($D758="","",IF(COUNTIF($D$2:$D758,$D758)=1,1,0))</f>
        <v/>
      </c>
      <c r="AL758">
        <f>IF($AK758=1,SUMPRODUCT(--($AO$2:$AO$1501&lt;$AO758))+1,"")</f>
        <v/>
      </c>
      <c r="AM758">
        <f>IF($D758="","",IF(OR($R758=TRUE(),$R758="TRUE"),1,0))</f>
        <v/>
      </c>
      <c r="AN758">
        <f>IF($D758="","",IF($AA758="Yes",1,0))</f>
        <v/>
      </c>
      <c r="AO758">
        <f>IF($AK758=1,IFERROR(IF(VALUE($D758)&lt;100000000,VALUE($D758),1000000000),IFERROR(IF(VALUE(MID($D758,2,20))&lt;100000000,VALUE(MID($D758,2,20)),1000000000),1000000000))+ROW()/100000,"")</f>
        <v/>
      </c>
    </row>
    <row r="759">
      <c r="F759" s="11" t="n"/>
      <c r="N759" s="7">
        <f>IF($D759="","",M759*V759/100)</f>
        <v/>
      </c>
      <c r="O759" s="7" t="n"/>
      <c r="U759" s="7" t="n"/>
      <c r="V759" s="7" t="n"/>
      <c r="W759" s="7">
        <f>IF($D759="","",V759*AB759/100)</f>
        <v/>
      </c>
      <c r="X759" s="7">
        <f>IF($D759="","",V759-W759)</f>
        <v/>
      </c>
      <c r="Y759" s="7">
        <f>IF($D759="","",X759-N759)</f>
        <v/>
      </c>
      <c r="AB759">
        <f>IF($D759="","",IF($AN759=1,0,IF($AM759=1,Settings!$C$6,Settings!$C$7))*100)</f>
        <v/>
      </c>
      <c r="AF759" s="7" t="n"/>
      <c r="AI759" s="11" t="n"/>
      <c r="AK759">
        <f>IF($D759="","",IF(COUNTIF($D$2:$D759,$D759)=1,1,0))</f>
        <v/>
      </c>
      <c r="AL759">
        <f>IF($AK759=1,SUMPRODUCT(--($AO$2:$AO$1501&lt;$AO759))+1,"")</f>
        <v/>
      </c>
      <c r="AM759">
        <f>IF($D759="","",IF(OR($R759=TRUE(),$R759="TRUE"),1,0))</f>
        <v/>
      </c>
      <c r="AN759">
        <f>IF($D759="","",IF($AA759="Yes",1,0))</f>
        <v/>
      </c>
      <c r="AO759">
        <f>IF($AK759=1,IFERROR(IF(VALUE($D759)&lt;100000000,VALUE($D759),1000000000),IFERROR(IF(VALUE(MID($D759,2,20))&lt;100000000,VALUE(MID($D759,2,20)),1000000000),1000000000))+ROW()/100000,"")</f>
        <v/>
      </c>
    </row>
    <row r="760">
      <c r="F760" s="11" t="n"/>
      <c r="N760" s="7">
        <f>IF($D760="","",M760*V760/100)</f>
        <v/>
      </c>
      <c r="O760" s="7" t="n"/>
      <c r="U760" s="7" t="n"/>
      <c r="V760" s="7" t="n"/>
      <c r="W760" s="7">
        <f>IF($D760="","",V760*AB760/100)</f>
        <v/>
      </c>
      <c r="X760" s="7">
        <f>IF($D760="","",V760-W760)</f>
        <v/>
      </c>
      <c r="Y760" s="7">
        <f>IF($D760="","",X760-N760)</f>
        <v/>
      </c>
      <c r="AB760">
        <f>IF($D760="","",IF($AN760=1,0,IF($AM760=1,Settings!$C$6,Settings!$C$7))*100)</f>
        <v/>
      </c>
      <c r="AF760" s="7" t="n"/>
      <c r="AI760" s="11" t="n"/>
      <c r="AK760">
        <f>IF($D760="","",IF(COUNTIF($D$2:$D760,$D760)=1,1,0))</f>
        <v/>
      </c>
      <c r="AL760">
        <f>IF($AK760=1,SUMPRODUCT(--($AO$2:$AO$1501&lt;$AO760))+1,"")</f>
        <v/>
      </c>
      <c r="AM760">
        <f>IF($D760="","",IF(OR($R760=TRUE(),$R760="TRUE"),1,0))</f>
        <v/>
      </c>
      <c r="AN760">
        <f>IF($D760="","",IF($AA760="Yes",1,0))</f>
        <v/>
      </c>
      <c r="AO760">
        <f>IF($AK760=1,IFERROR(IF(VALUE($D760)&lt;100000000,VALUE($D760),1000000000),IFERROR(IF(VALUE(MID($D760,2,20))&lt;100000000,VALUE(MID($D760,2,20)),1000000000),1000000000))+ROW()/100000,"")</f>
        <v/>
      </c>
    </row>
    <row r="761">
      <c r="F761" s="11" t="n"/>
      <c r="N761" s="7">
        <f>IF($D761="","",M761*V761/100)</f>
        <v/>
      </c>
      <c r="O761" s="7" t="n"/>
      <c r="U761" s="7" t="n"/>
      <c r="V761" s="7" t="n"/>
      <c r="W761" s="7">
        <f>IF($D761="","",V761*AB761/100)</f>
        <v/>
      </c>
      <c r="X761" s="7">
        <f>IF($D761="","",V761-W761)</f>
        <v/>
      </c>
      <c r="Y761" s="7">
        <f>IF($D761="","",X761-N761)</f>
        <v/>
      </c>
      <c r="AB761">
        <f>IF($D761="","",IF($AN761=1,0,IF($AM761=1,Settings!$C$6,Settings!$C$7))*100)</f>
        <v/>
      </c>
      <c r="AF761" s="7" t="n"/>
      <c r="AI761" s="11" t="n"/>
      <c r="AK761">
        <f>IF($D761="","",IF(COUNTIF($D$2:$D761,$D761)=1,1,0))</f>
        <v/>
      </c>
      <c r="AL761">
        <f>IF($AK761=1,SUMPRODUCT(--($AO$2:$AO$1501&lt;$AO761))+1,"")</f>
        <v/>
      </c>
      <c r="AM761">
        <f>IF($D761="","",IF(OR($R761=TRUE(),$R761="TRUE"),1,0))</f>
        <v/>
      </c>
      <c r="AN761">
        <f>IF($D761="","",IF($AA761="Yes",1,0))</f>
        <v/>
      </c>
      <c r="AO761">
        <f>IF($AK761=1,IFERROR(IF(VALUE($D761)&lt;100000000,VALUE($D761),1000000000),IFERROR(IF(VALUE(MID($D761,2,20))&lt;100000000,VALUE(MID($D761,2,20)),1000000000),1000000000))+ROW()/100000,"")</f>
        <v/>
      </c>
    </row>
    <row r="762">
      <c r="F762" s="11" t="n"/>
      <c r="N762" s="7">
        <f>IF($D762="","",M762*V762/100)</f>
        <v/>
      </c>
      <c r="O762" s="7" t="n"/>
      <c r="U762" s="7" t="n"/>
      <c r="V762" s="7" t="n"/>
      <c r="W762" s="7">
        <f>IF($D762="","",V762*AB762/100)</f>
        <v/>
      </c>
      <c r="X762" s="7">
        <f>IF($D762="","",V762-W762)</f>
        <v/>
      </c>
      <c r="Y762" s="7">
        <f>IF($D762="","",X762-N762)</f>
        <v/>
      </c>
      <c r="AB762">
        <f>IF($D762="","",IF($AN762=1,0,IF($AM762=1,Settings!$C$6,Settings!$C$7))*100)</f>
        <v/>
      </c>
      <c r="AF762" s="7" t="n"/>
      <c r="AI762" s="11" t="n"/>
      <c r="AK762">
        <f>IF($D762="","",IF(COUNTIF($D$2:$D762,$D762)=1,1,0))</f>
        <v/>
      </c>
      <c r="AL762">
        <f>IF($AK762=1,SUMPRODUCT(--($AO$2:$AO$1501&lt;$AO762))+1,"")</f>
        <v/>
      </c>
      <c r="AM762">
        <f>IF($D762="","",IF(OR($R762=TRUE(),$R762="TRUE"),1,0))</f>
        <v/>
      </c>
      <c r="AN762">
        <f>IF($D762="","",IF($AA762="Yes",1,0))</f>
        <v/>
      </c>
      <c r="AO762">
        <f>IF($AK762=1,IFERROR(IF(VALUE($D762)&lt;100000000,VALUE($D762),1000000000),IFERROR(IF(VALUE(MID($D762,2,20))&lt;100000000,VALUE(MID($D762,2,20)),1000000000),1000000000))+ROW()/100000,"")</f>
        <v/>
      </c>
    </row>
    <row r="763">
      <c r="F763" s="11" t="n"/>
      <c r="N763" s="7">
        <f>IF($D763="","",M763*V763/100)</f>
        <v/>
      </c>
      <c r="O763" s="7" t="n"/>
      <c r="U763" s="7" t="n"/>
      <c r="V763" s="7" t="n"/>
      <c r="W763" s="7">
        <f>IF($D763="","",V763*AB763/100)</f>
        <v/>
      </c>
      <c r="X763" s="7">
        <f>IF($D763="","",V763-W763)</f>
        <v/>
      </c>
      <c r="Y763" s="7">
        <f>IF($D763="","",X763-N763)</f>
        <v/>
      </c>
      <c r="AB763">
        <f>IF($D763="","",IF($AN763=1,0,IF($AM763=1,Settings!$C$6,Settings!$C$7))*100)</f>
        <v/>
      </c>
      <c r="AF763" s="7" t="n"/>
      <c r="AI763" s="11" t="n"/>
      <c r="AK763">
        <f>IF($D763="","",IF(COUNTIF($D$2:$D763,$D763)=1,1,0))</f>
        <v/>
      </c>
      <c r="AL763">
        <f>IF($AK763=1,SUMPRODUCT(--($AO$2:$AO$1501&lt;$AO763))+1,"")</f>
        <v/>
      </c>
      <c r="AM763">
        <f>IF($D763="","",IF(OR($R763=TRUE(),$R763="TRUE"),1,0))</f>
        <v/>
      </c>
      <c r="AN763">
        <f>IF($D763="","",IF($AA763="Yes",1,0))</f>
        <v/>
      </c>
      <c r="AO763">
        <f>IF($AK763=1,IFERROR(IF(VALUE($D763)&lt;100000000,VALUE($D763),1000000000),IFERROR(IF(VALUE(MID($D763,2,20))&lt;100000000,VALUE(MID($D763,2,20)),1000000000),1000000000))+ROW()/100000,"")</f>
        <v/>
      </c>
    </row>
    <row r="764">
      <c r="F764" s="11" t="n"/>
      <c r="N764" s="7">
        <f>IF($D764="","",M764*V764/100)</f>
        <v/>
      </c>
      <c r="O764" s="7" t="n"/>
      <c r="U764" s="7" t="n"/>
      <c r="V764" s="7" t="n"/>
      <c r="W764" s="7">
        <f>IF($D764="","",V764*AB764/100)</f>
        <v/>
      </c>
      <c r="X764" s="7">
        <f>IF($D764="","",V764-W764)</f>
        <v/>
      </c>
      <c r="Y764" s="7">
        <f>IF($D764="","",X764-N764)</f>
        <v/>
      </c>
      <c r="AB764">
        <f>IF($D764="","",IF($AN764=1,0,IF($AM764=1,Settings!$C$6,Settings!$C$7))*100)</f>
        <v/>
      </c>
      <c r="AF764" s="7" t="n"/>
      <c r="AI764" s="11" t="n"/>
      <c r="AK764">
        <f>IF($D764="","",IF(COUNTIF($D$2:$D764,$D764)=1,1,0))</f>
        <v/>
      </c>
      <c r="AL764">
        <f>IF($AK764=1,SUMPRODUCT(--($AO$2:$AO$1501&lt;$AO764))+1,"")</f>
        <v/>
      </c>
      <c r="AM764">
        <f>IF($D764="","",IF(OR($R764=TRUE(),$R764="TRUE"),1,0))</f>
        <v/>
      </c>
      <c r="AN764">
        <f>IF($D764="","",IF($AA764="Yes",1,0))</f>
        <v/>
      </c>
      <c r="AO764">
        <f>IF($AK764=1,IFERROR(IF(VALUE($D764)&lt;100000000,VALUE($D764),1000000000),IFERROR(IF(VALUE(MID($D764,2,20))&lt;100000000,VALUE(MID($D764,2,20)),1000000000),1000000000))+ROW()/100000,"")</f>
        <v/>
      </c>
    </row>
    <row r="765">
      <c r="F765" s="11" t="n"/>
      <c r="N765" s="7">
        <f>IF($D765="","",M765*V765/100)</f>
        <v/>
      </c>
      <c r="O765" s="7" t="n"/>
      <c r="U765" s="7" t="n"/>
      <c r="V765" s="7" t="n"/>
      <c r="W765" s="7">
        <f>IF($D765="","",V765*AB765/100)</f>
        <v/>
      </c>
      <c r="X765" s="7">
        <f>IF($D765="","",V765-W765)</f>
        <v/>
      </c>
      <c r="Y765" s="7">
        <f>IF($D765="","",X765-N765)</f>
        <v/>
      </c>
      <c r="AB765">
        <f>IF($D765="","",IF($AN765=1,0,IF($AM765=1,Settings!$C$6,Settings!$C$7))*100)</f>
        <v/>
      </c>
      <c r="AF765" s="7" t="n"/>
      <c r="AI765" s="11" t="n"/>
      <c r="AK765">
        <f>IF($D765="","",IF(COUNTIF($D$2:$D765,$D765)=1,1,0))</f>
        <v/>
      </c>
      <c r="AL765">
        <f>IF($AK765=1,SUMPRODUCT(--($AO$2:$AO$1501&lt;$AO765))+1,"")</f>
        <v/>
      </c>
      <c r="AM765">
        <f>IF($D765="","",IF(OR($R765=TRUE(),$R765="TRUE"),1,0))</f>
        <v/>
      </c>
      <c r="AN765">
        <f>IF($D765="","",IF($AA765="Yes",1,0))</f>
        <v/>
      </c>
      <c r="AO765">
        <f>IF($AK765=1,IFERROR(IF(VALUE($D765)&lt;100000000,VALUE($D765),1000000000),IFERROR(IF(VALUE(MID($D765,2,20))&lt;100000000,VALUE(MID($D765,2,20)),1000000000),1000000000))+ROW()/100000,"")</f>
        <v/>
      </c>
    </row>
    <row r="766">
      <c r="F766" s="11" t="n"/>
      <c r="N766" s="7">
        <f>IF($D766="","",M766*V766/100)</f>
        <v/>
      </c>
      <c r="O766" s="7" t="n"/>
      <c r="U766" s="7" t="n"/>
      <c r="V766" s="7" t="n"/>
      <c r="W766" s="7">
        <f>IF($D766="","",V766*AB766/100)</f>
        <v/>
      </c>
      <c r="X766" s="7">
        <f>IF($D766="","",V766-W766)</f>
        <v/>
      </c>
      <c r="Y766" s="7">
        <f>IF($D766="","",X766-N766)</f>
        <v/>
      </c>
      <c r="AB766">
        <f>IF($D766="","",IF($AN766=1,0,IF($AM766=1,Settings!$C$6,Settings!$C$7))*100)</f>
        <v/>
      </c>
      <c r="AF766" s="7" t="n"/>
      <c r="AI766" s="11" t="n"/>
      <c r="AK766">
        <f>IF($D766="","",IF(COUNTIF($D$2:$D766,$D766)=1,1,0))</f>
        <v/>
      </c>
      <c r="AL766">
        <f>IF($AK766=1,SUMPRODUCT(--($AO$2:$AO$1501&lt;$AO766))+1,"")</f>
        <v/>
      </c>
      <c r="AM766">
        <f>IF($D766="","",IF(OR($R766=TRUE(),$R766="TRUE"),1,0))</f>
        <v/>
      </c>
      <c r="AN766">
        <f>IF($D766="","",IF($AA766="Yes",1,0))</f>
        <v/>
      </c>
      <c r="AO766">
        <f>IF($AK766=1,IFERROR(IF(VALUE($D766)&lt;100000000,VALUE($D766),1000000000),IFERROR(IF(VALUE(MID($D766,2,20))&lt;100000000,VALUE(MID($D766,2,20)),1000000000),1000000000))+ROW()/100000,"")</f>
        <v/>
      </c>
    </row>
    <row r="767">
      <c r="F767" s="11" t="n"/>
      <c r="N767" s="7">
        <f>IF($D767="","",M767*V767/100)</f>
        <v/>
      </c>
      <c r="O767" s="7" t="n"/>
      <c r="U767" s="7" t="n"/>
      <c r="V767" s="7" t="n"/>
      <c r="W767" s="7">
        <f>IF($D767="","",V767*AB767/100)</f>
        <v/>
      </c>
      <c r="X767" s="7">
        <f>IF($D767="","",V767-W767)</f>
        <v/>
      </c>
      <c r="Y767" s="7">
        <f>IF($D767="","",X767-N767)</f>
        <v/>
      </c>
      <c r="AB767">
        <f>IF($D767="","",IF($AN767=1,0,IF($AM767=1,Settings!$C$6,Settings!$C$7))*100)</f>
        <v/>
      </c>
      <c r="AF767" s="7" t="n"/>
      <c r="AI767" s="11" t="n"/>
      <c r="AK767">
        <f>IF($D767="","",IF(COUNTIF($D$2:$D767,$D767)=1,1,0))</f>
        <v/>
      </c>
      <c r="AL767">
        <f>IF($AK767=1,SUMPRODUCT(--($AO$2:$AO$1501&lt;$AO767))+1,"")</f>
        <v/>
      </c>
      <c r="AM767">
        <f>IF($D767="","",IF(OR($R767=TRUE(),$R767="TRUE"),1,0))</f>
        <v/>
      </c>
      <c r="AN767">
        <f>IF($D767="","",IF($AA767="Yes",1,0))</f>
        <v/>
      </c>
      <c r="AO767">
        <f>IF($AK767=1,IFERROR(IF(VALUE($D767)&lt;100000000,VALUE($D767),1000000000),IFERROR(IF(VALUE(MID($D767,2,20))&lt;100000000,VALUE(MID($D767,2,20)),1000000000),1000000000))+ROW()/100000,"")</f>
        <v/>
      </c>
    </row>
    <row r="768">
      <c r="F768" s="11" t="n"/>
      <c r="N768" s="7">
        <f>IF($D768="","",M768*V768/100)</f>
        <v/>
      </c>
      <c r="O768" s="7" t="n"/>
      <c r="U768" s="7" t="n"/>
      <c r="V768" s="7" t="n"/>
      <c r="W768" s="7">
        <f>IF($D768="","",V768*AB768/100)</f>
        <v/>
      </c>
      <c r="X768" s="7">
        <f>IF($D768="","",V768-W768)</f>
        <v/>
      </c>
      <c r="Y768" s="7">
        <f>IF($D768="","",X768-N768)</f>
        <v/>
      </c>
      <c r="AB768">
        <f>IF($D768="","",IF($AN768=1,0,IF($AM768=1,Settings!$C$6,Settings!$C$7))*100)</f>
        <v/>
      </c>
      <c r="AF768" s="7" t="n"/>
      <c r="AI768" s="11" t="n"/>
      <c r="AK768">
        <f>IF($D768="","",IF(COUNTIF($D$2:$D768,$D768)=1,1,0))</f>
        <v/>
      </c>
      <c r="AL768">
        <f>IF($AK768=1,SUMPRODUCT(--($AO$2:$AO$1501&lt;$AO768))+1,"")</f>
        <v/>
      </c>
      <c r="AM768">
        <f>IF($D768="","",IF(OR($R768=TRUE(),$R768="TRUE"),1,0))</f>
        <v/>
      </c>
      <c r="AN768">
        <f>IF($D768="","",IF($AA768="Yes",1,0))</f>
        <v/>
      </c>
      <c r="AO768">
        <f>IF($AK768=1,IFERROR(IF(VALUE($D768)&lt;100000000,VALUE($D768),1000000000),IFERROR(IF(VALUE(MID($D768,2,20))&lt;100000000,VALUE(MID($D768,2,20)),1000000000),1000000000))+ROW()/100000,"")</f>
        <v/>
      </c>
    </row>
    <row r="769">
      <c r="F769" s="11" t="n"/>
      <c r="N769" s="7">
        <f>IF($D769="","",M769*V769/100)</f>
        <v/>
      </c>
      <c r="O769" s="7" t="n"/>
      <c r="U769" s="7" t="n"/>
      <c r="V769" s="7" t="n"/>
      <c r="W769" s="7">
        <f>IF($D769="","",V769*AB769/100)</f>
        <v/>
      </c>
      <c r="X769" s="7">
        <f>IF($D769="","",V769-W769)</f>
        <v/>
      </c>
      <c r="Y769" s="7">
        <f>IF($D769="","",X769-N769)</f>
        <v/>
      </c>
      <c r="AB769">
        <f>IF($D769="","",IF($AN769=1,0,IF($AM769=1,Settings!$C$6,Settings!$C$7))*100)</f>
        <v/>
      </c>
      <c r="AF769" s="7" t="n"/>
      <c r="AI769" s="11" t="n"/>
      <c r="AK769">
        <f>IF($D769="","",IF(COUNTIF($D$2:$D769,$D769)=1,1,0))</f>
        <v/>
      </c>
      <c r="AL769">
        <f>IF($AK769=1,SUMPRODUCT(--($AO$2:$AO$1501&lt;$AO769))+1,"")</f>
        <v/>
      </c>
      <c r="AM769">
        <f>IF($D769="","",IF(OR($R769=TRUE(),$R769="TRUE"),1,0))</f>
        <v/>
      </c>
      <c r="AN769">
        <f>IF($D769="","",IF($AA769="Yes",1,0))</f>
        <v/>
      </c>
      <c r="AO769">
        <f>IF($AK769=1,IFERROR(IF(VALUE($D769)&lt;100000000,VALUE($D769),1000000000),IFERROR(IF(VALUE(MID($D769,2,20))&lt;100000000,VALUE(MID($D769,2,20)),1000000000),1000000000))+ROW()/100000,"")</f>
        <v/>
      </c>
    </row>
    <row r="770">
      <c r="F770" s="11" t="n"/>
      <c r="N770" s="7">
        <f>IF($D770="","",M770*V770/100)</f>
        <v/>
      </c>
      <c r="O770" s="7" t="n"/>
      <c r="U770" s="7" t="n"/>
      <c r="V770" s="7" t="n"/>
      <c r="W770" s="7">
        <f>IF($D770="","",V770*AB770/100)</f>
        <v/>
      </c>
      <c r="X770" s="7">
        <f>IF($D770="","",V770-W770)</f>
        <v/>
      </c>
      <c r="Y770" s="7">
        <f>IF($D770="","",X770-N770)</f>
        <v/>
      </c>
      <c r="AB770">
        <f>IF($D770="","",IF($AN770=1,0,IF($AM770=1,Settings!$C$6,Settings!$C$7))*100)</f>
        <v/>
      </c>
      <c r="AF770" s="7" t="n"/>
      <c r="AI770" s="11" t="n"/>
      <c r="AK770">
        <f>IF($D770="","",IF(COUNTIF($D$2:$D770,$D770)=1,1,0))</f>
        <v/>
      </c>
      <c r="AL770">
        <f>IF($AK770=1,SUMPRODUCT(--($AO$2:$AO$1501&lt;$AO770))+1,"")</f>
        <v/>
      </c>
      <c r="AM770">
        <f>IF($D770="","",IF(OR($R770=TRUE(),$R770="TRUE"),1,0))</f>
        <v/>
      </c>
      <c r="AN770">
        <f>IF($D770="","",IF($AA770="Yes",1,0))</f>
        <v/>
      </c>
      <c r="AO770">
        <f>IF($AK770=1,IFERROR(IF(VALUE($D770)&lt;100000000,VALUE($D770),1000000000),IFERROR(IF(VALUE(MID($D770,2,20))&lt;100000000,VALUE(MID($D770,2,20)),1000000000),1000000000))+ROW()/100000,"")</f>
        <v/>
      </c>
    </row>
    <row r="771">
      <c r="F771" s="11" t="n"/>
      <c r="N771" s="7">
        <f>IF($D771="","",M771*V771/100)</f>
        <v/>
      </c>
      <c r="O771" s="7" t="n"/>
      <c r="U771" s="7" t="n"/>
      <c r="V771" s="7" t="n"/>
      <c r="W771" s="7">
        <f>IF($D771="","",V771*AB771/100)</f>
        <v/>
      </c>
      <c r="X771" s="7">
        <f>IF($D771="","",V771-W771)</f>
        <v/>
      </c>
      <c r="Y771" s="7">
        <f>IF($D771="","",X771-N771)</f>
        <v/>
      </c>
      <c r="AB771">
        <f>IF($D771="","",IF($AN771=1,0,IF($AM771=1,Settings!$C$6,Settings!$C$7))*100)</f>
        <v/>
      </c>
      <c r="AF771" s="7" t="n"/>
      <c r="AI771" s="11" t="n"/>
      <c r="AK771">
        <f>IF($D771="","",IF(COUNTIF($D$2:$D771,$D771)=1,1,0))</f>
        <v/>
      </c>
      <c r="AL771">
        <f>IF($AK771=1,SUMPRODUCT(--($AO$2:$AO$1501&lt;$AO771))+1,"")</f>
        <v/>
      </c>
      <c r="AM771">
        <f>IF($D771="","",IF(OR($R771=TRUE(),$R771="TRUE"),1,0))</f>
        <v/>
      </c>
      <c r="AN771">
        <f>IF($D771="","",IF($AA771="Yes",1,0))</f>
        <v/>
      </c>
      <c r="AO771">
        <f>IF($AK771=1,IFERROR(IF(VALUE($D771)&lt;100000000,VALUE($D771),1000000000),IFERROR(IF(VALUE(MID($D771,2,20))&lt;100000000,VALUE(MID($D771,2,20)),1000000000),1000000000))+ROW()/100000,"")</f>
        <v/>
      </c>
    </row>
    <row r="772">
      <c r="F772" s="11" t="n"/>
      <c r="N772" s="7">
        <f>IF($D772="","",M772*V772/100)</f>
        <v/>
      </c>
      <c r="O772" s="7" t="n"/>
      <c r="U772" s="7" t="n"/>
      <c r="V772" s="7" t="n"/>
      <c r="W772" s="7">
        <f>IF($D772="","",V772*AB772/100)</f>
        <v/>
      </c>
      <c r="X772" s="7">
        <f>IF($D772="","",V772-W772)</f>
        <v/>
      </c>
      <c r="Y772" s="7">
        <f>IF($D772="","",X772-N772)</f>
        <v/>
      </c>
      <c r="AB772">
        <f>IF($D772="","",IF($AN772=1,0,IF($AM772=1,Settings!$C$6,Settings!$C$7))*100)</f>
        <v/>
      </c>
      <c r="AF772" s="7" t="n"/>
      <c r="AI772" s="11" t="n"/>
      <c r="AK772">
        <f>IF($D772="","",IF(COUNTIF($D$2:$D772,$D772)=1,1,0))</f>
        <v/>
      </c>
      <c r="AL772">
        <f>IF($AK772=1,SUMPRODUCT(--($AO$2:$AO$1501&lt;$AO772))+1,"")</f>
        <v/>
      </c>
      <c r="AM772">
        <f>IF($D772="","",IF(OR($R772=TRUE(),$R772="TRUE"),1,0))</f>
        <v/>
      </c>
      <c r="AN772">
        <f>IF($D772="","",IF($AA772="Yes",1,0))</f>
        <v/>
      </c>
      <c r="AO772">
        <f>IF($AK772=1,IFERROR(IF(VALUE($D772)&lt;100000000,VALUE($D772),1000000000),IFERROR(IF(VALUE(MID($D772,2,20))&lt;100000000,VALUE(MID($D772,2,20)),1000000000),1000000000))+ROW()/100000,"")</f>
        <v/>
      </c>
    </row>
    <row r="773">
      <c r="F773" s="11" t="n"/>
      <c r="N773" s="7">
        <f>IF($D773="","",M773*V773/100)</f>
        <v/>
      </c>
      <c r="O773" s="7" t="n"/>
      <c r="U773" s="7" t="n"/>
      <c r="V773" s="7" t="n"/>
      <c r="W773" s="7">
        <f>IF($D773="","",V773*AB773/100)</f>
        <v/>
      </c>
      <c r="X773" s="7">
        <f>IF($D773="","",V773-W773)</f>
        <v/>
      </c>
      <c r="Y773" s="7">
        <f>IF($D773="","",X773-N773)</f>
        <v/>
      </c>
      <c r="AB773">
        <f>IF($D773="","",IF($AN773=1,0,IF($AM773=1,Settings!$C$6,Settings!$C$7))*100)</f>
        <v/>
      </c>
      <c r="AF773" s="7" t="n"/>
      <c r="AI773" s="11" t="n"/>
      <c r="AK773">
        <f>IF($D773="","",IF(COUNTIF($D$2:$D773,$D773)=1,1,0))</f>
        <v/>
      </c>
      <c r="AL773">
        <f>IF($AK773=1,SUMPRODUCT(--($AO$2:$AO$1501&lt;$AO773))+1,"")</f>
        <v/>
      </c>
      <c r="AM773">
        <f>IF($D773="","",IF(OR($R773=TRUE(),$R773="TRUE"),1,0))</f>
        <v/>
      </c>
      <c r="AN773">
        <f>IF($D773="","",IF($AA773="Yes",1,0))</f>
        <v/>
      </c>
      <c r="AO773">
        <f>IF($AK773=1,IFERROR(IF(VALUE($D773)&lt;100000000,VALUE($D773),1000000000),IFERROR(IF(VALUE(MID($D773,2,20))&lt;100000000,VALUE(MID($D773,2,20)),1000000000),1000000000))+ROW()/100000,"")</f>
        <v/>
      </c>
    </row>
    <row r="774">
      <c r="F774" s="11" t="n"/>
      <c r="N774" s="7">
        <f>IF($D774="","",M774*V774/100)</f>
        <v/>
      </c>
      <c r="O774" s="7" t="n"/>
      <c r="U774" s="7" t="n"/>
      <c r="V774" s="7" t="n"/>
      <c r="W774" s="7">
        <f>IF($D774="","",V774*AB774/100)</f>
        <v/>
      </c>
      <c r="X774" s="7">
        <f>IF($D774="","",V774-W774)</f>
        <v/>
      </c>
      <c r="Y774" s="7">
        <f>IF($D774="","",X774-N774)</f>
        <v/>
      </c>
      <c r="AB774">
        <f>IF($D774="","",IF($AN774=1,0,IF($AM774=1,Settings!$C$6,Settings!$C$7))*100)</f>
        <v/>
      </c>
      <c r="AF774" s="7" t="n"/>
      <c r="AI774" s="11" t="n"/>
      <c r="AK774">
        <f>IF($D774="","",IF(COUNTIF($D$2:$D774,$D774)=1,1,0))</f>
        <v/>
      </c>
      <c r="AL774">
        <f>IF($AK774=1,SUMPRODUCT(--($AO$2:$AO$1501&lt;$AO774))+1,"")</f>
        <v/>
      </c>
      <c r="AM774">
        <f>IF($D774="","",IF(OR($R774=TRUE(),$R774="TRUE"),1,0))</f>
        <v/>
      </c>
      <c r="AN774">
        <f>IF($D774="","",IF($AA774="Yes",1,0))</f>
        <v/>
      </c>
      <c r="AO774">
        <f>IF($AK774=1,IFERROR(IF(VALUE($D774)&lt;100000000,VALUE($D774),1000000000),IFERROR(IF(VALUE(MID($D774,2,20))&lt;100000000,VALUE(MID($D774,2,20)),1000000000),1000000000))+ROW()/100000,"")</f>
        <v/>
      </c>
    </row>
    <row r="775">
      <c r="F775" s="11" t="n"/>
      <c r="N775" s="7">
        <f>IF($D775="","",M775*V775/100)</f>
        <v/>
      </c>
      <c r="O775" s="7" t="n"/>
      <c r="U775" s="7" t="n"/>
      <c r="V775" s="7" t="n"/>
      <c r="W775" s="7">
        <f>IF($D775="","",V775*AB775/100)</f>
        <v/>
      </c>
      <c r="X775" s="7">
        <f>IF($D775="","",V775-W775)</f>
        <v/>
      </c>
      <c r="Y775" s="7">
        <f>IF($D775="","",X775-N775)</f>
        <v/>
      </c>
      <c r="AB775">
        <f>IF($D775="","",IF($AN775=1,0,IF($AM775=1,Settings!$C$6,Settings!$C$7))*100)</f>
        <v/>
      </c>
      <c r="AF775" s="7" t="n"/>
      <c r="AI775" s="11" t="n"/>
      <c r="AK775">
        <f>IF($D775="","",IF(COUNTIF($D$2:$D775,$D775)=1,1,0))</f>
        <v/>
      </c>
      <c r="AL775">
        <f>IF($AK775=1,SUMPRODUCT(--($AO$2:$AO$1501&lt;$AO775))+1,"")</f>
        <v/>
      </c>
      <c r="AM775">
        <f>IF($D775="","",IF(OR($R775=TRUE(),$R775="TRUE"),1,0))</f>
        <v/>
      </c>
      <c r="AN775">
        <f>IF($D775="","",IF($AA775="Yes",1,0))</f>
        <v/>
      </c>
      <c r="AO775">
        <f>IF($AK775=1,IFERROR(IF(VALUE($D775)&lt;100000000,VALUE($D775),1000000000),IFERROR(IF(VALUE(MID($D775,2,20))&lt;100000000,VALUE(MID($D775,2,20)),1000000000),1000000000))+ROW()/100000,"")</f>
        <v/>
      </c>
    </row>
    <row r="776">
      <c r="F776" s="11" t="n"/>
      <c r="N776" s="7">
        <f>IF($D776="","",M776*V776/100)</f>
        <v/>
      </c>
      <c r="O776" s="7" t="n"/>
      <c r="U776" s="7" t="n"/>
      <c r="V776" s="7" t="n"/>
      <c r="W776" s="7">
        <f>IF($D776="","",V776*AB776/100)</f>
        <v/>
      </c>
      <c r="X776" s="7">
        <f>IF($D776="","",V776-W776)</f>
        <v/>
      </c>
      <c r="Y776" s="7">
        <f>IF($D776="","",X776-N776)</f>
        <v/>
      </c>
      <c r="AB776">
        <f>IF($D776="","",IF($AN776=1,0,IF($AM776=1,Settings!$C$6,Settings!$C$7))*100)</f>
        <v/>
      </c>
      <c r="AF776" s="7" t="n"/>
      <c r="AI776" s="11" t="n"/>
      <c r="AK776">
        <f>IF($D776="","",IF(COUNTIF($D$2:$D776,$D776)=1,1,0))</f>
        <v/>
      </c>
      <c r="AL776">
        <f>IF($AK776=1,SUMPRODUCT(--($AO$2:$AO$1501&lt;$AO776))+1,"")</f>
        <v/>
      </c>
      <c r="AM776">
        <f>IF($D776="","",IF(OR($R776=TRUE(),$R776="TRUE"),1,0))</f>
        <v/>
      </c>
      <c r="AN776">
        <f>IF($D776="","",IF($AA776="Yes",1,0))</f>
        <v/>
      </c>
      <c r="AO776">
        <f>IF($AK776=1,IFERROR(IF(VALUE($D776)&lt;100000000,VALUE($D776),1000000000),IFERROR(IF(VALUE(MID($D776,2,20))&lt;100000000,VALUE(MID($D776,2,20)),1000000000),1000000000))+ROW()/100000,"")</f>
        <v/>
      </c>
    </row>
    <row r="777">
      <c r="F777" s="11" t="n"/>
      <c r="N777" s="7">
        <f>IF($D777="","",M777*V777/100)</f>
        <v/>
      </c>
      <c r="O777" s="7" t="n"/>
      <c r="U777" s="7" t="n"/>
      <c r="V777" s="7" t="n"/>
      <c r="W777" s="7">
        <f>IF($D777="","",V777*AB777/100)</f>
        <v/>
      </c>
      <c r="X777" s="7">
        <f>IF($D777="","",V777-W777)</f>
        <v/>
      </c>
      <c r="Y777" s="7">
        <f>IF($D777="","",X777-N777)</f>
        <v/>
      </c>
      <c r="AB777">
        <f>IF($D777="","",IF($AN777=1,0,IF($AM777=1,Settings!$C$6,Settings!$C$7))*100)</f>
        <v/>
      </c>
      <c r="AF777" s="7" t="n"/>
      <c r="AI777" s="11" t="n"/>
      <c r="AK777">
        <f>IF($D777="","",IF(COUNTIF($D$2:$D777,$D777)=1,1,0))</f>
        <v/>
      </c>
      <c r="AL777">
        <f>IF($AK777=1,SUMPRODUCT(--($AO$2:$AO$1501&lt;$AO777))+1,"")</f>
        <v/>
      </c>
      <c r="AM777">
        <f>IF($D777="","",IF(OR($R777=TRUE(),$R777="TRUE"),1,0))</f>
        <v/>
      </c>
      <c r="AN777">
        <f>IF($D777="","",IF($AA777="Yes",1,0))</f>
        <v/>
      </c>
      <c r="AO777">
        <f>IF($AK777=1,IFERROR(IF(VALUE($D777)&lt;100000000,VALUE($D777),1000000000),IFERROR(IF(VALUE(MID($D777,2,20))&lt;100000000,VALUE(MID($D777,2,20)),1000000000),1000000000))+ROW()/100000,"")</f>
        <v/>
      </c>
    </row>
    <row r="778">
      <c r="F778" s="11" t="n"/>
      <c r="N778" s="7">
        <f>IF($D778="","",M778*V778/100)</f>
        <v/>
      </c>
      <c r="O778" s="7" t="n"/>
      <c r="U778" s="7" t="n"/>
      <c r="V778" s="7" t="n"/>
      <c r="W778" s="7">
        <f>IF($D778="","",V778*AB778/100)</f>
        <v/>
      </c>
      <c r="X778" s="7">
        <f>IF($D778="","",V778-W778)</f>
        <v/>
      </c>
      <c r="Y778" s="7">
        <f>IF($D778="","",X778-N778)</f>
        <v/>
      </c>
      <c r="AB778">
        <f>IF($D778="","",IF($AN778=1,0,IF($AM778=1,Settings!$C$6,Settings!$C$7))*100)</f>
        <v/>
      </c>
      <c r="AF778" s="7" t="n"/>
      <c r="AI778" s="11" t="n"/>
      <c r="AK778">
        <f>IF($D778="","",IF(COUNTIF($D$2:$D778,$D778)=1,1,0))</f>
        <v/>
      </c>
      <c r="AL778">
        <f>IF($AK778=1,SUMPRODUCT(--($AO$2:$AO$1501&lt;$AO778))+1,"")</f>
        <v/>
      </c>
      <c r="AM778">
        <f>IF($D778="","",IF(OR($R778=TRUE(),$R778="TRUE"),1,0))</f>
        <v/>
      </c>
      <c r="AN778">
        <f>IF($D778="","",IF($AA778="Yes",1,0))</f>
        <v/>
      </c>
      <c r="AO778">
        <f>IF($AK778=1,IFERROR(IF(VALUE($D778)&lt;100000000,VALUE($D778),1000000000),IFERROR(IF(VALUE(MID($D778,2,20))&lt;100000000,VALUE(MID($D778,2,20)),1000000000),1000000000))+ROW()/100000,"")</f>
        <v/>
      </c>
    </row>
    <row r="779">
      <c r="F779" s="11" t="n"/>
      <c r="N779" s="7">
        <f>IF($D779="","",M779*V779/100)</f>
        <v/>
      </c>
      <c r="O779" s="7" t="n"/>
      <c r="U779" s="7" t="n"/>
      <c r="V779" s="7" t="n"/>
      <c r="W779" s="7">
        <f>IF($D779="","",V779*AB779/100)</f>
        <v/>
      </c>
      <c r="X779" s="7">
        <f>IF($D779="","",V779-W779)</f>
        <v/>
      </c>
      <c r="Y779" s="7">
        <f>IF($D779="","",X779-N779)</f>
        <v/>
      </c>
      <c r="AB779">
        <f>IF($D779="","",IF($AN779=1,0,IF($AM779=1,Settings!$C$6,Settings!$C$7))*100)</f>
        <v/>
      </c>
      <c r="AF779" s="7" t="n"/>
      <c r="AI779" s="11" t="n"/>
      <c r="AK779">
        <f>IF($D779="","",IF(COUNTIF($D$2:$D779,$D779)=1,1,0))</f>
        <v/>
      </c>
      <c r="AL779">
        <f>IF($AK779=1,SUMPRODUCT(--($AO$2:$AO$1501&lt;$AO779))+1,"")</f>
        <v/>
      </c>
      <c r="AM779">
        <f>IF($D779="","",IF(OR($R779=TRUE(),$R779="TRUE"),1,0))</f>
        <v/>
      </c>
      <c r="AN779">
        <f>IF($D779="","",IF($AA779="Yes",1,0))</f>
        <v/>
      </c>
      <c r="AO779">
        <f>IF($AK779=1,IFERROR(IF(VALUE($D779)&lt;100000000,VALUE($D779),1000000000),IFERROR(IF(VALUE(MID($D779,2,20))&lt;100000000,VALUE(MID($D779,2,20)),1000000000),1000000000))+ROW()/100000,"")</f>
        <v/>
      </c>
    </row>
    <row r="780">
      <c r="F780" s="11" t="n"/>
      <c r="N780" s="7">
        <f>IF($D780="","",M780*V780/100)</f>
        <v/>
      </c>
      <c r="O780" s="7" t="n"/>
      <c r="U780" s="7" t="n"/>
      <c r="V780" s="7" t="n"/>
      <c r="W780" s="7">
        <f>IF($D780="","",V780*AB780/100)</f>
        <v/>
      </c>
      <c r="X780" s="7">
        <f>IF($D780="","",V780-W780)</f>
        <v/>
      </c>
      <c r="Y780" s="7">
        <f>IF($D780="","",X780-N780)</f>
        <v/>
      </c>
      <c r="AB780">
        <f>IF($D780="","",IF($AN780=1,0,IF($AM780=1,Settings!$C$6,Settings!$C$7))*100)</f>
        <v/>
      </c>
      <c r="AF780" s="7" t="n"/>
      <c r="AI780" s="11" t="n"/>
      <c r="AK780">
        <f>IF($D780="","",IF(COUNTIF($D$2:$D780,$D780)=1,1,0))</f>
        <v/>
      </c>
      <c r="AL780">
        <f>IF($AK780=1,SUMPRODUCT(--($AO$2:$AO$1501&lt;$AO780))+1,"")</f>
        <v/>
      </c>
      <c r="AM780">
        <f>IF($D780="","",IF(OR($R780=TRUE(),$R780="TRUE"),1,0))</f>
        <v/>
      </c>
      <c r="AN780">
        <f>IF($D780="","",IF($AA780="Yes",1,0))</f>
        <v/>
      </c>
      <c r="AO780">
        <f>IF($AK780=1,IFERROR(IF(VALUE($D780)&lt;100000000,VALUE($D780),1000000000),IFERROR(IF(VALUE(MID($D780,2,20))&lt;100000000,VALUE(MID($D780,2,20)),1000000000),1000000000))+ROW()/100000,"")</f>
        <v/>
      </c>
    </row>
    <row r="781">
      <c r="F781" s="11" t="n"/>
      <c r="N781" s="7">
        <f>IF($D781="","",M781*V781/100)</f>
        <v/>
      </c>
      <c r="O781" s="7" t="n"/>
      <c r="U781" s="7" t="n"/>
      <c r="V781" s="7" t="n"/>
      <c r="W781" s="7">
        <f>IF($D781="","",V781*AB781/100)</f>
        <v/>
      </c>
      <c r="X781" s="7">
        <f>IF($D781="","",V781-W781)</f>
        <v/>
      </c>
      <c r="Y781" s="7">
        <f>IF($D781="","",X781-N781)</f>
        <v/>
      </c>
      <c r="AB781">
        <f>IF($D781="","",IF($AN781=1,0,IF($AM781=1,Settings!$C$6,Settings!$C$7))*100)</f>
        <v/>
      </c>
      <c r="AF781" s="7" t="n"/>
      <c r="AI781" s="11" t="n"/>
      <c r="AK781">
        <f>IF($D781="","",IF(COUNTIF($D$2:$D781,$D781)=1,1,0))</f>
        <v/>
      </c>
      <c r="AL781">
        <f>IF($AK781=1,SUMPRODUCT(--($AO$2:$AO$1501&lt;$AO781))+1,"")</f>
        <v/>
      </c>
      <c r="AM781">
        <f>IF($D781="","",IF(OR($R781=TRUE(),$R781="TRUE"),1,0))</f>
        <v/>
      </c>
      <c r="AN781">
        <f>IF($D781="","",IF($AA781="Yes",1,0))</f>
        <v/>
      </c>
      <c r="AO781">
        <f>IF($AK781=1,IFERROR(IF(VALUE($D781)&lt;100000000,VALUE($D781),1000000000),IFERROR(IF(VALUE(MID($D781,2,20))&lt;100000000,VALUE(MID($D781,2,20)),1000000000),1000000000))+ROW()/100000,"")</f>
        <v/>
      </c>
    </row>
    <row r="782">
      <c r="F782" s="11" t="n"/>
      <c r="N782" s="7">
        <f>IF($D782="","",M782*V782/100)</f>
        <v/>
      </c>
      <c r="O782" s="7" t="n"/>
      <c r="U782" s="7" t="n"/>
      <c r="V782" s="7" t="n"/>
      <c r="W782" s="7">
        <f>IF($D782="","",V782*AB782/100)</f>
        <v/>
      </c>
      <c r="X782" s="7">
        <f>IF($D782="","",V782-W782)</f>
        <v/>
      </c>
      <c r="Y782" s="7">
        <f>IF($D782="","",X782-N782)</f>
        <v/>
      </c>
      <c r="AB782">
        <f>IF($D782="","",IF($AN782=1,0,IF($AM782=1,Settings!$C$6,Settings!$C$7))*100)</f>
        <v/>
      </c>
      <c r="AF782" s="7" t="n"/>
      <c r="AI782" s="11" t="n"/>
      <c r="AK782">
        <f>IF($D782="","",IF(COUNTIF($D$2:$D782,$D782)=1,1,0))</f>
        <v/>
      </c>
      <c r="AL782">
        <f>IF($AK782=1,SUMPRODUCT(--($AO$2:$AO$1501&lt;$AO782))+1,"")</f>
        <v/>
      </c>
      <c r="AM782">
        <f>IF($D782="","",IF(OR($R782=TRUE(),$R782="TRUE"),1,0))</f>
        <v/>
      </c>
      <c r="AN782">
        <f>IF($D782="","",IF($AA782="Yes",1,0))</f>
        <v/>
      </c>
      <c r="AO782">
        <f>IF($AK782=1,IFERROR(IF(VALUE($D782)&lt;100000000,VALUE($D782),1000000000),IFERROR(IF(VALUE(MID($D782,2,20))&lt;100000000,VALUE(MID($D782,2,20)),1000000000),1000000000))+ROW()/100000,"")</f>
        <v/>
      </c>
    </row>
    <row r="783">
      <c r="F783" s="11" t="n"/>
      <c r="N783" s="7">
        <f>IF($D783="","",M783*V783/100)</f>
        <v/>
      </c>
      <c r="O783" s="7" t="n"/>
      <c r="U783" s="7" t="n"/>
      <c r="V783" s="7" t="n"/>
      <c r="W783" s="7">
        <f>IF($D783="","",V783*AB783/100)</f>
        <v/>
      </c>
      <c r="X783" s="7">
        <f>IF($D783="","",V783-W783)</f>
        <v/>
      </c>
      <c r="Y783" s="7">
        <f>IF($D783="","",X783-N783)</f>
        <v/>
      </c>
      <c r="AB783">
        <f>IF($D783="","",IF($AN783=1,0,IF($AM783=1,Settings!$C$6,Settings!$C$7))*100)</f>
        <v/>
      </c>
      <c r="AF783" s="7" t="n"/>
      <c r="AI783" s="11" t="n"/>
      <c r="AK783">
        <f>IF($D783="","",IF(COUNTIF($D$2:$D783,$D783)=1,1,0))</f>
        <v/>
      </c>
      <c r="AL783">
        <f>IF($AK783=1,SUMPRODUCT(--($AO$2:$AO$1501&lt;$AO783))+1,"")</f>
        <v/>
      </c>
      <c r="AM783">
        <f>IF($D783="","",IF(OR($R783=TRUE(),$R783="TRUE"),1,0))</f>
        <v/>
      </c>
      <c r="AN783">
        <f>IF($D783="","",IF($AA783="Yes",1,0))</f>
        <v/>
      </c>
      <c r="AO783">
        <f>IF($AK783=1,IFERROR(IF(VALUE($D783)&lt;100000000,VALUE($D783),1000000000),IFERROR(IF(VALUE(MID($D783,2,20))&lt;100000000,VALUE(MID($D783,2,20)),1000000000),1000000000))+ROW()/100000,"")</f>
        <v/>
      </c>
    </row>
    <row r="784">
      <c r="F784" s="11" t="n"/>
      <c r="N784" s="7">
        <f>IF($D784="","",M784*V784/100)</f>
        <v/>
      </c>
      <c r="O784" s="7" t="n"/>
      <c r="U784" s="7" t="n"/>
      <c r="V784" s="7" t="n"/>
      <c r="W784" s="7">
        <f>IF($D784="","",V784*AB784/100)</f>
        <v/>
      </c>
      <c r="X784" s="7">
        <f>IF($D784="","",V784-W784)</f>
        <v/>
      </c>
      <c r="Y784" s="7">
        <f>IF($D784="","",X784-N784)</f>
        <v/>
      </c>
      <c r="AB784">
        <f>IF($D784="","",IF($AN784=1,0,IF($AM784=1,Settings!$C$6,Settings!$C$7))*100)</f>
        <v/>
      </c>
      <c r="AF784" s="7" t="n"/>
      <c r="AI784" s="11" t="n"/>
      <c r="AK784">
        <f>IF($D784="","",IF(COUNTIF($D$2:$D784,$D784)=1,1,0))</f>
        <v/>
      </c>
      <c r="AL784">
        <f>IF($AK784=1,SUMPRODUCT(--($AO$2:$AO$1501&lt;$AO784))+1,"")</f>
        <v/>
      </c>
      <c r="AM784">
        <f>IF($D784="","",IF(OR($R784=TRUE(),$R784="TRUE"),1,0))</f>
        <v/>
      </c>
      <c r="AN784">
        <f>IF($D784="","",IF($AA784="Yes",1,0))</f>
        <v/>
      </c>
      <c r="AO784">
        <f>IF($AK784=1,IFERROR(IF(VALUE($D784)&lt;100000000,VALUE($D784),1000000000),IFERROR(IF(VALUE(MID($D784,2,20))&lt;100000000,VALUE(MID($D784,2,20)),1000000000),1000000000))+ROW()/100000,"")</f>
        <v/>
      </c>
    </row>
    <row r="785">
      <c r="F785" s="11" t="n"/>
      <c r="N785" s="7">
        <f>IF($D785="","",M785*V785/100)</f>
        <v/>
      </c>
      <c r="O785" s="7" t="n"/>
      <c r="U785" s="7" t="n"/>
      <c r="V785" s="7" t="n"/>
      <c r="W785" s="7">
        <f>IF($D785="","",V785*AB785/100)</f>
        <v/>
      </c>
      <c r="X785" s="7">
        <f>IF($D785="","",V785-W785)</f>
        <v/>
      </c>
      <c r="Y785" s="7">
        <f>IF($D785="","",X785-N785)</f>
        <v/>
      </c>
      <c r="AB785">
        <f>IF($D785="","",IF($AN785=1,0,IF($AM785=1,Settings!$C$6,Settings!$C$7))*100)</f>
        <v/>
      </c>
      <c r="AF785" s="7" t="n"/>
      <c r="AI785" s="11" t="n"/>
      <c r="AK785">
        <f>IF($D785="","",IF(COUNTIF($D$2:$D785,$D785)=1,1,0))</f>
        <v/>
      </c>
      <c r="AL785">
        <f>IF($AK785=1,SUMPRODUCT(--($AO$2:$AO$1501&lt;$AO785))+1,"")</f>
        <v/>
      </c>
      <c r="AM785">
        <f>IF($D785="","",IF(OR($R785=TRUE(),$R785="TRUE"),1,0))</f>
        <v/>
      </c>
      <c r="AN785">
        <f>IF($D785="","",IF($AA785="Yes",1,0))</f>
        <v/>
      </c>
      <c r="AO785">
        <f>IF($AK785=1,IFERROR(IF(VALUE($D785)&lt;100000000,VALUE($D785),1000000000),IFERROR(IF(VALUE(MID($D785,2,20))&lt;100000000,VALUE(MID($D785,2,20)),1000000000),1000000000))+ROW()/100000,"")</f>
        <v/>
      </c>
    </row>
    <row r="786">
      <c r="F786" s="11" t="n"/>
      <c r="N786" s="7">
        <f>IF($D786="","",M786*V786/100)</f>
        <v/>
      </c>
      <c r="O786" s="7" t="n"/>
      <c r="U786" s="7" t="n"/>
      <c r="V786" s="7" t="n"/>
      <c r="W786" s="7">
        <f>IF($D786="","",V786*AB786/100)</f>
        <v/>
      </c>
      <c r="X786" s="7">
        <f>IF($D786="","",V786-W786)</f>
        <v/>
      </c>
      <c r="Y786" s="7">
        <f>IF($D786="","",X786-N786)</f>
        <v/>
      </c>
      <c r="AB786">
        <f>IF($D786="","",IF($AN786=1,0,IF($AM786=1,Settings!$C$6,Settings!$C$7))*100)</f>
        <v/>
      </c>
      <c r="AF786" s="7" t="n"/>
      <c r="AI786" s="11" t="n"/>
      <c r="AK786">
        <f>IF($D786="","",IF(COUNTIF($D$2:$D786,$D786)=1,1,0))</f>
        <v/>
      </c>
      <c r="AL786">
        <f>IF($AK786=1,SUMPRODUCT(--($AO$2:$AO$1501&lt;$AO786))+1,"")</f>
        <v/>
      </c>
      <c r="AM786">
        <f>IF($D786="","",IF(OR($R786=TRUE(),$R786="TRUE"),1,0))</f>
        <v/>
      </c>
      <c r="AN786">
        <f>IF($D786="","",IF($AA786="Yes",1,0))</f>
        <v/>
      </c>
      <c r="AO786">
        <f>IF($AK786=1,IFERROR(IF(VALUE($D786)&lt;100000000,VALUE($D786),1000000000),IFERROR(IF(VALUE(MID($D786,2,20))&lt;100000000,VALUE(MID($D786,2,20)),1000000000),1000000000))+ROW()/100000,"")</f>
        <v/>
      </c>
    </row>
    <row r="787">
      <c r="F787" s="11" t="n"/>
      <c r="N787" s="7">
        <f>IF($D787="","",M787*V787/100)</f>
        <v/>
      </c>
      <c r="O787" s="7" t="n"/>
      <c r="U787" s="7" t="n"/>
      <c r="V787" s="7" t="n"/>
      <c r="W787" s="7">
        <f>IF($D787="","",V787*AB787/100)</f>
        <v/>
      </c>
      <c r="X787" s="7">
        <f>IF($D787="","",V787-W787)</f>
        <v/>
      </c>
      <c r="Y787" s="7">
        <f>IF($D787="","",X787-N787)</f>
        <v/>
      </c>
      <c r="AB787">
        <f>IF($D787="","",IF($AN787=1,0,IF($AM787=1,Settings!$C$6,Settings!$C$7))*100)</f>
        <v/>
      </c>
      <c r="AF787" s="7" t="n"/>
      <c r="AI787" s="11" t="n"/>
      <c r="AK787">
        <f>IF($D787="","",IF(COUNTIF($D$2:$D787,$D787)=1,1,0))</f>
        <v/>
      </c>
      <c r="AL787">
        <f>IF($AK787=1,SUMPRODUCT(--($AO$2:$AO$1501&lt;$AO787))+1,"")</f>
        <v/>
      </c>
      <c r="AM787">
        <f>IF($D787="","",IF(OR($R787=TRUE(),$R787="TRUE"),1,0))</f>
        <v/>
      </c>
      <c r="AN787">
        <f>IF($D787="","",IF($AA787="Yes",1,0))</f>
        <v/>
      </c>
      <c r="AO787">
        <f>IF($AK787=1,IFERROR(IF(VALUE($D787)&lt;100000000,VALUE($D787),1000000000),IFERROR(IF(VALUE(MID($D787,2,20))&lt;100000000,VALUE(MID($D787,2,20)),1000000000),1000000000))+ROW()/100000,"")</f>
        <v/>
      </c>
    </row>
    <row r="788">
      <c r="F788" s="11" t="n"/>
      <c r="N788" s="7">
        <f>IF($D788="","",M788*V788/100)</f>
        <v/>
      </c>
      <c r="O788" s="7" t="n"/>
      <c r="U788" s="7" t="n"/>
      <c r="V788" s="7" t="n"/>
      <c r="W788" s="7">
        <f>IF($D788="","",V788*AB788/100)</f>
        <v/>
      </c>
      <c r="X788" s="7">
        <f>IF($D788="","",V788-W788)</f>
        <v/>
      </c>
      <c r="Y788" s="7">
        <f>IF($D788="","",X788-N788)</f>
        <v/>
      </c>
      <c r="AB788">
        <f>IF($D788="","",IF($AN788=1,0,IF($AM788=1,Settings!$C$6,Settings!$C$7))*100)</f>
        <v/>
      </c>
      <c r="AF788" s="7" t="n"/>
      <c r="AI788" s="11" t="n"/>
      <c r="AK788">
        <f>IF($D788="","",IF(COUNTIF($D$2:$D788,$D788)=1,1,0))</f>
        <v/>
      </c>
      <c r="AL788">
        <f>IF($AK788=1,SUMPRODUCT(--($AO$2:$AO$1501&lt;$AO788))+1,"")</f>
        <v/>
      </c>
      <c r="AM788">
        <f>IF($D788="","",IF(OR($R788=TRUE(),$R788="TRUE"),1,0))</f>
        <v/>
      </c>
      <c r="AN788">
        <f>IF($D788="","",IF($AA788="Yes",1,0))</f>
        <v/>
      </c>
      <c r="AO788">
        <f>IF($AK788=1,IFERROR(IF(VALUE($D788)&lt;100000000,VALUE($D788),1000000000),IFERROR(IF(VALUE(MID($D788,2,20))&lt;100000000,VALUE(MID($D788,2,20)),1000000000),1000000000))+ROW()/100000,"")</f>
        <v/>
      </c>
    </row>
    <row r="789">
      <c r="F789" s="11" t="n"/>
      <c r="N789" s="7">
        <f>IF($D789="","",M789*V789/100)</f>
        <v/>
      </c>
      <c r="O789" s="7" t="n"/>
      <c r="U789" s="7" t="n"/>
      <c r="V789" s="7" t="n"/>
      <c r="W789" s="7">
        <f>IF($D789="","",V789*AB789/100)</f>
        <v/>
      </c>
      <c r="X789" s="7">
        <f>IF($D789="","",V789-W789)</f>
        <v/>
      </c>
      <c r="Y789" s="7">
        <f>IF($D789="","",X789-N789)</f>
        <v/>
      </c>
      <c r="AB789">
        <f>IF($D789="","",IF($AN789=1,0,IF($AM789=1,Settings!$C$6,Settings!$C$7))*100)</f>
        <v/>
      </c>
      <c r="AF789" s="7" t="n"/>
      <c r="AI789" s="11" t="n"/>
      <c r="AK789">
        <f>IF($D789="","",IF(COUNTIF($D$2:$D789,$D789)=1,1,0))</f>
        <v/>
      </c>
      <c r="AL789">
        <f>IF($AK789=1,SUMPRODUCT(--($AO$2:$AO$1501&lt;$AO789))+1,"")</f>
        <v/>
      </c>
      <c r="AM789">
        <f>IF($D789="","",IF(OR($R789=TRUE(),$R789="TRUE"),1,0))</f>
        <v/>
      </c>
      <c r="AN789">
        <f>IF($D789="","",IF($AA789="Yes",1,0))</f>
        <v/>
      </c>
      <c r="AO789">
        <f>IF($AK789=1,IFERROR(IF(VALUE($D789)&lt;100000000,VALUE($D789),1000000000),IFERROR(IF(VALUE(MID($D789,2,20))&lt;100000000,VALUE(MID($D789,2,20)),1000000000),1000000000))+ROW()/100000,"")</f>
        <v/>
      </c>
    </row>
    <row r="790">
      <c r="F790" s="11" t="n"/>
      <c r="N790" s="7">
        <f>IF($D790="","",M790*V790/100)</f>
        <v/>
      </c>
      <c r="O790" s="7" t="n"/>
      <c r="U790" s="7" t="n"/>
      <c r="V790" s="7" t="n"/>
      <c r="W790" s="7">
        <f>IF($D790="","",V790*AB790/100)</f>
        <v/>
      </c>
      <c r="X790" s="7">
        <f>IF($D790="","",V790-W790)</f>
        <v/>
      </c>
      <c r="Y790" s="7">
        <f>IF($D790="","",X790-N790)</f>
        <v/>
      </c>
      <c r="AB790">
        <f>IF($D790="","",IF($AN790=1,0,IF($AM790=1,Settings!$C$6,Settings!$C$7))*100)</f>
        <v/>
      </c>
      <c r="AF790" s="7" t="n"/>
      <c r="AI790" s="11" t="n"/>
      <c r="AK790">
        <f>IF($D790="","",IF(COUNTIF($D$2:$D790,$D790)=1,1,0))</f>
        <v/>
      </c>
      <c r="AL790">
        <f>IF($AK790=1,SUMPRODUCT(--($AO$2:$AO$1501&lt;$AO790))+1,"")</f>
        <v/>
      </c>
      <c r="AM790">
        <f>IF($D790="","",IF(OR($R790=TRUE(),$R790="TRUE"),1,0))</f>
        <v/>
      </c>
      <c r="AN790">
        <f>IF($D790="","",IF($AA790="Yes",1,0))</f>
        <v/>
      </c>
      <c r="AO790">
        <f>IF($AK790=1,IFERROR(IF(VALUE($D790)&lt;100000000,VALUE($D790),1000000000),IFERROR(IF(VALUE(MID($D790,2,20))&lt;100000000,VALUE(MID($D790,2,20)),1000000000),1000000000))+ROW()/100000,"")</f>
        <v/>
      </c>
    </row>
    <row r="791">
      <c r="F791" s="11" t="n"/>
      <c r="N791" s="7">
        <f>IF($D791="","",M791*V791/100)</f>
        <v/>
      </c>
      <c r="O791" s="7" t="n"/>
      <c r="U791" s="7" t="n"/>
      <c r="V791" s="7" t="n"/>
      <c r="W791" s="7">
        <f>IF($D791="","",V791*AB791/100)</f>
        <v/>
      </c>
      <c r="X791" s="7">
        <f>IF($D791="","",V791-W791)</f>
        <v/>
      </c>
      <c r="Y791" s="7">
        <f>IF($D791="","",X791-N791)</f>
        <v/>
      </c>
      <c r="AB791">
        <f>IF($D791="","",IF($AN791=1,0,IF($AM791=1,Settings!$C$6,Settings!$C$7))*100)</f>
        <v/>
      </c>
      <c r="AF791" s="7" t="n"/>
      <c r="AI791" s="11" t="n"/>
      <c r="AK791">
        <f>IF($D791="","",IF(COUNTIF($D$2:$D791,$D791)=1,1,0))</f>
        <v/>
      </c>
      <c r="AL791">
        <f>IF($AK791=1,SUMPRODUCT(--($AO$2:$AO$1501&lt;$AO791))+1,"")</f>
        <v/>
      </c>
      <c r="AM791">
        <f>IF($D791="","",IF(OR($R791=TRUE(),$R791="TRUE"),1,0))</f>
        <v/>
      </c>
      <c r="AN791">
        <f>IF($D791="","",IF($AA791="Yes",1,0))</f>
        <v/>
      </c>
      <c r="AO791">
        <f>IF($AK791=1,IFERROR(IF(VALUE($D791)&lt;100000000,VALUE($D791),1000000000),IFERROR(IF(VALUE(MID($D791,2,20))&lt;100000000,VALUE(MID($D791,2,20)),1000000000),1000000000))+ROW()/100000,"")</f>
        <v/>
      </c>
    </row>
    <row r="792">
      <c r="F792" s="11" t="n"/>
      <c r="N792" s="7">
        <f>IF($D792="","",M792*V792/100)</f>
        <v/>
      </c>
      <c r="O792" s="7" t="n"/>
      <c r="U792" s="7" t="n"/>
      <c r="V792" s="7" t="n"/>
      <c r="W792" s="7">
        <f>IF($D792="","",V792*AB792/100)</f>
        <v/>
      </c>
      <c r="X792" s="7">
        <f>IF($D792="","",V792-W792)</f>
        <v/>
      </c>
      <c r="Y792" s="7">
        <f>IF($D792="","",X792-N792)</f>
        <v/>
      </c>
      <c r="AB792">
        <f>IF($D792="","",IF($AN792=1,0,IF($AM792=1,Settings!$C$6,Settings!$C$7))*100)</f>
        <v/>
      </c>
      <c r="AF792" s="7" t="n"/>
      <c r="AI792" s="11" t="n"/>
      <c r="AK792">
        <f>IF($D792="","",IF(COUNTIF($D$2:$D792,$D792)=1,1,0))</f>
        <v/>
      </c>
      <c r="AL792">
        <f>IF($AK792=1,SUMPRODUCT(--($AO$2:$AO$1501&lt;$AO792))+1,"")</f>
        <v/>
      </c>
      <c r="AM792">
        <f>IF($D792="","",IF(OR($R792=TRUE(),$R792="TRUE"),1,0))</f>
        <v/>
      </c>
      <c r="AN792">
        <f>IF($D792="","",IF($AA792="Yes",1,0))</f>
        <v/>
      </c>
      <c r="AO792">
        <f>IF($AK792=1,IFERROR(IF(VALUE($D792)&lt;100000000,VALUE($D792),1000000000),IFERROR(IF(VALUE(MID($D792,2,20))&lt;100000000,VALUE(MID($D792,2,20)),1000000000),1000000000))+ROW()/100000,"")</f>
        <v/>
      </c>
    </row>
    <row r="793">
      <c r="F793" s="11" t="n"/>
      <c r="N793" s="7">
        <f>IF($D793="","",M793*V793/100)</f>
        <v/>
      </c>
      <c r="O793" s="7" t="n"/>
      <c r="U793" s="7" t="n"/>
      <c r="V793" s="7" t="n"/>
      <c r="W793" s="7">
        <f>IF($D793="","",V793*AB793/100)</f>
        <v/>
      </c>
      <c r="X793" s="7">
        <f>IF($D793="","",V793-W793)</f>
        <v/>
      </c>
      <c r="Y793" s="7">
        <f>IF($D793="","",X793-N793)</f>
        <v/>
      </c>
      <c r="AB793">
        <f>IF($D793="","",IF($AN793=1,0,IF($AM793=1,Settings!$C$6,Settings!$C$7))*100)</f>
        <v/>
      </c>
      <c r="AF793" s="7" t="n"/>
      <c r="AI793" s="11" t="n"/>
      <c r="AK793">
        <f>IF($D793="","",IF(COUNTIF($D$2:$D793,$D793)=1,1,0))</f>
        <v/>
      </c>
      <c r="AL793">
        <f>IF($AK793=1,SUMPRODUCT(--($AO$2:$AO$1501&lt;$AO793))+1,"")</f>
        <v/>
      </c>
      <c r="AM793">
        <f>IF($D793="","",IF(OR($R793=TRUE(),$R793="TRUE"),1,0))</f>
        <v/>
      </c>
      <c r="AN793">
        <f>IF($D793="","",IF($AA793="Yes",1,0))</f>
        <v/>
      </c>
      <c r="AO793">
        <f>IF($AK793=1,IFERROR(IF(VALUE($D793)&lt;100000000,VALUE($D793),1000000000),IFERROR(IF(VALUE(MID($D793,2,20))&lt;100000000,VALUE(MID($D793,2,20)),1000000000),1000000000))+ROW()/100000,"")</f>
        <v/>
      </c>
    </row>
    <row r="794">
      <c r="F794" s="11" t="n"/>
      <c r="N794" s="7">
        <f>IF($D794="","",M794*V794/100)</f>
        <v/>
      </c>
      <c r="O794" s="7" t="n"/>
      <c r="U794" s="7" t="n"/>
      <c r="V794" s="7" t="n"/>
      <c r="W794" s="7">
        <f>IF($D794="","",V794*AB794/100)</f>
        <v/>
      </c>
      <c r="X794" s="7">
        <f>IF($D794="","",V794-W794)</f>
        <v/>
      </c>
      <c r="Y794" s="7">
        <f>IF($D794="","",X794-N794)</f>
        <v/>
      </c>
      <c r="AB794">
        <f>IF($D794="","",IF($AN794=1,0,IF($AM794=1,Settings!$C$6,Settings!$C$7))*100)</f>
        <v/>
      </c>
      <c r="AF794" s="7" t="n"/>
      <c r="AI794" s="11" t="n"/>
      <c r="AK794">
        <f>IF($D794="","",IF(COUNTIF($D$2:$D794,$D794)=1,1,0))</f>
        <v/>
      </c>
      <c r="AL794">
        <f>IF($AK794=1,SUMPRODUCT(--($AO$2:$AO$1501&lt;$AO794))+1,"")</f>
        <v/>
      </c>
      <c r="AM794">
        <f>IF($D794="","",IF(OR($R794=TRUE(),$R794="TRUE"),1,0))</f>
        <v/>
      </c>
      <c r="AN794">
        <f>IF($D794="","",IF($AA794="Yes",1,0))</f>
        <v/>
      </c>
      <c r="AO794">
        <f>IF($AK794=1,IFERROR(IF(VALUE($D794)&lt;100000000,VALUE($D794),1000000000),IFERROR(IF(VALUE(MID($D794,2,20))&lt;100000000,VALUE(MID($D794,2,20)),1000000000),1000000000))+ROW()/100000,"")</f>
        <v/>
      </c>
    </row>
    <row r="795">
      <c r="F795" s="11" t="n"/>
      <c r="N795" s="7">
        <f>IF($D795="","",M795*V795/100)</f>
        <v/>
      </c>
      <c r="O795" s="7" t="n"/>
      <c r="U795" s="7" t="n"/>
      <c r="V795" s="7" t="n"/>
      <c r="W795" s="7">
        <f>IF($D795="","",V795*AB795/100)</f>
        <v/>
      </c>
      <c r="X795" s="7">
        <f>IF($D795="","",V795-W795)</f>
        <v/>
      </c>
      <c r="Y795" s="7">
        <f>IF($D795="","",X795-N795)</f>
        <v/>
      </c>
      <c r="AB795">
        <f>IF($D795="","",IF($AN795=1,0,IF($AM795=1,Settings!$C$6,Settings!$C$7))*100)</f>
        <v/>
      </c>
      <c r="AF795" s="7" t="n"/>
      <c r="AI795" s="11" t="n"/>
      <c r="AK795">
        <f>IF($D795="","",IF(COUNTIF($D$2:$D795,$D795)=1,1,0))</f>
        <v/>
      </c>
      <c r="AL795">
        <f>IF($AK795=1,SUMPRODUCT(--($AO$2:$AO$1501&lt;$AO795))+1,"")</f>
        <v/>
      </c>
      <c r="AM795">
        <f>IF($D795="","",IF(OR($R795=TRUE(),$R795="TRUE"),1,0))</f>
        <v/>
      </c>
      <c r="AN795">
        <f>IF($D795="","",IF($AA795="Yes",1,0))</f>
        <v/>
      </c>
      <c r="AO795">
        <f>IF($AK795=1,IFERROR(IF(VALUE($D795)&lt;100000000,VALUE($D795),1000000000),IFERROR(IF(VALUE(MID($D795,2,20))&lt;100000000,VALUE(MID($D795,2,20)),1000000000),1000000000))+ROW()/100000,"")</f>
        <v/>
      </c>
    </row>
    <row r="796">
      <c r="F796" s="11" t="n"/>
      <c r="N796" s="7">
        <f>IF($D796="","",M796*V796/100)</f>
        <v/>
      </c>
      <c r="O796" s="7" t="n"/>
      <c r="U796" s="7" t="n"/>
      <c r="V796" s="7" t="n"/>
      <c r="W796" s="7">
        <f>IF($D796="","",V796*AB796/100)</f>
        <v/>
      </c>
      <c r="X796" s="7">
        <f>IF($D796="","",V796-W796)</f>
        <v/>
      </c>
      <c r="Y796" s="7">
        <f>IF($D796="","",X796-N796)</f>
        <v/>
      </c>
      <c r="AB796">
        <f>IF($D796="","",IF($AN796=1,0,IF($AM796=1,Settings!$C$6,Settings!$C$7))*100)</f>
        <v/>
      </c>
      <c r="AF796" s="7" t="n"/>
      <c r="AI796" s="11" t="n"/>
      <c r="AK796">
        <f>IF($D796="","",IF(COUNTIF($D$2:$D796,$D796)=1,1,0))</f>
        <v/>
      </c>
      <c r="AL796">
        <f>IF($AK796=1,SUMPRODUCT(--($AO$2:$AO$1501&lt;$AO796))+1,"")</f>
        <v/>
      </c>
      <c r="AM796">
        <f>IF($D796="","",IF(OR($R796=TRUE(),$R796="TRUE"),1,0))</f>
        <v/>
      </c>
      <c r="AN796">
        <f>IF($D796="","",IF($AA796="Yes",1,0))</f>
        <v/>
      </c>
      <c r="AO796">
        <f>IF($AK796=1,IFERROR(IF(VALUE($D796)&lt;100000000,VALUE($D796),1000000000),IFERROR(IF(VALUE(MID($D796,2,20))&lt;100000000,VALUE(MID($D796,2,20)),1000000000),1000000000))+ROW()/100000,"")</f>
        <v/>
      </c>
    </row>
    <row r="797">
      <c r="F797" s="11" t="n"/>
      <c r="N797" s="7">
        <f>IF($D797="","",M797*V797/100)</f>
        <v/>
      </c>
      <c r="O797" s="7" t="n"/>
      <c r="U797" s="7" t="n"/>
      <c r="V797" s="7" t="n"/>
      <c r="W797" s="7">
        <f>IF($D797="","",V797*AB797/100)</f>
        <v/>
      </c>
      <c r="X797" s="7">
        <f>IF($D797="","",V797-W797)</f>
        <v/>
      </c>
      <c r="Y797" s="7">
        <f>IF($D797="","",X797-N797)</f>
        <v/>
      </c>
      <c r="AB797">
        <f>IF($D797="","",IF($AN797=1,0,IF($AM797=1,Settings!$C$6,Settings!$C$7))*100)</f>
        <v/>
      </c>
      <c r="AF797" s="7" t="n"/>
      <c r="AI797" s="11" t="n"/>
      <c r="AK797">
        <f>IF($D797="","",IF(COUNTIF($D$2:$D797,$D797)=1,1,0))</f>
        <v/>
      </c>
      <c r="AL797">
        <f>IF($AK797=1,SUMPRODUCT(--($AO$2:$AO$1501&lt;$AO797))+1,"")</f>
        <v/>
      </c>
      <c r="AM797">
        <f>IF($D797="","",IF(OR($R797=TRUE(),$R797="TRUE"),1,0))</f>
        <v/>
      </c>
      <c r="AN797">
        <f>IF($D797="","",IF($AA797="Yes",1,0))</f>
        <v/>
      </c>
      <c r="AO797">
        <f>IF($AK797=1,IFERROR(IF(VALUE($D797)&lt;100000000,VALUE($D797),1000000000),IFERROR(IF(VALUE(MID($D797,2,20))&lt;100000000,VALUE(MID($D797,2,20)),1000000000),1000000000))+ROW()/100000,"")</f>
        <v/>
      </c>
    </row>
    <row r="798">
      <c r="F798" s="11" t="n"/>
      <c r="N798" s="7">
        <f>IF($D798="","",M798*V798/100)</f>
        <v/>
      </c>
      <c r="O798" s="7" t="n"/>
      <c r="U798" s="7" t="n"/>
      <c r="V798" s="7" t="n"/>
      <c r="W798" s="7">
        <f>IF($D798="","",V798*AB798/100)</f>
        <v/>
      </c>
      <c r="X798" s="7">
        <f>IF($D798="","",V798-W798)</f>
        <v/>
      </c>
      <c r="Y798" s="7">
        <f>IF($D798="","",X798-N798)</f>
        <v/>
      </c>
      <c r="AB798">
        <f>IF($D798="","",IF($AN798=1,0,IF($AM798=1,Settings!$C$6,Settings!$C$7))*100)</f>
        <v/>
      </c>
      <c r="AF798" s="7" t="n"/>
      <c r="AI798" s="11" t="n"/>
      <c r="AK798">
        <f>IF($D798="","",IF(COUNTIF($D$2:$D798,$D798)=1,1,0))</f>
        <v/>
      </c>
      <c r="AL798">
        <f>IF($AK798=1,SUMPRODUCT(--($AO$2:$AO$1501&lt;$AO798))+1,"")</f>
        <v/>
      </c>
      <c r="AM798">
        <f>IF($D798="","",IF(OR($R798=TRUE(),$R798="TRUE"),1,0))</f>
        <v/>
      </c>
      <c r="AN798">
        <f>IF($D798="","",IF($AA798="Yes",1,0))</f>
        <v/>
      </c>
      <c r="AO798">
        <f>IF($AK798=1,IFERROR(IF(VALUE($D798)&lt;100000000,VALUE($D798),1000000000),IFERROR(IF(VALUE(MID($D798,2,20))&lt;100000000,VALUE(MID($D798,2,20)),1000000000),1000000000))+ROW()/100000,"")</f>
        <v/>
      </c>
    </row>
    <row r="799">
      <c r="F799" s="11" t="n"/>
      <c r="N799" s="7">
        <f>IF($D799="","",M799*V799/100)</f>
        <v/>
      </c>
      <c r="O799" s="7" t="n"/>
      <c r="U799" s="7" t="n"/>
      <c r="V799" s="7" t="n"/>
      <c r="W799" s="7">
        <f>IF($D799="","",V799*AB799/100)</f>
        <v/>
      </c>
      <c r="X799" s="7">
        <f>IF($D799="","",V799-W799)</f>
        <v/>
      </c>
      <c r="Y799" s="7">
        <f>IF($D799="","",X799-N799)</f>
        <v/>
      </c>
      <c r="AB799">
        <f>IF($D799="","",IF($AN799=1,0,IF($AM799=1,Settings!$C$6,Settings!$C$7))*100)</f>
        <v/>
      </c>
      <c r="AF799" s="7" t="n"/>
      <c r="AI799" s="11" t="n"/>
      <c r="AK799">
        <f>IF($D799="","",IF(COUNTIF($D$2:$D799,$D799)=1,1,0))</f>
        <v/>
      </c>
      <c r="AL799">
        <f>IF($AK799=1,SUMPRODUCT(--($AO$2:$AO$1501&lt;$AO799))+1,"")</f>
        <v/>
      </c>
      <c r="AM799">
        <f>IF($D799="","",IF(OR($R799=TRUE(),$R799="TRUE"),1,0))</f>
        <v/>
      </c>
      <c r="AN799">
        <f>IF($D799="","",IF($AA799="Yes",1,0))</f>
        <v/>
      </c>
      <c r="AO799">
        <f>IF($AK799=1,IFERROR(IF(VALUE($D799)&lt;100000000,VALUE($D799),1000000000),IFERROR(IF(VALUE(MID($D799,2,20))&lt;100000000,VALUE(MID($D799,2,20)),1000000000),1000000000))+ROW()/100000,"")</f>
        <v/>
      </c>
    </row>
    <row r="800">
      <c r="F800" s="11" t="n"/>
      <c r="N800" s="7">
        <f>IF($D800="","",M800*V800/100)</f>
        <v/>
      </c>
      <c r="O800" s="7" t="n"/>
      <c r="U800" s="7" t="n"/>
      <c r="V800" s="7" t="n"/>
      <c r="W800" s="7">
        <f>IF($D800="","",V800*AB800/100)</f>
        <v/>
      </c>
      <c r="X800" s="7">
        <f>IF($D800="","",V800-W800)</f>
        <v/>
      </c>
      <c r="Y800" s="7">
        <f>IF($D800="","",X800-N800)</f>
        <v/>
      </c>
      <c r="AB800">
        <f>IF($D800="","",IF($AN800=1,0,IF($AM800=1,Settings!$C$6,Settings!$C$7))*100)</f>
        <v/>
      </c>
      <c r="AF800" s="7" t="n"/>
      <c r="AI800" s="11" t="n"/>
      <c r="AK800">
        <f>IF($D800="","",IF(COUNTIF($D$2:$D800,$D800)=1,1,0))</f>
        <v/>
      </c>
      <c r="AL800">
        <f>IF($AK800=1,SUMPRODUCT(--($AO$2:$AO$1501&lt;$AO800))+1,"")</f>
        <v/>
      </c>
      <c r="AM800">
        <f>IF($D800="","",IF(OR($R800=TRUE(),$R800="TRUE"),1,0))</f>
        <v/>
      </c>
      <c r="AN800">
        <f>IF($D800="","",IF($AA800="Yes",1,0))</f>
        <v/>
      </c>
      <c r="AO800">
        <f>IF($AK800=1,IFERROR(IF(VALUE($D800)&lt;100000000,VALUE($D800),1000000000),IFERROR(IF(VALUE(MID($D800,2,20))&lt;100000000,VALUE(MID($D800,2,20)),1000000000),1000000000))+ROW()/100000,"")</f>
        <v/>
      </c>
    </row>
    <row r="801">
      <c r="F801" s="11" t="n"/>
      <c r="N801" s="7">
        <f>IF($D801="","",M801*V801/100)</f>
        <v/>
      </c>
      <c r="O801" s="7" t="n"/>
      <c r="U801" s="7" t="n"/>
      <c r="V801" s="7" t="n"/>
      <c r="W801" s="7">
        <f>IF($D801="","",V801*AB801/100)</f>
        <v/>
      </c>
      <c r="X801" s="7">
        <f>IF($D801="","",V801-W801)</f>
        <v/>
      </c>
      <c r="Y801" s="7">
        <f>IF($D801="","",X801-N801)</f>
        <v/>
      </c>
      <c r="AB801">
        <f>IF($D801="","",IF($AN801=1,0,IF($AM801=1,Settings!$C$6,Settings!$C$7))*100)</f>
        <v/>
      </c>
      <c r="AF801" s="7" t="n"/>
      <c r="AI801" s="11" t="n"/>
      <c r="AK801">
        <f>IF($D801="","",IF(COUNTIF($D$2:$D801,$D801)=1,1,0))</f>
        <v/>
      </c>
      <c r="AL801">
        <f>IF($AK801=1,SUMPRODUCT(--($AO$2:$AO$1501&lt;$AO801))+1,"")</f>
        <v/>
      </c>
      <c r="AM801">
        <f>IF($D801="","",IF(OR($R801=TRUE(),$R801="TRUE"),1,0))</f>
        <v/>
      </c>
      <c r="AN801">
        <f>IF($D801="","",IF($AA801="Yes",1,0))</f>
        <v/>
      </c>
      <c r="AO801">
        <f>IF($AK801=1,IFERROR(IF(VALUE($D801)&lt;100000000,VALUE($D801),1000000000),IFERROR(IF(VALUE(MID($D801,2,20))&lt;100000000,VALUE(MID($D801,2,20)),1000000000),1000000000))+ROW()/100000,"")</f>
        <v/>
      </c>
    </row>
    <row r="802">
      <c r="F802" s="11" t="n"/>
      <c r="N802" s="7">
        <f>IF($D802="","",M802*V802/100)</f>
        <v/>
      </c>
      <c r="O802" s="7" t="n"/>
      <c r="U802" s="7" t="n"/>
      <c r="V802" s="7" t="n"/>
      <c r="W802" s="7">
        <f>IF($D802="","",V802*AB802/100)</f>
        <v/>
      </c>
      <c r="X802" s="7">
        <f>IF($D802="","",V802-W802)</f>
        <v/>
      </c>
      <c r="Y802" s="7">
        <f>IF($D802="","",X802-N802)</f>
        <v/>
      </c>
      <c r="AB802">
        <f>IF($D802="","",IF($AN802=1,0,IF($AM802=1,Settings!$C$6,Settings!$C$7))*100)</f>
        <v/>
      </c>
      <c r="AF802" s="7" t="n"/>
      <c r="AI802" s="11" t="n"/>
      <c r="AK802">
        <f>IF($D802="","",IF(COUNTIF($D$2:$D802,$D802)=1,1,0))</f>
        <v/>
      </c>
      <c r="AL802">
        <f>IF($AK802=1,SUMPRODUCT(--($AO$2:$AO$1501&lt;$AO802))+1,"")</f>
        <v/>
      </c>
      <c r="AM802">
        <f>IF($D802="","",IF(OR($R802=TRUE(),$R802="TRUE"),1,0))</f>
        <v/>
      </c>
      <c r="AN802">
        <f>IF($D802="","",IF($AA802="Yes",1,0))</f>
        <v/>
      </c>
      <c r="AO802">
        <f>IF($AK802=1,IFERROR(IF(VALUE($D802)&lt;100000000,VALUE($D802),1000000000),IFERROR(IF(VALUE(MID($D802,2,20))&lt;100000000,VALUE(MID($D802,2,20)),1000000000),1000000000))+ROW()/100000,"")</f>
        <v/>
      </c>
    </row>
    <row r="803">
      <c r="F803" s="11" t="n"/>
      <c r="N803" s="7">
        <f>IF($D803="","",M803*V803/100)</f>
        <v/>
      </c>
      <c r="O803" s="7" t="n"/>
      <c r="U803" s="7" t="n"/>
      <c r="V803" s="7" t="n"/>
      <c r="W803" s="7">
        <f>IF($D803="","",V803*AB803/100)</f>
        <v/>
      </c>
      <c r="X803" s="7">
        <f>IF($D803="","",V803-W803)</f>
        <v/>
      </c>
      <c r="Y803" s="7">
        <f>IF($D803="","",X803-N803)</f>
        <v/>
      </c>
      <c r="AB803">
        <f>IF($D803="","",IF($AN803=1,0,IF($AM803=1,Settings!$C$6,Settings!$C$7))*100)</f>
        <v/>
      </c>
      <c r="AF803" s="7" t="n"/>
      <c r="AI803" s="11" t="n"/>
      <c r="AK803">
        <f>IF($D803="","",IF(COUNTIF($D$2:$D803,$D803)=1,1,0))</f>
        <v/>
      </c>
      <c r="AL803">
        <f>IF($AK803=1,SUMPRODUCT(--($AO$2:$AO$1501&lt;$AO803))+1,"")</f>
        <v/>
      </c>
      <c r="AM803">
        <f>IF($D803="","",IF(OR($R803=TRUE(),$R803="TRUE"),1,0))</f>
        <v/>
      </c>
      <c r="AN803">
        <f>IF($D803="","",IF($AA803="Yes",1,0))</f>
        <v/>
      </c>
      <c r="AO803">
        <f>IF($AK803=1,IFERROR(IF(VALUE($D803)&lt;100000000,VALUE($D803),1000000000),IFERROR(IF(VALUE(MID($D803,2,20))&lt;100000000,VALUE(MID($D803,2,20)),1000000000),1000000000))+ROW()/100000,"")</f>
        <v/>
      </c>
    </row>
    <row r="804">
      <c r="F804" s="11" t="n"/>
      <c r="N804" s="7">
        <f>IF($D804="","",M804*V804/100)</f>
        <v/>
      </c>
      <c r="O804" s="7" t="n"/>
      <c r="U804" s="7" t="n"/>
      <c r="V804" s="7" t="n"/>
      <c r="W804" s="7">
        <f>IF($D804="","",V804*AB804/100)</f>
        <v/>
      </c>
      <c r="X804" s="7">
        <f>IF($D804="","",V804-W804)</f>
        <v/>
      </c>
      <c r="Y804" s="7">
        <f>IF($D804="","",X804-N804)</f>
        <v/>
      </c>
      <c r="AB804">
        <f>IF($D804="","",IF($AN804=1,0,IF($AM804=1,Settings!$C$6,Settings!$C$7))*100)</f>
        <v/>
      </c>
      <c r="AF804" s="7" t="n"/>
      <c r="AI804" s="11" t="n"/>
      <c r="AK804">
        <f>IF($D804="","",IF(COUNTIF($D$2:$D804,$D804)=1,1,0))</f>
        <v/>
      </c>
      <c r="AL804">
        <f>IF($AK804=1,SUMPRODUCT(--($AO$2:$AO$1501&lt;$AO804))+1,"")</f>
        <v/>
      </c>
      <c r="AM804">
        <f>IF($D804="","",IF(OR($R804=TRUE(),$R804="TRUE"),1,0))</f>
        <v/>
      </c>
      <c r="AN804">
        <f>IF($D804="","",IF($AA804="Yes",1,0))</f>
        <v/>
      </c>
      <c r="AO804">
        <f>IF($AK804=1,IFERROR(IF(VALUE($D804)&lt;100000000,VALUE($D804),1000000000),IFERROR(IF(VALUE(MID($D804,2,20))&lt;100000000,VALUE(MID($D804,2,20)),1000000000),1000000000))+ROW()/100000,"")</f>
        <v/>
      </c>
    </row>
    <row r="805">
      <c r="F805" s="11" t="n"/>
      <c r="N805" s="7">
        <f>IF($D805="","",M805*V805/100)</f>
        <v/>
      </c>
      <c r="O805" s="7" t="n"/>
      <c r="U805" s="7" t="n"/>
      <c r="V805" s="7" t="n"/>
      <c r="W805" s="7">
        <f>IF($D805="","",V805*AB805/100)</f>
        <v/>
      </c>
      <c r="X805" s="7">
        <f>IF($D805="","",V805-W805)</f>
        <v/>
      </c>
      <c r="Y805" s="7">
        <f>IF($D805="","",X805-N805)</f>
        <v/>
      </c>
      <c r="AB805">
        <f>IF($D805="","",IF($AN805=1,0,IF($AM805=1,Settings!$C$6,Settings!$C$7))*100)</f>
        <v/>
      </c>
      <c r="AF805" s="7" t="n"/>
      <c r="AI805" s="11" t="n"/>
      <c r="AK805">
        <f>IF($D805="","",IF(COUNTIF($D$2:$D805,$D805)=1,1,0))</f>
        <v/>
      </c>
      <c r="AL805">
        <f>IF($AK805=1,SUMPRODUCT(--($AO$2:$AO$1501&lt;$AO805))+1,"")</f>
        <v/>
      </c>
      <c r="AM805">
        <f>IF($D805="","",IF(OR($R805=TRUE(),$R805="TRUE"),1,0))</f>
        <v/>
      </c>
      <c r="AN805">
        <f>IF($D805="","",IF($AA805="Yes",1,0))</f>
        <v/>
      </c>
      <c r="AO805">
        <f>IF($AK805=1,IFERROR(IF(VALUE($D805)&lt;100000000,VALUE($D805),1000000000),IFERROR(IF(VALUE(MID($D805,2,20))&lt;100000000,VALUE(MID($D805,2,20)),1000000000),1000000000))+ROW()/100000,"")</f>
        <v/>
      </c>
    </row>
    <row r="806">
      <c r="F806" s="11" t="n"/>
      <c r="N806" s="7">
        <f>IF($D806="","",M806*V806/100)</f>
        <v/>
      </c>
      <c r="O806" s="7" t="n"/>
      <c r="U806" s="7" t="n"/>
      <c r="V806" s="7" t="n"/>
      <c r="W806" s="7">
        <f>IF($D806="","",V806*AB806/100)</f>
        <v/>
      </c>
      <c r="X806" s="7">
        <f>IF($D806="","",V806-W806)</f>
        <v/>
      </c>
      <c r="Y806" s="7">
        <f>IF($D806="","",X806-N806)</f>
        <v/>
      </c>
      <c r="AB806">
        <f>IF($D806="","",IF($AN806=1,0,IF($AM806=1,Settings!$C$6,Settings!$C$7))*100)</f>
        <v/>
      </c>
      <c r="AF806" s="7" t="n"/>
      <c r="AI806" s="11" t="n"/>
      <c r="AK806">
        <f>IF($D806="","",IF(COUNTIF($D$2:$D806,$D806)=1,1,0))</f>
        <v/>
      </c>
      <c r="AL806">
        <f>IF($AK806=1,SUMPRODUCT(--($AO$2:$AO$1501&lt;$AO806))+1,"")</f>
        <v/>
      </c>
      <c r="AM806">
        <f>IF($D806="","",IF(OR($R806=TRUE(),$R806="TRUE"),1,0))</f>
        <v/>
      </c>
      <c r="AN806">
        <f>IF($D806="","",IF($AA806="Yes",1,0))</f>
        <v/>
      </c>
      <c r="AO806">
        <f>IF($AK806=1,IFERROR(IF(VALUE($D806)&lt;100000000,VALUE($D806),1000000000),IFERROR(IF(VALUE(MID($D806,2,20))&lt;100000000,VALUE(MID($D806,2,20)),1000000000),1000000000))+ROW()/100000,"")</f>
        <v/>
      </c>
    </row>
    <row r="807">
      <c r="F807" s="11" t="n"/>
      <c r="N807" s="7">
        <f>IF($D807="","",M807*V807/100)</f>
        <v/>
      </c>
      <c r="O807" s="7" t="n"/>
      <c r="U807" s="7" t="n"/>
      <c r="V807" s="7" t="n"/>
      <c r="W807" s="7">
        <f>IF($D807="","",V807*AB807/100)</f>
        <v/>
      </c>
      <c r="X807" s="7">
        <f>IF($D807="","",V807-W807)</f>
        <v/>
      </c>
      <c r="Y807" s="7">
        <f>IF($D807="","",X807-N807)</f>
        <v/>
      </c>
      <c r="AB807">
        <f>IF($D807="","",IF($AN807=1,0,IF($AM807=1,Settings!$C$6,Settings!$C$7))*100)</f>
        <v/>
      </c>
      <c r="AF807" s="7" t="n"/>
      <c r="AI807" s="11" t="n"/>
      <c r="AK807">
        <f>IF($D807="","",IF(COUNTIF($D$2:$D807,$D807)=1,1,0))</f>
        <v/>
      </c>
      <c r="AL807">
        <f>IF($AK807=1,SUMPRODUCT(--($AO$2:$AO$1501&lt;$AO807))+1,"")</f>
        <v/>
      </c>
      <c r="AM807">
        <f>IF($D807="","",IF(OR($R807=TRUE(),$R807="TRUE"),1,0))</f>
        <v/>
      </c>
      <c r="AN807">
        <f>IF($D807="","",IF($AA807="Yes",1,0))</f>
        <v/>
      </c>
      <c r="AO807">
        <f>IF($AK807=1,IFERROR(IF(VALUE($D807)&lt;100000000,VALUE($D807),1000000000),IFERROR(IF(VALUE(MID($D807,2,20))&lt;100000000,VALUE(MID($D807,2,20)),1000000000),1000000000))+ROW()/100000,"")</f>
        <v/>
      </c>
    </row>
    <row r="808">
      <c r="F808" s="11" t="n"/>
      <c r="N808" s="7">
        <f>IF($D808="","",M808*V808/100)</f>
        <v/>
      </c>
      <c r="O808" s="7" t="n"/>
      <c r="U808" s="7" t="n"/>
      <c r="V808" s="7" t="n"/>
      <c r="W808" s="7">
        <f>IF($D808="","",V808*AB808/100)</f>
        <v/>
      </c>
      <c r="X808" s="7">
        <f>IF($D808="","",V808-W808)</f>
        <v/>
      </c>
      <c r="Y808" s="7">
        <f>IF($D808="","",X808-N808)</f>
        <v/>
      </c>
      <c r="AB808">
        <f>IF($D808="","",IF($AN808=1,0,IF($AM808=1,Settings!$C$6,Settings!$C$7))*100)</f>
        <v/>
      </c>
      <c r="AF808" s="7" t="n"/>
      <c r="AI808" s="11" t="n"/>
      <c r="AK808">
        <f>IF($D808="","",IF(COUNTIF($D$2:$D808,$D808)=1,1,0))</f>
        <v/>
      </c>
      <c r="AL808">
        <f>IF($AK808=1,SUMPRODUCT(--($AO$2:$AO$1501&lt;$AO808))+1,"")</f>
        <v/>
      </c>
      <c r="AM808">
        <f>IF($D808="","",IF(OR($R808=TRUE(),$R808="TRUE"),1,0))</f>
        <v/>
      </c>
      <c r="AN808">
        <f>IF($D808="","",IF($AA808="Yes",1,0))</f>
        <v/>
      </c>
      <c r="AO808">
        <f>IF($AK808=1,IFERROR(IF(VALUE($D808)&lt;100000000,VALUE($D808),1000000000),IFERROR(IF(VALUE(MID($D808,2,20))&lt;100000000,VALUE(MID($D808,2,20)),1000000000),1000000000))+ROW()/100000,"")</f>
        <v/>
      </c>
    </row>
    <row r="809">
      <c r="F809" s="11" t="n"/>
      <c r="N809" s="7">
        <f>IF($D809="","",M809*V809/100)</f>
        <v/>
      </c>
      <c r="O809" s="7" t="n"/>
      <c r="U809" s="7" t="n"/>
      <c r="V809" s="7" t="n"/>
      <c r="W809" s="7">
        <f>IF($D809="","",V809*AB809/100)</f>
        <v/>
      </c>
      <c r="X809" s="7">
        <f>IF($D809="","",V809-W809)</f>
        <v/>
      </c>
      <c r="Y809" s="7">
        <f>IF($D809="","",X809-N809)</f>
        <v/>
      </c>
      <c r="AB809">
        <f>IF($D809="","",IF($AN809=1,0,IF($AM809=1,Settings!$C$6,Settings!$C$7))*100)</f>
        <v/>
      </c>
      <c r="AF809" s="7" t="n"/>
      <c r="AI809" s="11" t="n"/>
      <c r="AK809">
        <f>IF($D809="","",IF(COUNTIF($D$2:$D809,$D809)=1,1,0))</f>
        <v/>
      </c>
      <c r="AL809">
        <f>IF($AK809=1,SUMPRODUCT(--($AO$2:$AO$1501&lt;$AO809))+1,"")</f>
        <v/>
      </c>
      <c r="AM809">
        <f>IF($D809="","",IF(OR($R809=TRUE(),$R809="TRUE"),1,0))</f>
        <v/>
      </c>
      <c r="AN809">
        <f>IF($D809="","",IF($AA809="Yes",1,0))</f>
        <v/>
      </c>
      <c r="AO809">
        <f>IF($AK809=1,IFERROR(IF(VALUE($D809)&lt;100000000,VALUE($D809),1000000000),IFERROR(IF(VALUE(MID($D809,2,20))&lt;100000000,VALUE(MID($D809,2,20)),1000000000),1000000000))+ROW()/100000,"")</f>
        <v/>
      </c>
    </row>
    <row r="810">
      <c r="F810" s="11" t="n"/>
      <c r="N810" s="7">
        <f>IF($D810="","",M810*V810/100)</f>
        <v/>
      </c>
      <c r="O810" s="7" t="n"/>
      <c r="U810" s="7" t="n"/>
      <c r="V810" s="7" t="n"/>
      <c r="W810" s="7">
        <f>IF($D810="","",V810*AB810/100)</f>
        <v/>
      </c>
      <c r="X810" s="7">
        <f>IF($D810="","",V810-W810)</f>
        <v/>
      </c>
      <c r="Y810" s="7">
        <f>IF($D810="","",X810-N810)</f>
        <v/>
      </c>
      <c r="AB810">
        <f>IF($D810="","",IF($AN810=1,0,IF($AM810=1,Settings!$C$6,Settings!$C$7))*100)</f>
        <v/>
      </c>
      <c r="AF810" s="7" t="n"/>
      <c r="AI810" s="11" t="n"/>
      <c r="AK810">
        <f>IF($D810="","",IF(COUNTIF($D$2:$D810,$D810)=1,1,0))</f>
        <v/>
      </c>
      <c r="AL810">
        <f>IF($AK810=1,SUMPRODUCT(--($AO$2:$AO$1501&lt;$AO810))+1,"")</f>
        <v/>
      </c>
      <c r="AM810">
        <f>IF($D810="","",IF(OR($R810=TRUE(),$R810="TRUE"),1,0))</f>
        <v/>
      </c>
      <c r="AN810">
        <f>IF($D810="","",IF($AA810="Yes",1,0))</f>
        <v/>
      </c>
      <c r="AO810">
        <f>IF($AK810=1,IFERROR(IF(VALUE($D810)&lt;100000000,VALUE($D810),1000000000),IFERROR(IF(VALUE(MID($D810,2,20))&lt;100000000,VALUE(MID($D810,2,20)),1000000000),1000000000))+ROW()/100000,"")</f>
        <v/>
      </c>
    </row>
    <row r="811">
      <c r="F811" s="11" t="n"/>
      <c r="N811" s="7">
        <f>IF($D811="","",M811*V811/100)</f>
        <v/>
      </c>
      <c r="O811" s="7" t="n"/>
      <c r="U811" s="7" t="n"/>
      <c r="V811" s="7" t="n"/>
      <c r="W811" s="7">
        <f>IF($D811="","",V811*AB811/100)</f>
        <v/>
      </c>
      <c r="X811" s="7">
        <f>IF($D811="","",V811-W811)</f>
        <v/>
      </c>
      <c r="Y811" s="7">
        <f>IF($D811="","",X811-N811)</f>
        <v/>
      </c>
      <c r="AB811">
        <f>IF($D811="","",IF($AN811=1,0,IF($AM811=1,Settings!$C$6,Settings!$C$7))*100)</f>
        <v/>
      </c>
      <c r="AF811" s="7" t="n"/>
      <c r="AI811" s="11" t="n"/>
      <c r="AK811">
        <f>IF($D811="","",IF(COUNTIF($D$2:$D811,$D811)=1,1,0))</f>
        <v/>
      </c>
      <c r="AL811">
        <f>IF($AK811=1,SUMPRODUCT(--($AO$2:$AO$1501&lt;$AO811))+1,"")</f>
        <v/>
      </c>
      <c r="AM811">
        <f>IF($D811="","",IF(OR($R811=TRUE(),$R811="TRUE"),1,0))</f>
        <v/>
      </c>
      <c r="AN811">
        <f>IF($D811="","",IF($AA811="Yes",1,0))</f>
        <v/>
      </c>
      <c r="AO811">
        <f>IF($AK811=1,IFERROR(IF(VALUE($D811)&lt;100000000,VALUE($D811),1000000000),IFERROR(IF(VALUE(MID($D811,2,20))&lt;100000000,VALUE(MID($D811,2,20)),1000000000),1000000000))+ROW()/100000,"")</f>
        <v/>
      </c>
    </row>
    <row r="812">
      <c r="F812" s="11" t="n"/>
      <c r="N812" s="7">
        <f>IF($D812="","",M812*V812/100)</f>
        <v/>
      </c>
      <c r="O812" s="7" t="n"/>
      <c r="U812" s="7" t="n"/>
      <c r="V812" s="7" t="n"/>
      <c r="W812" s="7">
        <f>IF($D812="","",V812*AB812/100)</f>
        <v/>
      </c>
      <c r="X812" s="7">
        <f>IF($D812="","",V812-W812)</f>
        <v/>
      </c>
      <c r="Y812" s="7">
        <f>IF($D812="","",X812-N812)</f>
        <v/>
      </c>
      <c r="AB812">
        <f>IF($D812="","",IF($AN812=1,0,IF($AM812=1,Settings!$C$6,Settings!$C$7))*100)</f>
        <v/>
      </c>
      <c r="AF812" s="7" t="n"/>
      <c r="AI812" s="11" t="n"/>
      <c r="AK812">
        <f>IF($D812="","",IF(COUNTIF($D$2:$D812,$D812)=1,1,0))</f>
        <v/>
      </c>
      <c r="AL812">
        <f>IF($AK812=1,SUMPRODUCT(--($AO$2:$AO$1501&lt;$AO812))+1,"")</f>
        <v/>
      </c>
      <c r="AM812">
        <f>IF($D812="","",IF(OR($R812=TRUE(),$R812="TRUE"),1,0))</f>
        <v/>
      </c>
      <c r="AN812">
        <f>IF($D812="","",IF($AA812="Yes",1,0))</f>
        <v/>
      </c>
      <c r="AO812">
        <f>IF($AK812=1,IFERROR(IF(VALUE($D812)&lt;100000000,VALUE($D812),1000000000),IFERROR(IF(VALUE(MID($D812,2,20))&lt;100000000,VALUE(MID($D812,2,20)),1000000000),1000000000))+ROW()/100000,"")</f>
        <v/>
      </c>
    </row>
    <row r="813">
      <c r="F813" s="11" t="n"/>
      <c r="N813" s="7">
        <f>IF($D813="","",M813*V813/100)</f>
        <v/>
      </c>
      <c r="O813" s="7" t="n"/>
      <c r="U813" s="7" t="n"/>
      <c r="V813" s="7" t="n"/>
      <c r="W813" s="7">
        <f>IF($D813="","",V813*AB813/100)</f>
        <v/>
      </c>
      <c r="X813" s="7">
        <f>IF($D813="","",V813-W813)</f>
        <v/>
      </c>
      <c r="Y813" s="7">
        <f>IF($D813="","",X813-N813)</f>
        <v/>
      </c>
      <c r="AB813">
        <f>IF($D813="","",IF($AN813=1,0,IF($AM813=1,Settings!$C$6,Settings!$C$7))*100)</f>
        <v/>
      </c>
      <c r="AF813" s="7" t="n"/>
      <c r="AI813" s="11" t="n"/>
      <c r="AK813">
        <f>IF($D813="","",IF(COUNTIF($D$2:$D813,$D813)=1,1,0))</f>
        <v/>
      </c>
      <c r="AL813">
        <f>IF($AK813=1,SUMPRODUCT(--($AO$2:$AO$1501&lt;$AO813))+1,"")</f>
        <v/>
      </c>
      <c r="AM813">
        <f>IF($D813="","",IF(OR($R813=TRUE(),$R813="TRUE"),1,0))</f>
        <v/>
      </c>
      <c r="AN813">
        <f>IF($D813="","",IF($AA813="Yes",1,0))</f>
        <v/>
      </c>
      <c r="AO813">
        <f>IF($AK813=1,IFERROR(IF(VALUE($D813)&lt;100000000,VALUE($D813),1000000000),IFERROR(IF(VALUE(MID($D813,2,20))&lt;100000000,VALUE(MID($D813,2,20)),1000000000),1000000000))+ROW()/100000,"")</f>
        <v/>
      </c>
    </row>
    <row r="814">
      <c r="F814" s="11" t="n"/>
      <c r="N814" s="7">
        <f>IF($D814="","",M814*V814/100)</f>
        <v/>
      </c>
      <c r="O814" s="7" t="n"/>
      <c r="U814" s="7" t="n"/>
      <c r="V814" s="7" t="n"/>
      <c r="W814" s="7">
        <f>IF($D814="","",V814*AB814/100)</f>
        <v/>
      </c>
      <c r="X814" s="7">
        <f>IF($D814="","",V814-W814)</f>
        <v/>
      </c>
      <c r="Y814" s="7">
        <f>IF($D814="","",X814-N814)</f>
        <v/>
      </c>
      <c r="AB814">
        <f>IF($D814="","",IF($AN814=1,0,IF($AM814=1,Settings!$C$6,Settings!$C$7))*100)</f>
        <v/>
      </c>
      <c r="AF814" s="7" t="n"/>
      <c r="AI814" s="11" t="n"/>
      <c r="AK814">
        <f>IF($D814="","",IF(COUNTIF($D$2:$D814,$D814)=1,1,0))</f>
        <v/>
      </c>
      <c r="AL814">
        <f>IF($AK814=1,SUMPRODUCT(--($AO$2:$AO$1501&lt;$AO814))+1,"")</f>
        <v/>
      </c>
      <c r="AM814">
        <f>IF($D814="","",IF(OR($R814=TRUE(),$R814="TRUE"),1,0))</f>
        <v/>
      </c>
      <c r="AN814">
        <f>IF($D814="","",IF($AA814="Yes",1,0))</f>
        <v/>
      </c>
      <c r="AO814">
        <f>IF($AK814=1,IFERROR(IF(VALUE($D814)&lt;100000000,VALUE($D814),1000000000),IFERROR(IF(VALUE(MID($D814,2,20))&lt;100000000,VALUE(MID($D814,2,20)),1000000000),1000000000))+ROW()/100000,"")</f>
        <v/>
      </c>
    </row>
    <row r="815">
      <c r="F815" s="11" t="n"/>
      <c r="N815" s="7">
        <f>IF($D815="","",M815*V815/100)</f>
        <v/>
      </c>
      <c r="O815" s="7" t="n"/>
      <c r="U815" s="7" t="n"/>
      <c r="V815" s="7" t="n"/>
      <c r="W815" s="7">
        <f>IF($D815="","",V815*AB815/100)</f>
        <v/>
      </c>
      <c r="X815" s="7">
        <f>IF($D815="","",V815-W815)</f>
        <v/>
      </c>
      <c r="Y815" s="7">
        <f>IF($D815="","",X815-N815)</f>
        <v/>
      </c>
      <c r="AB815">
        <f>IF($D815="","",IF($AN815=1,0,IF($AM815=1,Settings!$C$6,Settings!$C$7))*100)</f>
        <v/>
      </c>
      <c r="AF815" s="7" t="n"/>
      <c r="AI815" s="11" t="n"/>
      <c r="AK815">
        <f>IF($D815="","",IF(COUNTIF($D$2:$D815,$D815)=1,1,0))</f>
        <v/>
      </c>
      <c r="AL815">
        <f>IF($AK815=1,SUMPRODUCT(--($AO$2:$AO$1501&lt;$AO815))+1,"")</f>
        <v/>
      </c>
      <c r="AM815">
        <f>IF($D815="","",IF(OR($R815=TRUE(),$R815="TRUE"),1,0))</f>
        <v/>
      </c>
      <c r="AN815">
        <f>IF($D815="","",IF($AA815="Yes",1,0))</f>
        <v/>
      </c>
      <c r="AO815">
        <f>IF($AK815=1,IFERROR(IF(VALUE($D815)&lt;100000000,VALUE($D815),1000000000),IFERROR(IF(VALUE(MID($D815,2,20))&lt;100000000,VALUE(MID($D815,2,20)),1000000000),1000000000))+ROW()/100000,"")</f>
        <v/>
      </c>
    </row>
    <row r="816">
      <c r="F816" s="11" t="n"/>
      <c r="N816" s="7">
        <f>IF($D816="","",M816*V816/100)</f>
        <v/>
      </c>
      <c r="O816" s="7" t="n"/>
      <c r="U816" s="7" t="n"/>
      <c r="V816" s="7" t="n"/>
      <c r="W816" s="7">
        <f>IF($D816="","",V816*AB816/100)</f>
        <v/>
      </c>
      <c r="X816" s="7">
        <f>IF($D816="","",V816-W816)</f>
        <v/>
      </c>
      <c r="Y816" s="7">
        <f>IF($D816="","",X816-N816)</f>
        <v/>
      </c>
      <c r="AB816">
        <f>IF($D816="","",IF($AN816=1,0,IF($AM816=1,Settings!$C$6,Settings!$C$7))*100)</f>
        <v/>
      </c>
      <c r="AF816" s="7" t="n"/>
      <c r="AI816" s="11" t="n"/>
      <c r="AK816">
        <f>IF($D816="","",IF(COUNTIF($D$2:$D816,$D816)=1,1,0))</f>
        <v/>
      </c>
      <c r="AL816">
        <f>IF($AK816=1,SUMPRODUCT(--($AO$2:$AO$1501&lt;$AO816))+1,"")</f>
        <v/>
      </c>
      <c r="AM816">
        <f>IF($D816="","",IF(OR($R816=TRUE(),$R816="TRUE"),1,0))</f>
        <v/>
      </c>
      <c r="AN816">
        <f>IF($D816="","",IF($AA816="Yes",1,0))</f>
        <v/>
      </c>
      <c r="AO816">
        <f>IF($AK816=1,IFERROR(IF(VALUE($D816)&lt;100000000,VALUE($D816),1000000000),IFERROR(IF(VALUE(MID($D816,2,20))&lt;100000000,VALUE(MID($D816,2,20)),1000000000),1000000000))+ROW()/100000,"")</f>
        <v/>
      </c>
    </row>
    <row r="817">
      <c r="F817" s="11" t="n"/>
      <c r="N817" s="7">
        <f>IF($D817="","",M817*V817/100)</f>
        <v/>
      </c>
      <c r="O817" s="7" t="n"/>
      <c r="U817" s="7" t="n"/>
      <c r="V817" s="7" t="n"/>
      <c r="W817" s="7">
        <f>IF($D817="","",V817*AB817/100)</f>
        <v/>
      </c>
      <c r="X817" s="7">
        <f>IF($D817="","",V817-W817)</f>
        <v/>
      </c>
      <c r="Y817" s="7">
        <f>IF($D817="","",X817-N817)</f>
        <v/>
      </c>
      <c r="AB817">
        <f>IF($D817="","",IF($AN817=1,0,IF($AM817=1,Settings!$C$6,Settings!$C$7))*100)</f>
        <v/>
      </c>
      <c r="AF817" s="7" t="n"/>
      <c r="AI817" s="11" t="n"/>
      <c r="AK817">
        <f>IF($D817="","",IF(COUNTIF($D$2:$D817,$D817)=1,1,0))</f>
        <v/>
      </c>
      <c r="AL817">
        <f>IF($AK817=1,SUMPRODUCT(--($AO$2:$AO$1501&lt;$AO817))+1,"")</f>
        <v/>
      </c>
      <c r="AM817">
        <f>IF($D817="","",IF(OR($R817=TRUE(),$R817="TRUE"),1,0))</f>
        <v/>
      </c>
      <c r="AN817">
        <f>IF($D817="","",IF($AA817="Yes",1,0))</f>
        <v/>
      </c>
      <c r="AO817">
        <f>IF($AK817=1,IFERROR(IF(VALUE($D817)&lt;100000000,VALUE($D817),1000000000),IFERROR(IF(VALUE(MID($D817,2,20))&lt;100000000,VALUE(MID($D817,2,20)),1000000000),1000000000))+ROW()/100000,"")</f>
        <v/>
      </c>
    </row>
    <row r="818">
      <c r="F818" s="11" t="n"/>
      <c r="N818" s="7">
        <f>IF($D818="","",M818*V818/100)</f>
        <v/>
      </c>
      <c r="O818" s="7" t="n"/>
      <c r="U818" s="7" t="n"/>
      <c r="V818" s="7" t="n"/>
      <c r="W818" s="7">
        <f>IF($D818="","",V818*AB818/100)</f>
        <v/>
      </c>
      <c r="X818" s="7">
        <f>IF($D818="","",V818-W818)</f>
        <v/>
      </c>
      <c r="Y818" s="7">
        <f>IF($D818="","",X818-N818)</f>
        <v/>
      </c>
      <c r="AB818">
        <f>IF($D818="","",IF($AN818=1,0,IF($AM818=1,Settings!$C$6,Settings!$C$7))*100)</f>
        <v/>
      </c>
      <c r="AF818" s="7" t="n"/>
      <c r="AI818" s="11" t="n"/>
      <c r="AK818">
        <f>IF($D818="","",IF(COUNTIF($D$2:$D818,$D818)=1,1,0))</f>
        <v/>
      </c>
      <c r="AL818">
        <f>IF($AK818=1,SUMPRODUCT(--($AO$2:$AO$1501&lt;$AO818))+1,"")</f>
        <v/>
      </c>
      <c r="AM818">
        <f>IF($D818="","",IF(OR($R818=TRUE(),$R818="TRUE"),1,0))</f>
        <v/>
      </c>
      <c r="AN818">
        <f>IF($D818="","",IF($AA818="Yes",1,0))</f>
        <v/>
      </c>
      <c r="AO818">
        <f>IF($AK818=1,IFERROR(IF(VALUE($D818)&lt;100000000,VALUE($D818),1000000000),IFERROR(IF(VALUE(MID($D818,2,20))&lt;100000000,VALUE(MID($D818,2,20)),1000000000),1000000000))+ROW()/100000,"")</f>
        <v/>
      </c>
    </row>
    <row r="819">
      <c r="F819" s="11" t="n"/>
      <c r="N819" s="7">
        <f>IF($D819="","",M819*V819/100)</f>
        <v/>
      </c>
      <c r="O819" s="7" t="n"/>
      <c r="U819" s="7" t="n"/>
      <c r="V819" s="7" t="n"/>
      <c r="W819" s="7">
        <f>IF($D819="","",V819*AB819/100)</f>
        <v/>
      </c>
      <c r="X819" s="7">
        <f>IF($D819="","",V819-W819)</f>
        <v/>
      </c>
      <c r="Y819" s="7">
        <f>IF($D819="","",X819-N819)</f>
        <v/>
      </c>
      <c r="AB819">
        <f>IF($D819="","",IF($AN819=1,0,IF($AM819=1,Settings!$C$6,Settings!$C$7))*100)</f>
        <v/>
      </c>
      <c r="AF819" s="7" t="n"/>
      <c r="AI819" s="11" t="n"/>
      <c r="AK819">
        <f>IF($D819="","",IF(COUNTIF($D$2:$D819,$D819)=1,1,0))</f>
        <v/>
      </c>
      <c r="AL819">
        <f>IF($AK819=1,SUMPRODUCT(--($AO$2:$AO$1501&lt;$AO819))+1,"")</f>
        <v/>
      </c>
      <c r="AM819">
        <f>IF($D819="","",IF(OR($R819=TRUE(),$R819="TRUE"),1,0))</f>
        <v/>
      </c>
      <c r="AN819">
        <f>IF($D819="","",IF($AA819="Yes",1,0))</f>
        <v/>
      </c>
      <c r="AO819">
        <f>IF($AK819=1,IFERROR(IF(VALUE($D819)&lt;100000000,VALUE($D819),1000000000),IFERROR(IF(VALUE(MID($D819,2,20))&lt;100000000,VALUE(MID($D819,2,20)),1000000000),1000000000))+ROW()/100000,"")</f>
        <v/>
      </c>
    </row>
    <row r="820">
      <c r="F820" s="11" t="n"/>
      <c r="N820" s="7">
        <f>IF($D820="","",M820*V820/100)</f>
        <v/>
      </c>
      <c r="O820" s="7" t="n"/>
      <c r="U820" s="7" t="n"/>
      <c r="V820" s="7" t="n"/>
      <c r="W820" s="7">
        <f>IF($D820="","",V820*AB820/100)</f>
        <v/>
      </c>
      <c r="X820" s="7">
        <f>IF($D820="","",V820-W820)</f>
        <v/>
      </c>
      <c r="Y820" s="7">
        <f>IF($D820="","",X820-N820)</f>
        <v/>
      </c>
      <c r="AB820">
        <f>IF($D820="","",IF($AN820=1,0,IF($AM820=1,Settings!$C$6,Settings!$C$7))*100)</f>
        <v/>
      </c>
      <c r="AF820" s="7" t="n"/>
      <c r="AI820" s="11" t="n"/>
      <c r="AK820">
        <f>IF($D820="","",IF(COUNTIF($D$2:$D820,$D820)=1,1,0))</f>
        <v/>
      </c>
      <c r="AL820">
        <f>IF($AK820=1,SUMPRODUCT(--($AO$2:$AO$1501&lt;$AO820))+1,"")</f>
        <v/>
      </c>
      <c r="AM820">
        <f>IF($D820="","",IF(OR($R820=TRUE(),$R820="TRUE"),1,0))</f>
        <v/>
      </c>
      <c r="AN820">
        <f>IF($D820="","",IF($AA820="Yes",1,0))</f>
        <v/>
      </c>
      <c r="AO820">
        <f>IF($AK820=1,IFERROR(IF(VALUE($D820)&lt;100000000,VALUE($D820),1000000000),IFERROR(IF(VALUE(MID($D820,2,20))&lt;100000000,VALUE(MID($D820,2,20)),1000000000),1000000000))+ROW()/100000,"")</f>
        <v/>
      </c>
    </row>
    <row r="821">
      <c r="F821" s="11" t="n"/>
      <c r="N821" s="7">
        <f>IF($D821="","",M821*V821/100)</f>
        <v/>
      </c>
      <c r="O821" s="7" t="n"/>
      <c r="U821" s="7" t="n"/>
      <c r="V821" s="7" t="n"/>
      <c r="W821" s="7">
        <f>IF($D821="","",V821*AB821/100)</f>
        <v/>
      </c>
      <c r="X821" s="7">
        <f>IF($D821="","",V821-W821)</f>
        <v/>
      </c>
      <c r="Y821" s="7">
        <f>IF($D821="","",X821-N821)</f>
        <v/>
      </c>
      <c r="AB821">
        <f>IF($D821="","",IF($AN821=1,0,IF($AM821=1,Settings!$C$6,Settings!$C$7))*100)</f>
        <v/>
      </c>
      <c r="AF821" s="7" t="n"/>
      <c r="AI821" s="11" t="n"/>
      <c r="AK821">
        <f>IF($D821="","",IF(COUNTIF($D$2:$D821,$D821)=1,1,0))</f>
        <v/>
      </c>
      <c r="AL821">
        <f>IF($AK821=1,SUMPRODUCT(--($AO$2:$AO$1501&lt;$AO821))+1,"")</f>
        <v/>
      </c>
      <c r="AM821">
        <f>IF($D821="","",IF(OR($R821=TRUE(),$R821="TRUE"),1,0))</f>
        <v/>
      </c>
      <c r="AN821">
        <f>IF($D821="","",IF($AA821="Yes",1,0))</f>
        <v/>
      </c>
      <c r="AO821">
        <f>IF($AK821=1,IFERROR(IF(VALUE($D821)&lt;100000000,VALUE($D821),1000000000),IFERROR(IF(VALUE(MID($D821,2,20))&lt;100000000,VALUE(MID($D821,2,20)),1000000000),1000000000))+ROW()/100000,"")</f>
        <v/>
      </c>
    </row>
    <row r="822">
      <c r="F822" s="11" t="n"/>
      <c r="N822" s="7">
        <f>IF($D822="","",M822*V822/100)</f>
        <v/>
      </c>
      <c r="O822" s="7" t="n"/>
      <c r="U822" s="7" t="n"/>
      <c r="V822" s="7" t="n"/>
      <c r="W822" s="7">
        <f>IF($D822="","",V822*AB822/100)</f>
        <v/>
      </c>
      <c r="X822" s="7">
        <f>IF($D822="","",V822-W822)</f>
        <v/>
      </c>
      <c r="Y822" s="7">
        <f>IF($D822="","",X822-N822)</f>
        <v/>
      </c>
      <c r="AB822">
        <f>IF($D822="","",IF($AN822=1,0,IF($AM822=1,Settings!$C$6,Settings!$C$7))*100)</f>
        <v/>
      </c>
      <c r="AF822" s="7" t="n"/>
      <c r="AI822" s="11" t="n"/>
      <c r="AK822">
        <f>IF($D822="","",IF(COUNTIF($D$2:$D822,$D822)=1,1,0))</f>
        <v/>
      </c>
      <c r="AL822">
        <f>IF($AK822=1,SUMPRODUCT(--($AO$2:$AO$1501&lt;$AO822))+1,"")</f>
        <v/>
      </c>
      <c r="AM822">
        <f>IF($D822="","",IF(OR($R822=TRUE(),$R822="TRUE"),1,0))</f>
        <v/>
      </c>
      <c r="AN822">
        <f>IF($D822="","",IF($AA822="Yes",1,0))</f>
        <v/>
      </c>
      <c r="AO822">
        <f>IF($AK822=1,IFERROR(IF(VALUE($D822)&lt;100000000,VALUE($D822),1000000000),IFERROR(IF(VALUE(MID($D822,2,20))&lt;100000000,VALUE(MID($D822,2,20)),1000000000),1000000000))+ROW()/100000,"")</f>
        <v/>
      </c>
    </row>
    <row r="823">
      <c r="F823" s="11" t="n"/>
      <c r="N823" s="7">
        <f>IF($D823="","",M823*V823/100)</f>
        <v/>
      </c>
      <c r="O823" s="7" t="n"/>
      <c r="U823" s="7" t="n"/>
      <c r="V823" s="7" t="n"/>
      <c r="W823" s="7">
        <f>IF($D823="","",V823*AB823/100)</f>
        <v/>
      </c>
      <c r="X823" s="7">
        <f>IF($D823="","",V823-W823)</f>
        <v/>
      </c>
      <c r="Y823" s="7">
        <f>IF($D823="","",X823-N823)</f>
        <v/>
      </c>
      <c r="AB823">
        <f>IF($D823="","",IF($AN823=1,0,IF($AM823=1,Settings!$C$6,Settings!$C$7))*100)</f>
        <v/>
      </c>
      <c r="AF823" s="7" t="n"/>
      <c r="AI823" s="11" t="n"/>
      <c r="AK823">
        <f>IF($D823="","",IF(COUNTIF($D$2:$D823,$D823)=1,1,0))</f>
        <v/>
      </c>
      <c r="AL823">
        <f>IF($AK823=1,SUMPRODUCT(--($AO$2:$AO$1501&lt;$AO823))+1,"")</f>
        <v/>
      </c>
      <c r="AM823">
        <f>IF($D823="","",IF(OR($R823=TRUE(),$R823="TRUE"),1,0))</f>
        <v/>
      </c>
      <c r="AN823">
        <f>IF($D823="","",IF($AA823="Yes",1,0))</f>
        <v/>
      </c>
      <c r="AO823">
        <f>IF($AK823=1,IFERROR(IF(VALUE($D823)&lt;100000000,VALUE($D823),1000000000),IFERROR(IF(VALUE(MID($D823,2,20))&lt;100000000,VALUE(MID($D823,2,20)),1000000000),1000000000))+ROW()/100000,"")</f>
        <v/>
      </c>
    </row>
    <row r="824">
      <c r="F824" s="11" t="n"/>
      <c r="N824" s="7">
        <f>IF($D824="","",M824*V824/100)</f>
        <v/>
      </c>
      <c r="O824" s="7" t="n"/>
      <c r="U824" s="7" t="n"/>
      <c r="V824" s="7" t="n"/>
      <c r="W824" s="7">
        <f>IF($D824="","",V824*AB824/100)</f>
        <v/>
      </c>
      <c r="X824" s="7">
        <f>IF($D824="","",V824-W824)</f>
        <v/>
      </c>
      <c r="Y824" s="7">
        <f>IF($D824="","",X824-N824)</f>
        <v/>
      </c>
      <c r="AB824">
        <f>IF($D824="","",IF($AN824=1,0,IF($AM824=1,Settings!$C$6,Settings!$C$7))*100)</f>
        <v/>
      </c>
      <c r="AF824" s="7" t="n"/>
      <c r="AI824" s="11" t="n"/>
      <c r="AK824">
        <f>IF($D824="","",IF(COUNTIF($D$2:$D824,$D824)=1,1,0))</f>
        <v/>
      </c>
      <c r="AL824">
        <f>IF($AK824=1,SUMPRODUCT(--($AO$2:$AO$1501&lt;$AO824))+1,"")</f>
        <v/>
      </c>
      <c r="AM824">
        <f>IF($D824="","",IF(OR($R824=TRUE(),$R824="TRUE"),1,0))</f>
        <v/>
      </c>
      <c r="AN824">
        <f>IF($D824="","",IF($AA824="Yes",1,0))</f>
        <v/>
      </c>
      <c r="AO824">
        <f>IF($AK824=1,IFERROR(IF(VALUE($D824)&lt;100000000,VALUE($D824),1000000000),IFERROR(IF(VALUE(MID($D824,2,20))&lt;100000000,VALUE(MID($D824,2,20)),1000000000),1000000000))+ROW()/100000,"")</f>
        <v/>
      </c>
    </row>
    <row r="825">
      <c r="F825" s="11" t="n"/>
      <c r="N825" s="7">
        <f>IF($D825="","",M825*V825/100)</f>
        <v/>
      </c>
      <c r="O825" s="7" t="n"/>
      <c r="U825" s="7" t="n"/>
      <c r="V825" s="7" t="n"/>
      <c r="W825" s="7">
        <f>IF($D825="","",V825*AB825/100)</f>
        <v/>
      </c>
      <c r="X825" s="7">
        <f>IF($D825="","",V825-W825)</f>
        <v/>
      </c>
      <c r="Y825" s="7">
        <f>IF($D825="","",X825-N825)</f>
        <v/>
      </c>
      <c r="AB825">
        <f>IF($D825="","",IF($AN825=1,0,IF($AM825=1,Settings!$C$6,Settings!$C$7))*100)</f>
        <v/>
      </c>
      <c r="AF825" s="7" t="n"/>
      <c r="AI825" s="11" t="n"/>
      <c r="AK825">
        <f>IF($D825="","",IF(COUNTIF($D$2:$D825,$D825)=1,1,0))</f>
        <v/>
      </c>
      <c r="AL825">
        <f>IF($AK825=1,SUMPRODUCT(--($AO$2:$AO$1501&lt;$AO825))+1,"")</f>
        <v/>
      </c>
      <c r="AM825">
        <f>IF($D825="","",IF(OR($R825=TRUE(),$R825="TRUE"),1,0))</f>
        <v/>
      </c>
      <c r="AN825">
        <f>IF($D825="","",IF($AA825="Yes",1,0))</f>
        <v/>
      </c>
      <c r="AO825">
        <f>IF($AK825=1,IFERROR(IF(VALUE($D825)&lt;100000000,VALUE($D825),1000000000),IFERROR(IF(VALUE(MID($D825,2,20))&lt;100000000,VALUE(MID($D825,2,20)),1000000000),1000000000))+ROW()/100000,"")</f>
        <v/>
      </c>
    </row>
    <row r="826">
      <c r="F826" s="11" t="n"/>
      <c r="N826" s="7">
        <f>IF($D826="","",M826*V826/100)</f>
        <v/>
      </c>
      <c r="O826" s="7" t="n"/>
      <c r="U826" s="7" t="n"/>
      <c r="V826" s="7" t="n"/>
      <c r="W826" s="7">
        <f>IF($D826="","",V826*AB826/100)</f>
        <v/>
      </c>
      <c r="X826" s="7">
        <f>IF($D826="","",V826-W826)</f>
        <v/>
      </c>
      <c r="Y826" s="7">
        <f>IF($D826="","",X826-N826)</f>
        <v/>
      </c>
      <c r="AB826">
        <f>IF($D826="","",IF($AN826=1,0,IF($AM826=1,Settings!$C$6,Settings!$C$7))*100)</f>
        <v/>
      </c>
      <c r="AF826" s="7" t="n"/>
      <c r="AI826" s="11" t="n"/>
      <c r="AK826">
        <f>IF($D826="","",IF(COUNTIF($D$2:$D826,$D826)=1,1,0))</f>
        <v/>
      </c>
      <c r="AL826">
        <f>IF($AK826=1,SUMPRODUCT(--($AO$2:$AO$1501&lt;$AO826))+1,"")</f>
        <v/>
      </c>
      <c r="AM826">
        <f>IF($D826="","",IF(OR($R826=TRUE(),$R826="TRUE"),1,0))</f>
        <v/>
      </c>
      <c r="AN826">
        <f>IF($D826="","",IF($AA826="Yes",1,0))</f>
        <v/>
      </c>
      <c r="AO826">
        <f>IF($AK826=1,IFERROR(IF(VALUE($D826)&lt;100000000,VALUE($D826),1000000000),IFERROR(IF(VALUE(MID($D826,2,20))&lt;100000000,VALUE(MID($D826,2,20)),1000000000),1000000000))+ROW()/100000,"")</f>
        <v/>
      </c>
    </row>
    <row r="827">
      <c r="F827" s="11" t="n"/>
      <c r="N827" s="7">
        <f>IF($D827="","",M827*V827/100)</f>
        <v/>
      </c>
      <c r="O827" s="7" t="n"/>
      <c r="U827" s="7" t="n"/>
      <c r="V827" s="7" t="n"/>
      <c r="W827" s="7">
        <f>IF($D827="","",V827*AB827/100)</f>
        <v/>
      </c>
      <c r="X827" s="7">
        <f>IF($D827="","",V827-W827)</f>
        <v/>
      </c>
      <c r="Y827" s="7">
        <f>IF($D827="","",X827-N827)</f>
        <v/>
      </c>
      <c r="AB827">
        <f>IF($D827="","",IF($AN827=1,0,IF($AM827=1,Settings!$C$6,Settings!$C$7))*100)</f>
        <v/>
      </c>
      <c r="AF827" s="7" t="n"/>
      <c r="AI827" s="11" t="n"/>
      <c r="AK827">
        <f>IF($D827="","",IF(COUNTIF($D$2:$D827,$D827)=1,1,0))</f>
        <v/>
      </c>
      <c r="AL827">
        <f>IF($AK827=1,SUMPRODUCT(--($AO$2:$AO$1501&lt;$AO827))+1,"")</f>
        <v/>
      </c>
      <c r="AM827">
        <f>IF($D827="","",IF(OR($R827=TRUE(),$R827="TRUE"),1,0))</f>
        <v/>
      </c>
      <c r="AN827">
        <f>IF($D827="","",IF($AA827="Yes",1,0))</f>
        <v/>
      </c>
      <c r="AO827">
        <f>IF($AK827=1,IFERROR(IF(VALUE($D827)&lt;100000000,VALUE($D827),1000000000),IFERROR(IF(VALUE(MID($D827,2,20))&lt;100000000,VALUE(MID($D827,2,20)),1000000000),1000000000))+ROW()/100000,"")</f>
        <v/>
      </c>
    </row>
    <row r="828">
      <c r="F828" s="11" t="n"/>
      <c r="N828" s="7">
        <f>IF($D828="","",M828*V828/100)</f>
        <v/>
      </c>
      <c r="O828" s="7" t="n"/>
      <c r="U828" s="7" t="n"/>
      <c r="V828" s="7" t="n"/>
      <c r="W828" s="7">
        <f>IF($D828="","",V828*AB828/100)</f>
        <v/>
      </c>
      <c r="X828" s="7">
        <f>IF($D828="","",V828-W828)</f>
        <v/>
      </c>
      <c r="Y828" s="7">
        <f>IF($D828="","",X828-N828)</f>
        <v/>
      </c>
      <c r="AB828">
        <f>IF($D828="","",IF($AN828=1,0,IF($AM828=1,Settings!$C$6,Settings!$C$7))*100)</f>
        <v/>
      </c>
      <c r="AF828" s="7" t="n"/>
      <c r="AI828" s="11" t="n"/>
      <c r="AK828">
        <f>IF($D828="","",IF(COUNTIF($D$2:$D828,$D828)=1,1,0))</f>
        <v/>
      </c>
      <c r="AL828">
        <f>IF($AK828=1,SUMPRODUCT(--($AO$2:$AO$1501&lt;$AO828))+1,"")</f>
        <v/>
      </c>
      <c r="AM828">
        <f>IF($D828="","",IF(OR($R828=TRUE(),$R828="TRUE"),1,0))</f>
        <v/>
      </c>
      <c r="AN828">
        <f>IF($D828="","",IF($AA828="Yes",1,0))</f>
        <v/>
      </c>
      <c r="AO828">
        <f>IF($AK828=1,IFERROR(IF(VALUE($D828)&lt;100000000,VALUE($D828),1000000000),IFERROR(IF(VALUE(MID($D828,2,20))&lt;100000000,VALUE(MID($D828,2,20)),1000000000),1000000000))+ROW()/100000,"")</f>
        <v/>
      </c>
    </row>
    <row r="829">
      <c r="F829" s="11" t="n"/>
      <c r="N829" s="7">
        <f>IF($D829="","",M829*V829/100)</f>
        <v/>
      </c>
      <c r="O829" s="7" t="n"/>
      <c r="U829" s="7" t="n"/>
      <c r="V829" s="7" t="n"/>
      <c r="W829" s="7">
        <f>IF($D829="","",V829*AB829/100)</f>
        <v/>
      </c>
      <c r="X829" s="7">
        <f>IF($D829="","",V829-W829)</f>
        <v/>
      </c>
      <c r="Y829" s="7">
        <f>IF($D829="","",X829-N829)</f>
        <v/>
      </c>
      <c r="AB829">
        <f>IF($D829="","",IF($AN829=1,0,IF($AM829=1,Settings!$C$6,Settings!$C$7))*100)</f>
        <v/>
      </c>
      <c r="AF829" s="7" t="n"/>
      <c r="AI829" s="11" t="n"/>
      <c r="AK829">
        <f>IF($D829="","",IF(COUNTIF($D$2:$D829,$D829)=1,1,0))</f>
        <v/>
      </c>
      <c r="AL829">
        <f>IF($AK829=1,SUMPRODUCT(--($AO$2:$AO$1501&lt;$AO829))+1,"")</f>
        <v/>
      </c>
      <c r="AM829">
        <f>IF($D829="","",IF(OR($R829=TRUE(),$R829="TRUE"),1,0))</f>
        <v/>
      </c>
      <c r="AN829">
        <f>IF($D829="","",IF($AA829="Yes",1,0))</f>
        <v/>
      </c>
      <c r="AO829">
        <f>IF($AK829=1,IFERROR(IF(VALUE($D829)&lt;100000000,VALUE($D829),1000000000),IFERROR(IF(VALUE(MID($D829,2,20))&lt;100000000,VALUE(MID($D829,2,20)),1000000000),1000000000))+ROW()/100000,"")</f>
        <v/>
      </c>
    </row>
    <row r="830">
      <c r="F830" s="11" t="n"/>
      <c r="N830" s="7">
        <f>IF($D830="","",M830*V830/100)</f>
        <v/>
      </c>
      <c r="O830" s="7" t="n"/>
      <c r="U830" s="7" t="n"/>
      <c r="V830" s="7" t="n"/>
      <c r="W830" s="7">
        <f>IF($D830="","",V830*AB830/100)</f>
        <v/>
      </c>
      <c r="X830" s="7">
        <f>IF($D830="","",V830-W830)</f>
        <v/>
      </c>
      <c r="Y830" s="7">
        <f>IF($D830="","",X830-N830)</f>
        <v/>
      </c>
      <c r="AB830">
        <f>IF($D830="","",IF($AN830=1,0,IF($AM830=1,Settings!$C$6,Settings!$C$7))*100)</f>
        <v/>
      </c>
      <c r="AF830" s="7" t="n"/>
      <c r="AI830" s="11" t="n"/>
      <c r="AK830">
        <f>IF($D830="","",IF(COUNTIF($D$2:$D830,$D830)=1,1,0))</f>
        <v/>
      </c>
      <c r="AL830">
        <f>IF($AK830=1,SUMPRODUCT(--($AO$2:$AO$1501&lt;$AO830))+1,"")</f>
        <v/>
      </c>
      <c r="AM830">
        <f>IF($D830="","",IF(OR($R830=TRUE(),$R830="TRUE"),1,0))</f>
        <v/>
      </c>
      <c r="AN830">
        <f>IF($D830="","",IF($AA830="Yes",1,0))</f>
        <v/>
      </c>
      <c r="AO830">
        <f>IF($AK830=1,IFERROR(IF(VALUE($D830)&lt;100000000,VALUE($D830),1000000000),IFERROR(IF(VALUE(MID($D830,2,20))&lt;100000000,VALUE(MID($D830,2,20)),1000000000),1000000000))+ROW()/100000,"")</f>
        <v/>
      </c>
    </row>
    <row r="831">
      <c r="F831" s="11" t="n"/>
      <c r="N831" s="7">
        <f>IF($D831="","",M831*V831/100)</f>
        <v/>
      </c>
      <c r="O831" s="7" t="n"/>
      <c r="U831" s="7" t="n"/>
      <c r="V831" s="7" t="n"/>
      <c r="W831" s="7">
        <f>IF($D831="","",V831*AB831/100)</f>
        <v/>
      </c>
      <c r="X831" s="7">
        <f>IF($D831="","",V831-W831)</f>
        <v/>
      </c>
      <c r="Y831" s="7">
        <f>IF($D831="","",X831-N831)</f>
        <v/>
      </c>
      <c r="AB831">
        <f>IF($D831="","",IF($AN831=1,0,IF($AM831=1,Settings!$C$6,Settings!$C$7))*100)</f>
        <v/>
      </c>
      <c r="AF831" s="7" t="n"/>
      <c r="AI831" s="11" t="n"/>
      <c r="AK831">
        <f>IF($D831="","",IF(COUNTIF($D$2:$D831,$D831)=1,1,0))</f>
        <v/>
      </c>
      <c r="AL831">
        <f>IF($AK831=1,SUMPRODUCT(--($AO$2:$AO$1501&lt;$AO831))+1,"")</f>
        <v/>
      </c>
      <c r="AM831">
        <f>IF($D831="","",IF(OR($R831=TRUE(),$R831="TRUE"),1,0))</f>
        <v/>
      </c>
      <c r="AN831">
        <f>IF($D831="","",IF($AA831="Yes",1,0))</f>
        <v/>
      </c>
      <c r="AO831">
        <f>IF($AK831=1,IFERROR(IF(VALUE($D831)&lt;100000000,VALUE($D831),1000000000),IFERROR(IF(VALUE(MID($D831,2,20))&lt;100000000,VALUE(MID($D831,2,20)),1000000000),1000000000))+ROW()/100000,"")</f>
        <v/>
      </c>
    </row>
    <row r="832">
      <c r="F832" s="11" t="n"/>
      <c r="N832" s="7">
        <f>IF($D832="","",M832*V832/100)</f>
        <v/>
      </c>
      <c r="O832" s="7" t="n"/>
      <c r="U832" s="7" t="n"/>
      <c r="V832" s="7" t="n"/>
      <c r="W832" s="7">
        <f>IF($D832="","",V832*AB832/100)</f>
        <v/>
      </c>
      <c r="X832" s="7">
        <f>IF($D832="","",V832-W832)</f>
        <v/>
      </c>
      <c r="Y832" s="7">
        <f>IF($D832="","",X832-N832)</f>
        <v/>
      </c>
      <c r="AB832">
        <f>IF($D832="","",IF($AN832=1,0,IF($AM832=1,Settings!$C$6,Settings!$C$7))*100)</f>
        <v/>
      </c>
      <c r="AF832" s="7" t="n"/>
      <c r="AI832" s="11" t="n"/>
      <c r="AK832">
        <f>IF($D832="","",IF(COUNTIF($D$2:$D832,$D832)=1,1,0))</f>
        <v/>
      </c>
      <c r="AL832">
        <f>IF($AK832=1,SUMPRODUCT(--($AO$2:$AO$1501&lt;$AO832))+1,"")</f>
        <v/>
      </c>
      <c r="AM832">
        <f>IF($D832="","",IF(OR($R832=TRUE(),$R832="TRUE"),1,0))</f>
        <v/>
      </c>
      <c r="AN832">
        <f>IF($D832="","",IF($AA832="Yes",1,0))</f>
        <v/>
      </c>
      <c r="AO832">
        <f>IF($AK832=1,IFERROR(IF(VALUE($D832)&lt;100000000,VALUE($D832),1000000000),IFERROR(IF(VALUE(MID($D832,2,20))&lt;100000000,VALUE(MID($D832,2,20)),1000000000),1000000000))+ROW()/100000,"")</f>
        <v/>
      </c>
    </row>
    <row r="833">
      <c r="F833" s="11" t="n"/>
      <c r="N833" s="7">
        <f>IF($D833="","",M833*V833/100)</f>
        <v/>
      </c>
      <c r="O833" s="7" t="n"/>
      <c r="U833" s="7" t="n"/>
      <c r="V833" s="7" t="n"/>
      <c r="W833" s="7">
        <f>IF($D833="","",V833*AB833/100)</f>
        <v/>
      </c>
      <c r="X833" s="7">
        <f>IF($D833="","",V833-W833)</f>
        <v/>
      </c>
      <c r="Y833" s="7">
        <f>IF($D833="","",X833-N833)</f>
        <v/>
      </c>
      <c r="AB833">
        <f>IF($D833="","",IF($AN833=1,0,IF($AM833=1,Settings!$C$6,Settings!$C$7))*100)</f>
        <v/>
      </c>
      <c r="AF833" s="7" t="n"/>
      <c r="AI833" s="11" t="n"/>
      <c r="AK833">
        <f>IF($D833="","",IF(COUNTIF($D$2:$D833,$D833)=1,1,0))</f>
        <v/>
      </c>
      <c r="AL833">
        <f>IF($AK833=1,SUMPRODUCT(--($AO$2:$AO$1501&lt;$AO833))+1,"")</f>
        <v/>
      </c>
      <c r="AM833">
        <f>IF($D833="","",IF(OR($R833=TRUE(),$R833="TRUE"),1,0))</f>
        <v/>
      </c>
      <c r="AN833">
        <f>IF($D833="","",IF($AA833="Yes",1,0))</f>
        <v/>
      </c>
      <c r="AO833">
        <f>IF($AK833=1,IFERROR(IF(VALUE($D833)&lt;100000000,VALUE($D833),1000000000),IFERROR(IF(VALUE(MID($D833,2,20))&lt;100000000,VALUE(MID($D833,2,20)),1000000000),1000000000))+ROW()/100000,"")</f>
        <v/>
      </c>
    </row>
    <row r="834">
      <c r="F834" s="11" t="n"/>
      <c r="N834" s="7">
        <f>IF($D834="","",M834*V834/100)</f>
        <v/>
      </c>
      <c r="O834" s="7" t="n"/>
      <c r="U834" s="7" t="n"/>
      <c r="V834" s="7" t="n"/>
      <c r="W834" s="7">
        <f>IF($D834="","",V834*AB834/100)</f>
        <v/>
      </c>
      <c r="X834" s="7">
        <f>IF($D834="","",V834-W834)</f>
        <v/>
      </c>
      <c r="Y834" s="7">
        <f>IF($D834="","",X834-N834)</f>
        <v/>
      </c>
      <c r="AB834">
        <f>IF($D834="","",IF($AN834=1,0,IF($AM834=1,Settings!$C$6,Settings!$C$7))*100)</f>
        <v/>
      </c>
      <c r="AF834" s="7" t="n"/>
      <c r="AI834" s="11" t="n"/>
      <c r="AK834">
        <f>IF($D834="","",IF(COUNTIF($D$2:$D834,$D834)=1,1,0))</f>
        <v/>
      </c>
      <c r="AL834">
        <f>IF($AK834=1,SUMPRODUCT(--($AO$2:$AO$1501&lt;$AO834))+1,"")</f>
        <v/>
      </c>
      <c r="AM834">
        <f>IF($D834="","",IF(OR($R834=TRUE(),$R834="TRUE"),1,0))</f>
        <v/>
      </c>
      <c r="AN834">
        <f>IF($D834="","",IF($AA834="Yes",1,0))</f>
        <v/>
      </c>
      <c r="AO834">
        <f>IF($AK834=1,IFERROR(IF(VALUE($D834)&lt;100000000,VALUE($D834),1000000000),IFERROR(IF(VALUE(MID($D834,2,20))&lt;100000000,VALUE(MID($D834,2,20)),1000000000),1000000000))+ROW()/100000,"")</f>
        <v/>
      </c>
    </row>
    <row r="835">
      <c r="F835" s="11" t="n"/>
      <c r="N835" s="7">
        <f>IF($D835="","",M835*V835/100)</f>
        <v/>
      </c>
      <c r="O835" s="7" t="n"/>
      <c r="U835" s="7" t="n"/>
      <c r="V835" s="7" t="n"/>
      <c r="W835" s="7">
        <f>IF($D835="","",V835*AB835/100)</f>
        <v/>
      </c>
      <c r="X835" s="7">
        <f>IF($D835="","",V835-W835)</f>
        <v/>
      </c>
      <c r="Y835" s="7">
        <f>IF($D835="","",X835-N835)</f>
        <v/>
      </c>
      <c r="AB835">
        <f>IF($D835="","",IF($AN835=1,0,IF($AM835=1,Settings!$C$6,Settings!$C$7))*100)</f>
        <v/>
      </c>
      <c r="AF835" s="7" t="n"/>
      <c r="AI835" s="11" t="n"/>
      <c r="AK835">
        <f>IF($D835="","",IF(COUNTIF($D$2:$D835,$D835)=1,1,0))</f>
        <v/>
      </c>
      <c r="AL835">
        <f>IF($AK835=1,SUMPRODUCT(--($AO$2:$AO$1501&lt;$AO835))+1,"")</f>
        <v/>
      </c>
      <c r="AM835">
        <f>IF($D835="","",IF(OR($R835=TRUE(),$R835="TRUE"),1,0))</f>
        <v/>
      </c>
      <c r="AN835">
        <f>IF($D835="","",IF($AA835="Yes",1,0))</f>
        <v/>
      </c>
      <c r="AO835">
        <f>IF($AK835=1,IFERROR(IF(VALUE($D835)&lt;100000000,VALUE($D835),1000000000),IFERROR(IF(VALUE(MID($D835,2,20))&lt;100000000,VALUE(MID($D835,2,20)),1000000000),1000000000))+ROW()/100000,"")</f>
        <v/>
      </c>
    </row>
    <row r="836">
      <c r="F836" s="11" t="n"/>
      <c r="N836" s="7">
        <f>IF($D836="","",M836*V836/100)</f>
        <v/>
      </c>
      <c r="O836" s="7" t="n"/>
      <c r="U836" s="7" t="n"/>
      <c r="V836" s="7" t="n"/>
      <c r="W836" s="7">
        <f>IF($D836="","",V836*AB836/100)</f>
        <v/>
      </c>
      <c r="X836" s="7">
        <f>IF($D836="","",V836-W836)</f>
        <v/>
      </c>
      <c r="Y836" s="7">
        <f>IF($D836="","",X836-N836)</f>
        <v/>
      </c>
      <c r="AB836">
        <f>IF($D836="","",IF($AN836=1,0,IF($AM836=1,Settings!$C$6,Settings!$C$7))*100)</f>
        <v/>
      </c>
      <c r="AF836" s="7" t="n"/>
      <c r="AI836" s="11" t="n"/>
      <c r="AK836">
        <f>IF($D836="","",IF(COUNTIF($D$2:$D836,$D836)=1,1,0))</f>
        <v/>
      </c>
      <c r="AL836">
        <f>IF($AK836=1,SUMPRODUCT(--($AO$2:$AO$1501&lt;$AO836))+1,"")</f>
        <v/>
      </c>
      <c r="AM836">
        <f>IF($D836="","",IF(OR($R836=TRUE(),$R836="TRUE"),1,0))</f>
        <v/>
      </c>
      <c r="AN836">
        <f>IF($D836="","",IF($AA836="Yes",1,0))</f>
        <v/>
      </c>
      <c r="AO836">
        <f>IF($AK836=1,IFERROR(IF(VALUE($D836)&lt;100000000,VALUE($D836),1000000000),IFERROR(IF(VALUE(MID($D836,2,20))&lt;100000000,VALUE(MID($D836,2,20)),1000000000),1000000000))+ROW()/100000,"")</f>
        <v/>
      </c>
    </row>
    <row r="837">
      <c r="F837" s="11" t="n"/>
      <c r="N837" s="7">
        <f>IF($D837="","",M837*V837/100)</f>
        <v/>
      </c>
      <c r="O837" s="7" t="n"/>
      <c r="U837" s="7" t="n"/>
      <c r="V837" s="7" t="n"/>
      <c r="W837" s="7">
        <f>IF($D837="","",V837*AB837/100)</f>
        <v/>
      </c>
      <c r="X837" s="7">
        <f>IF($D837="","",V837-W837)</f>
        <v/>
      </c>
      <c r="Y837" s="7">
        <f>IF($D837="","",X837-N837)</f>
        <v/>
      </c>
      <c r="AB837">
        <f>IF($D837="","",IF($AN837=1,0,IF($AM837=1,Settings!$C$6,Settings!$C$7))*100)</f>
        <v/>
      </c>
      <c r="AF837" s="7" t="n"/>
      <c r="AI837" s="11" t="n"/>
      <c r="AK837">
        <f>IF($D837="","",IF(COUNTIF($D$2:$D837,$D837)=1,1,0))</f>
        <v/>
      </c>
      <c r="AL837">
        <f>IF($AK837=1,SUMPRODUCT(--($AO$2:$AO$1501&lt;$AO837))+1,"")</f>
        <v/>
      </c>
      <c r="AM837">
        <f>IF($D837="","",IF(OR($R837=TRUE(),$R837="TRUE"),1,0))</f>
        <v/>
      </c>
      <c r="AN837">
        <f>IF($D837="","",IF($AA837="Yes",1,0))</f>
        <v/>
      </c>
      <c r="AO837">
        <f>IF($AK837=1,IFERROR(IF(VALUE($D837)&lt;100000000,VALUE($D837),1000000000),IFERROR(IF(VALUE(MID($D837,2,20))&lt;100000000,VALUE(MID($D837,2,20)),1000000000),1000000000))+ROW()/100000,"")</f>
        <v/>
      </c>
    </row>
    <row r="838">
      <c r="F838" s="11" t="n"/>
      <c r="N838" s="7">
        <f>IF($D838="","",M838*V838/100)</f>
        <v/>
      </c>
      <c r="O838" s="7" t="n"/>
      <c r="U838" s="7" t="n"/>
      <c r="V838" s="7" t="n"/>
      <c r="W838" s="7">
        <f>IF($D838="","",V838*AB838/100)</f>
        <v/>
      </c>
      <c r="X838" s="7">
        <f>IF($D838="","",V838-W838)</f>
        <v/>
      </c>
      <c r="Y838" s="7">
        <f>IF($D838="","",X838-N838)</f>
        <v/>
      </c>
      <c r="AB838">
        <f>IF($D838="","",IF($AN838=1,0,IF($AM838=1,Settings!$C$6,Settings!$C$7))*100)</f>
        <v/>
      </c>
      <c r="AF838" s="7" t="n"/>
      <c r="AI838" s="11" t="n"/>
      <c r="AK838">
        <f>IF($D838="","",IF(COUNTIF($D$2:$D838,$D838)=1,1,0))</f>
        <v/>
      </c>
      <c r="AL838">
        <f>IF($AK838=1,SUMPRODUCT(--($AO$2:$AO$1501&lt;$AO838))+1,"")</f>
        <v/>
      </c>
      <c r="AM838">
        <f>IF($D838="","",IF(OR($R838=TRUE(),$R838="TRUE"),1,0))</f>
        <v/>
      </c>
      <c r="AN838">
        <f>IF($D838="","",IF($AA838="Yes",1,0))</f>
        <v/>
      </c>
      <c r="AO838">
        <f>IF($AK838=1,IFERROR(IF(VALUE($D838)&lt;100000000,VALUE($D838),1000000000),IFERROR(IF(VALUE(MID($D838,2,20))&lt;100000000,VALUE(MID($D838,2,20)),1000000000),1000000000))+ROW()/100000,"")</f>
        <v/>
      </c>
    </row>
    <row r="839">
      <c r="F839" s="11" t="n"/>
      <c r="N839" s="7">
        <f>IF($D839="","",M839*V839/100)</f>
        <v/>
      </c>
      <c r="O839" s="7" t="n"/>
      <c r="U839" s="7" t="n"/>
      <c r="V839" s="7" t="n"/>
      <c r="W839" s="7">
        <f>IF($D839="","",V839*AB839/100)</f>
        <v/>
      </c>
      <c r="X839" s="7">
        <f>IF($D839="","",V839-W839)</f>
        <v/>
      </c>
      <c r="Y839" s="7">
        <f>IF($D839="","",X839-N839)</f>
        <v/>
      </c>
      <c r="AB839">
        <f>IF($D839="","",IF($AN839=1,0,IF($AM839=1,Settings!$C$6,Settings!$C$7))*100)</f>
        <v/>
      </c>
      <c r="AF839" s="7" t="n"/>
      <c r="AI839" s="11" t="n"/>
      <c r="AK839">
        <f>IF($D839="","",IF(COUNTIF($D$2:$D839,$D839)=1,1,0))</f>
        <v/>
      </c>
      <c r="AL839">
        <f>IF($AK839=1,SUMPRODUCT(--($AO$2:$AO$1501&lt;$AO839))+1,"")</f>
        <v/>
      </c>
      <c r="AM839">
        <f>IF($D839="","",IF(OR($R839=TRUE(),$R839="TRUE"),1,0))</f>
        <v/>
      </c>
      <c r="AN839">
        <f>IF($D839="","",IF($AA839="Yes",1,0))</f>
        <v/>
      </c>
      <c r="AO839">
        <f>IF($AK839=1,IFERROR(IF(VALUE($D839)&lt;100000000,VALUE($D839),1000000000),IFERROR(IF(VALUE(MID($D839,2,20))&lt;100000000,VALUE(MID($D839,2,20)),1000000000),1000000000))+ROW()/100000,"")</f>
        <v/>
      </c>
    </row>
    <row r="840">
      <c r="F840" s="11" t="n"/>
      <c r="N840" s="7">
        <f>IF($D840="","",M840*V840/100)</f>
        <v/>
      </c>
      <c r="O840" s="7" t="n"/>
      <c r="U840" s="7" t="n"/>
      <c r="V840" s="7" t="n"/>
      <c r="W840" s="7">
        <f>IF($D840="","",V840*AB840/100)</f>
        <v/>
      </c>
      <c r="X840" s="7">
        <f>IF($D840="","",V840-W840)</f>
        <v/>
      </c>
      <c r="Y840" s="7">
        <f>IF($D840="","",X840-N840)</f>
        <v/>
      </c>
      <c r="AB840">
        <f>IF($D840="","",IF($AN840=1,0,IF($AM840=1,Settings!$C$6,Settings!$C$7))*100)</f>
        <v/>
      </c>
      <c r="AF840" s="7" t="n"/>
      <c r="AI840" s="11" t="n"/>
      <c r="AK840">
        <f>IF($D840="","",IF(COUNTIF($D$2:$D840,$D840)=1,1,0))</f>
        <v/>
      </c>
      <c r="AL840">
        <f>IF($AK840=1,SUMPRODUCT(--($AO$2:$AO$1501&lt;$AO840))+1,"")</f>
        <v/>
      </c>
      <c r="AM840">
        <f>IF($D840="","",IF(OR($R840=TRUE(),$R840="TRUE"),1,0))</f>
        <v/>
      </c>
      <c r="AN840">
        <f>IF($D840="","",IF($AA840="Yes",1,0))</f>
        <v/>
      </c>
      <c r="AO840">
        <f>IF($AK840=1,IFERROR(IF(VALUE($D840)&lt;100000000,VALUE($D840),1000000000),IFERROR(IF(VALUE(MID($D840,2,20))&lt;100000000,VALUE(MID($D840,2,20)),1000000000),1000000000))+ROW()/100000,"")</f>
        <v/>
      </c>
    </row>
    <row r="841">
      <c r="F841" s="11" t="n"/>
      <c r="N841" s="7">
        <f>IF($D841="","",M841*V841/100)</f>
        <v/>
      </c>
      <c r="O841" s="7" t="n"/>
      <c r="U841" s="7" t="n"/>
      <c r="V841" s="7" t="n"/>
      <c r="W841" s="7">
        <f>IF($D841="","",V841*AB841/100)</f>
        <v/>
      </c>
      <c r="X841" s="7">
        <f>IF($D841="","",V841-W841)</f>
        <v/>
      </c>
      <c r="Y841" s="7">
        <f>IF($D841="","",X841-N841)</f>
        <v/>
      </c>
      <c r="AB841">
        <f>IF($D841="","",IF($AN841=1,0,IF($AM841=1,Settings!$C$6,Settings!$C$7))*100)</f>
        <v/>
      </c>
      <c r="AF841" s="7" t="n"/>
      <c r="AI841" s="11" t="n"/>
      <c r="AK841">
        <f>IF($D841="","",IF(COUNTIF($D$2:$D841,$D841)=1,1,0))</f>
        <v/>
      </c>
      <c r="AL841">
        <f>IF($AK841=1,SUMPRODUCT(--($AO$2:$AO$1501&lt;$AO841))+1,"")</f>
        <v/>
      </c>
      <c r="AM841">
        <f>IF($D841="","",IF(OR($R841=TRUE(),$R841="TRUE"),1,0))</f>
        <v/>
      </c>
      <c r="AN841">
        <f>IF($D841="","",IF($AA841="Yes",1,0))</f>
        <v/>
      </c>
      <c r="AO841">
        <f>IF($AK841=1,IFERROR(IF(VALUE($D841)&lt;100000000,VALUE($D841),1000000000),IFERROR(IF(VALUE(MID($D841,2,20))&lt;100000000,VALUE(MID($D841,2,20)),1000000000),1000000000))+ROW()/100000,"")</f>
        <v/>
      </c>
    </row>
    <row r="842">
      <c r="F842" s="11" t="n"/>
      <c r="N842" s="7">
        <f>IF($D842="","",M842*V842/100)</f>
        <v/>
      </c>
      <c r="O842" s="7" t="n"/>
      <c r="U842" s="7" t="n"/>
      <c r="V842" s="7" t="n"/>
      <c r="W842" s="7">
        <f>IF($D842="","",V842*AB842/100)</f>
        <v/>
      </c>
      <c r="X842" s="7">
        <f>IF($D842="","",V842-W842)</f>
        <v/>
      </c>
      <c r="Y842" s="7">
        <f>IF($D842="","",X842-N842)</f>
        <v/>
      </c>
      <c r="AB842">
        <f>IF($D842="","",IF($AN842=1,0,IF($AM842=1,Settings!$C$6,Settings!$C$7))*100)</f>
        <v/>
      </c>
      <c r="AF842" s="7" t="n"/>
      <c r="AI842" s="11" t="n"/>
      <c r="AK842">
        <f>IF($D842="","",IF(COUNTIF($D$2:$D842,$D842)=1,1,0))</f>
        <v/>
      </c>
      <c r="AL842">
        <f>IF($AK842=1,SUMPRODUCT(--($AO$2:$AO$1501&lt;$AO842))+1,"")</f>
        <v/>
      </c>
      <c r="AM842">
        <f>IF($D842="","",IF(OR($R842=TRUE(),$R842="TRUE"),1,0))</f>
        <v/>
      </c>
      <c r="AN842">
        <f>IF($D842="","",IF($AA842="Yes",1,0))</f>
        <v/>
      </c>
      <c r="AO842">
        <f>IF($AK842=1,IFERROR(IF(VALUE($D842)&lt;100000000,VALUE($D842),1000000000),IFERROR(IF(VALUE(MID($D842,2,20))&lt;100000000,VALUE(MID($D842,2,20)),1000000000),1000000000))+ROW()/100000,"")</f>
        <v/>
      </c>
    </row>
    <row r="843">
      <c r="F843" s="11" t="n"/>
      <c r="N843" s="7">
        <f>IF($D843="","",M843*V843/100)</f>
        <v/>
      </c>
      <c r="O843" s="7" t="n"/>
      <c r="U843" s="7" t="n"/>
      <c r="V843" s="7" t="n"/>
      <c r="W843" s="7">
        <f>IF($D843="","",V843*AB843/100)</f>
        <v/>
      </c>
      <c r="X843" s="7">
        <f>IF($D843="","",V843-W843)</f>
        <v/>
      </c>
      <c r="Y843" s="7">
        <f>IF($D843="","",X843-N843)</f>
        <v/>
      </c>
      <c r="AB843">
        <f>IF($D843="","",IF($AN843=1,0,IF($AM843=1,Settings!$C$6,Settings!$C$7))*100)</f>
        <v/>
      </c>
      <c r="AF843" s="7" t="n"/>
      <c r="AI843" s="11" t="n"/>
      <c r="AK843">
        <f>IF($D843="","",IF(COUNTIF($D$2:$D843,$D843)=1,1,0))</f>
        <v/>
      </c>
      <c r="AL843">
        <f>IF($AK843=1,SUMPRODUCT(--($AO$2:$AO$1501&lt;$AO843))+1,"")</f>
        <v/>
      </c>
      <c r="AM843">
        <f>IF($D843="","",IF(OR($R843=TRUE(),$R843="TRUE"),1,0))</f>
        <v/>
      </c>
      <c r="AN843">
        <f>IF($D843="","",IF($AA843="Yes",1,0))</f>
        <v/>
      </c>
      <c r="AO843">
        <f>IF($AK843=1,IFERROR(IF(VALUE($D843)&lt;100000000,VALUE($D843),1000000000),IFERROR(IF(VALUE(MID($D843,2,20))&lt;100000000,VALUE(MID($D843,2,20)),1000000000),1000000000))+ROW()/100000,"")</f>
        <v/>
      </c>
    </row>
    <row r="844">
      <c r="F844" s="11" t="n"/>
      <c r="N844" s="7">
        <f>IF($D844="","",M844*V844/100)</f>
        <v/>
      </c>
      <c r="O844" s="7" t="n"/>
      <c r="U844" s="7" t="n"/>
      <c r="V844" s="7" t="n"/>
      <c r="W844" s="7">
        <f>IF($D844="","",V844*AB844/100)</f>
        <v/>
      </c>
      <c r="X844" s="7">
        <f>IF($D844="","",V844-W844)</f>
        <v/>
      </c>
      <c r="Y844" s="7">
        <f>IF($D844="","",X844-N844)</f>
        <v/>
      </c>
      <c r="AB844">
        <f>IF($D844="","",IF($AN844=1,0,IF($AM844=1,Settings!$C$6,Settings!$C$7))*100)</f>
        <v/>
      </c>
      <c r="AF844" s="7" t="n"/>
      <c r="AI844" s="11" t="n"/>
      <c r="AK844">
        <f>IF($D844="","",IF(COUNTIF($D$2:$D844,$D844)=1,1,0))</f>
        <v/>
      </c>
      <c r="AL844">
        <f>IF($AK844=1,SUMPRODUCT(--($AO$2:$AO$1501&lt;$AO844))+1,"")</f>
        <v/>
      </c>
      <c r="AM844">
        <f>IF($D844="","",IF(OR($R844=TRUE(),$R844="TRUE"),1,0))</f>
        <v/>
      </c>
      <c r="AN844">
        <f>IF($D844="","",IF($AA844="Yes",1,0))</f>
        <v/>
      </c>
      <c r="AO844">
        <f>IF($AK844=1,IFERROR(IF(VALUE($D844)&lt;100000000,VALUE($D844),1000000000),IFERROR(IF(VALUE(MID($D844,2,20))&lt;100000000,VALUE(MID($D844,2,20)),1000000000),1000000000))+ROW()/100000,"")</f>
        <v/>
      </c>
    </row>
    <row r="845">
      <c r="F845" s="11" t="n"/>
      <c r="N845" s="7">
        <f>IF($D845="","",M845*V845/100)</f>
        <v/>
      </c>
      <c r="O845" s="7" t="n"/>
      <c r="U845" s="7" t="n"/>
      <c r="V845" s="7" t="n"/>
      <c r="W845" s="7">
        <f>IF($D845="","",V845*AB845/100)</f>
        <v/>
      </c>
      <c r="X845" s="7">
        <f>IF($D845="","",V845-W845)</f>
        <v/>
      </c>
      <c r="Y845" s="7">
        <f>IF($D845="","",X845-N845)</f>
        <v/>
      </c>
      <c r="AB845">
        <f>IF($D845="","",IF($AN845=1,0,IF($AM845=1,Settings!$C$6,Settings!$C$7))*100)</f>
        <v/>
      </c>
      <c r="AF845" s="7" t="n"/>
      <c r="AI845" s="11" t="n"/>
      <c r="AK845">
        <f>IF($D845="","",IF(COUNTIF($D$2:$D845,$D845)=1,1,0))</f>
        <v/>
      </c>
      <c r="AL845">
        <f>IF($AK845=1,SUMPRODUCT(--($AO$2:$AO$1501&lt;$AO845))+1,"")</f>
        <v/>
      </c>
      <c r="AM845">
        <f>IF($D845="","",IF(OR($R845=TRUE(),$R845="TRUE"),1,0))</f>
        <v/>
      </c>
      <c r="AN845">
        <f>IF($D845="","",IF($AA845="Yes",1,0))</f>
        <v/>
      </c>
      <c r="AO845">
        <f>IF($AK845=1,IFERROR(IF(VALUE($D845)&lt;100000000,VALUE($D845),1000000000),IFERROR(IF(VALUE(MID($D845,2,20))&lt;100000000,VALUE(MID($D845,2,20)),1000000000),1000000000))+ROW()/100000,"")</f>
        <v/>
      </c>
    </row>
    <row r="846">
      <c r="F846" s="11" t="n"/>
      <c r="N846" s="7">
        <f>IF($D846="","",M846*V846/100)</f>
        <v/>
      </c>
      <c r="O846" s="7" t="n"/>
      <c r="U846" s="7" t="n"/>
      <c r="V846" s="7" t="n"/>
      <c r="W846" s="7">
        <f>IF($D846="","",V846*AB846/100)</f>
        <v/>
      </c>
      <c r="X846" s="7">
        <f>IF($D846="","",V846-W846)</f>
        <v/>
      </c>
      <c r="Y846" s="7">
        <f>IF($D846="","",X846-N846)</f>
        <v/>
      </c>
      <c r="AB846">
        <f>IF($D846="","",IF($AN846=1,0,IF($AM846=1,Settings!$C$6,Settings!$C$7))*100)</f>
        <v/>
      </c>
      <c r="AF846" s="7" t="n"/>
      <c r="AI846" s="11" t="n"/>
      <c r="AK846">
        <f>IF($D846="","",IF(COUNTIF($D$2:$D846,$D846)=1,1,0))</f>
        <v/>
      </c>
      <c r="AL846">
        <f>IF($AK846=1,SUMPRODUCT(--($AO$2:$AO$1501&lt;$AO846))+1,"")</f>
        <v/>
      </c>
      <c r="AM846">
        <f>IF($D846="","",IF(OR($R846=TRUE(),$R846="TRUE"),1,0))</f>
        <v/>
      </c>
      <c r="AN846">
        <f>IF($D846="","",IF($AA846="Yes",1,0))</f>
        <v/>
      </c>
      <c r="AO846">
        <f>IF($AK846=1,IFERROR(IF(VALUE($D846)&lt;100000000,VALUE($D846),1000000000),IFERROR(IF(VALUE(MID($D846,2,20))&lt;100000000,VALUE(MID($D846,2,20)),1000000000),1000000000))+ROW()/100000,"")</f>
        <v/>
      </c>
    </row>
    <row r="847">
      <c r="F847" s="11" t="n"/>
      <c r="N847" s="7">
        <f>IF($D847="","",M847*V847/100)</f>
        <v/>
      </c>
      <c r="O847" s="7" t="n"/>
      <c r="U847" s="7" t="n"/>
      <c r="V847" s="7" t="n"/>
      <c r="W847" s="7">
        <f>IF($D847="","",V847*AB847/100)</f>
        <v/>
      </c>
      <c r="X847" s="7">
        <f>IF($D847="","",V847-W847)</f>
        <v/>
      </c>
      <c r="Y847" s="7">
        <f>IF($D847="","",X847-N847)</f>
        <v/>
      </c>
      <c r="AB847">
        <f>IF($D847="","",IF($AN847=1,0,IF($AM847=1,Settings!$C$6,Settings!$C$7))*100)</f>
        <v/>
      </c>
      <c r="AF847" s="7" t="n"/>
      <c r="AI847" s="11" t="n"/>
      <c r="AK847">
        <f>IF($D847="","",IF(COUNTIF($D$2:$D847,$D847)=1,1,0))</f>
        <v/>
      </c>
      <c r="AL847">
        <f>IF($AK847=1,SUMPRODUCT(--($AO$2:$AO$1501&lt;$AO847))+1,"")</f>
        <v/>
      </c>
      <c r="AM847">
        <f>IF($D847="","",IF(OR($R847=TRUE(),$R847="TRUE"),1,0))</f>
        <v/>
      </c>
      <c r="AN847">
        <f>IF($D847="","",IF($AA847="Yes",1,0))</f>
        <v/>
      </c>
      <c r="AO847">
        <f>IF($AK847=1,IFERROR(IF(VALUE($D847)&lt;100000000,VALUE($D847),1000000000),IFERROR(IF(VALUE(MID($D847,2,20))&lt;100000000,VALUE(MID($D847,2,20)),1000000000),1000000000))+ROW()/100000,"")</f>
        <v/>
      </c>
    </row>
    <row r="848">
      <c r="F848" s="11" t="n"/>
      <c r="N848" s="7">
        <f>IF($D848="","",M848*V848/100)</f>
        <v/>
      </c>
      <c r="O848" s="7" t="n"/>
      <c r="U848" s="7" t="n"/>
      <c r="V848" s="7" t="n"/>
      <c r="W848" s="7">
        <f>IF($D848="","",V848*AB848/100)</f>
        <v/>
      </c>
      <c r="X848" s="7">
        <f>IF($D848="","",V848-W848)</f>
        <v/>
      </c>
      <c r="Y848" s="7">
        <f>IF($D848="","",X848-N848)</f>
        <v/>
      </c>
      <c r="AB848">
        <f>IF($D848="","",IF($AN848=1,0,IF($AM848=1,Settings!$C$6,Settings!$C$7))*100)</f>
        <v/>
      </c>
      <c r="AF848" s="7" t="n"/>
      <c r="AI848" s="11" t="n"/>
      <c r="AK848">
        <f>IF($D848="","",IF(COUNTIF($D$2:$D848,$D848)=1,1,0))</f>
        <v/>
      </c>
      <c r="AL848">
        <f>IF($AK848=1,SUMPRODUCT(--($AO$2:$AO$1501&lt;$AO848))+1,"")</f>
        <v/>
      </c>
      <c r="AM848">
        <f>IF($D848="","",IF(OR($R848=TRUE(),$R848="TRUE"),1,0))</f>
        <v/>
      </c>
      <c r="AN848">
        <f>IF($D848="","",IF($AA848="Yes",1,0))</f>
        <v/>
      </c>
      <c r="AO848">
        <f>IF($AK848=1,IFERROR(IF(VALUE($D848)&lt;100000000,VALUE($D848),1000000000),IFERROR(IF(VALUE(MID($D848,2,20))&lt;100000000,VALUE(MID($D848,2,20)),1000000000),1000000000))+ROW()/100000,"")</f>
        <v/>
      </c>
    </row>
    <row r="849">
      <c r="F849" s="11" t="n"/>
      <c r="N849" s="7">
        <f>IF($D849="","",M849*V849/100)</f>
        <v/>
      </c>
      <c r="O849" s="7" t="n"/>
      <c r="U849" s="7" t="n"/>
      <c r="V849" s="7" t="n"/>
      <c r="W849" s="7">
        <f>IF($D849="","",V849*AB849/100)</f>
        <v/>
      </c>
      <c r="X849" s="7">
        <f>IF($D849="","",V849-W849)</f>
        <v/>
      </c>
      <c r="Y849" s="7">
        <f>IF($D849="","",X849-N849)</f>
        <v/>
      </c>
      <c r="AB849">
        <f>IF($D849="","",IF($AN849=1,0,IF($AM849=1,Settings!$C$6,Settings!$C$7))*100)</f>
        <v/>
      </c>
      <c r="AF849" s="7" t="n"/>
      <c r="AI849" s="11" t="n"/>
      <c r="AK849">
        <f>IF($D849="","",IF(COUNTIF($D$2:$D849,$D849)=1,1,0))</f>
        <v/>
      </c>
      <c r="AL849">
        <f>IF($AK849=1,SUMPRODUCT(--($AO$2:$AO$1501&lt;$AO849))+1,"")</f>
        <v/>
      </c>
      <c r="AM849">
        <f>IF($D849="","",IF(OR($R849=TRUE(),$R849="TRUE"),1,0))</f>
        <v/>
      </c>
      <c r="AN849">
        <f>IF($D849="","",IF($AA849="Yes",1,0))</f>
        <v/>
      </c>
      <c r="AO849">
        <f>IF($AK849=1,IFERROR(IF(VALUE($D849)&lt;100000000,VALUE($D849),1000000000),IFERROR(IF(VALUE(MID($D849,2,20))&lt;100000000,VALUE(MID($D849,2,20)),1000000000),1000000000))+ROW()/100000,"")</f>
        <v/>
      </c>
    </row>
    <row r="850">
      <c r="F850" s="11" t="n"/>
      <c r="N850" s="7">
        <f>IF($D850="","",M850*V850/100)</f>
        <v/>
      </c>
      <c r="O850" s="7" t="n"/>
      <c r="U850" s="7" t="n"/>
      <c r="V850" s="7" t="n"/>
      <c r="W850" s="7">
        <f>IF($D850="","",V850*AB850/100)</f>
        <v/>
      </c>
      <c r="X850" s="7">
        <f>IF($D850="","",V850-W850)</f>
        <v/>
      </c>
      <c r="Y850" s="7">
        <f>IF($D850="","",X850-N850)</f>
        <v/>
      </c>
      <c r="AB850">
        <f>IF($D850="","",IF($AN850=1,0,IF($AM850=1,Settings!$C$6,Settings!$C$7))*100)</f>
        <v/>
      </c>
      <c r="AF850" s="7" t="n"/>
      <c r="AI850" s="11" t="n"/>
      <c r="AK850">
        <f>IF($D850="","",IF(COUNTIF($D$2:$D850,$D850)=1,1,0))</f>
        <v/>
      </c>
      <c r="AL850">
        <f>IF($AK850=1,SUMPRODUCT(--($AO$2:$AO$1501&lt;$AO850))+1,"")</f>
        <v/>
      </c>
      <c r="AM850">
        <f>IF($D850="","",IF(OR($R850=TRUE(),$R850="TRUE"),1,0))</f>
        <v/>
      </c>
      <c r="AN850">
        <f>IF($D850="","",IF($AA850="Yes",1,0))</f>
        <v/>
      </c>
      <c r="AO850">
        <f>IF($AK850=1,IFERROR(IF(VALUE($D850)&lt;100000000,VALUE($D850),1000000000),IFERROR(IF(VALUE(MID($D850,2,20))&lt;100000000,VALUE(MID($D850,2,20)),1000000000),1000000000))+ROW()/100000,"")</f>
        <v/>
      </c>
    </row>
    <row r="851">
      <c r="F851" s="11" t="n"/>
      <c r="N851" s="7">
        <f>IF($D851="","",M851*V851/100)</f>
        <v/>
      </c>
      <c r="O851" s="7" t="n"/>
      <c r="U851" s="7" t="n"/>
      <c r="V851" s="7" t="n"/>
      <c r="W851" s="7">
        <f>IF($D851="","",V851*AB851/100)</f>
        <v/>
      </c>
      <c r="X851" s="7">
        <f>IF($D851="","",V851-W851)</f>
        <v/>
      </c>
      <c r="Y851" s="7">
        <f>IF($D851="","",X851-N851)</f>
        <v/>
      </c>
      <c r="AB851">
        <f>IF($D851="","",IF($AN851=1,0,IF($AM851=1,Settings!$C$6,Settings!$C$7))*100)</f>
        <v/>
      </c>
      <c r="AF851" s="7" t="n"/>
      <c r="AI851" s="11" t="n"/>
      <c r="AK851">
        <f>IF($D851="","",IF(COUNTIF($D$2:$D851,$D851)=1,1,0))</f>
        <v/>
      </c>
      <c r="AL851">
        <f>IF($AK851=1,SUMPRODUCT(--($AO$2:$AO$1501&lt;$AO851))+1,"")</f>
        <v/>
      </c>
      <c r="AM851">
        <f>IF($D851="","",IF(OR($R851=TRUE(),$R851="TRUE"),1,0))</f>
        <v/>
      </c>
      <c r="AN851">
        <f>IF($D851="","",IF($AA851="Yes",1,0))</f>
        <v/>
      </c>
      <c r="AO851">
        <f>IF($AK851=1,IFERROR(IF(VALUE($D851)&lt;100000000,VALUE($D851),1000000000),IFERROR(IF(VALUE(MID($D851,2,20))&lt;100000000,VALUE(MID($D851,2,20)),1000000000),1000000000))+ROW()/100000,"")</f>
        <v/>
      </c>
    </row>
    <row r="852">
      <c r="F852" s="11" t="n"/>
      <c r="N852" s="7">
        <f>IF($D852="","",M852*V852/100)</f>
        <v/>
      </c>
      <c r="O852" s="7" t="n"/>
      <c r="U852" s="7" t="n"/>
      <c r="V852" s="7" t="n"/>
      <c r="W852" s="7">
        <f>IF($D852="","",V852*AB852/100)</f>
        <v/>
      </c>
      <c r="X852" s="7">
        <f>IF($D852="","",V852-W852)</f>
        <v/>
      </c>
      <c r="Y852" s="7">
        <f>IF($D852="","",X852-N852)</f>
        <v/>
      </c>
      <c r="AB852">
        <f>IF($D852="","",IF($AN852=1,0,IF($AM852=1,Settings!$C$6,Settings!$C$7))*100)</f>
        <v/>
      </c>
      <c r="AF852" s="7" t="n"/>
      <c r="AI852" s="11" t="n"/>
      <c r="AK852">
        <f>IF($D852="","",IF(COUNTIF($D$2:$D852,$D852)=1,1,0))</f>
        <v/>
      </c>
      <c r="AL852">
        <f>IF($AK852=1,SUMPRODUCT(--($AO$2:$AO$1501&lt;$AO852))+1,"")</f>
        <v/>
      </c>
      <c r="AM852">
        <f>IF($D852="","",IF(OR($R852=TRUE(),$R852="TRUE"),1,0))</f>
        <v/>
      </c>
      <c r="AN852">
        <f>IF($D852="","",IF($AA852="Yes",1,0))</f>
        <v/>
      </c>
      <c r="AO852">
        <f>IF($AK852=1,IFERROR(IF(VALUE($D852)&lt;100000000,VALUE($D852),1000000000),IFERROR(IF(VALUE(MID($D852,2,20))&lt;100000000,VALUE(MID($D852,2,20)),1000000000),1000000000))+ROW()/100000,"")</f>
        <v/>
      </c>
    </row>
    <row r="853">
      <c r="F853" s="11" t="n"/>
      <c r="N853" s="7">
        <f>IF($D853="","",M853*V853/100)</f>
        <v/>
      </c>
      <c r="O853" s="7" t="n"/>
      <c r="U853" s="7" t="n"/>
      <c r="V853" s="7" t="n"/>
      <c r="W853" s="7">
        <f>IF($D853="","",V853*AB853/100)</f>
        <v/>
      </c>
      <c r="X853" s="7">
        <f>IF($D853="","",V853-W853)</f>
        <v/>
      </c>
      <c r="Y853" s="7">
        <f>IF($D853="","",X853-N853)</f>
        <v/>
      </c>
      <c r="AB853">
        <f>IF($D853="","",IF($AN853=1,0,IF($AM853=1,Settings!$C$6,Settings!$C$7))*100)</f>
        <v/>
      </c>
      <c r="AF853" s="7" t="n"/>
      <c r="AI853" s="11" t="n"/>
      <c r="AK853">
        <f>IF($D853="","",IF(COUNTIF($D$2:$D853,$D853)=1,1,0))</f>
        <v/>
      </c>
      <c r="AL853">
        <f>IF($AK853=1,SUMPRODUCT(--($AO$2:$AO$1501&lt;$AO853))+1,"")</f>
        <v/>
      </c>
      <c r="AM853">
        <f>IF($D853="","",IF(OR($R853=TRUE(),$R853="TRUE"),1,0))</f>
        <v/>
      </c>
      <c r="AN853">
        <f>IF($D853="","",IF($AA853="Yes",1,0))</f>
        <v/>
      </c>
      <c r="AO853">
        <f>IF($AK853=1,IFERROR(IF(VALUE($D853)&lt;100000000,VALUE($D853),1000000000),IFERROR(IF(VALUE(MID($D853,2,20))&lt;100000000,VALUE(MID($D853,2,20)),1000000000),1000000000))+ROW()/100000,"")</f>
        <v/>
      </c>
    </row>
    <row r="854">
      <c r="F854" s="11" t="n"/>
      <c r="N854" s="7">
        <f>IF($D854="","",M854*V854/100)</f>
        <v/>
      </c>
      <c r="O854" s="7" t="n"/>
      <c r="U854" s="7" t="n"/>
      <c r="V854" s="7" t="n"/>
      <c r="W854" s="7">
        <f>IF($D854="","",V854*AB854/100)</f>
        <v/>
      </c>
      <c r="X854" s="7">
        <f>IF($D854="","",V854-W854)</f>
        <v/>
      </c>
      <c r="Y854" s="7">
        <f>IF($D854="","",X854-N854)</f>
        <v/>
      </c>
      <c r="AB854">
        <f>IF($D854="","",IF($AN854=1,0,IF($AM854=1,Settings!$C$6,Settings!$C$7))*100)</f>
        <v/>
      </c>
      <c r="AF854" s="7" t="n"/>
      <c r="AI854" s="11" t="n"/>
      <c r="AK854">
        <f>IF($D854="","",IF(COUNTIF($D$2:$D854,$D854)=1,1,0))</f>
        <v/>
      </c>
      <c r="AL854">
        <f>IF($AK854=1,SUMPRODUCT(--($AO$2:$AO$1501&lt;$AO854))+1,"")</f>
        <v/>
      </c>
      <c r="AM854">
        <f>IF($D854="","",IF(OR($R854=TRUE(),$R854="TRUE"),1,0))</f>
        <v/>
      </c>
      <c r="AN854">
        <f>IF($D854="","",IF($AA854="Yes",1,0))</f>
        <v/>
      </c>
      <c r="AO854">
        <f>IF($AK854=1,IFERROR(IF(VALUE($D854)&lt;100000000,VALUE($D854),1000000000),IFERROR(IF(VALUE(MID($D854,2,20))&lt;100000000,VALUE(MID($D854,2,20)),1000000000),1000000000))+ROW()/100000,"")</f>
        <v/>
      </c>
    </row>
    <row r="855">
      <c r="F855" s="11" t="n"/>
      <c r="N855" s="7">
        <f>IF($D855="","",M855*V855/100)</f>
        <v/>
      </c>
      <c r="O855" s="7" t="n"/>
      <c r="U855" s="7" t="n"/>
      <c r="V855" s="7" t="n"/>
      <c r="W855" s="7">
        <f>IF($D855="","",V855*AB855/100)</f>
        <v/>
      </c>
      <c r="X855" s="7">
        <f>IF($D855="","",V855-W855)</f>
        <v/>
      </c>
      <c r="Y855" s="7">
        <f>IF($D855="","",X855-N855)</f>
        <v/>
      </c>
      <c r="AB855">
        <f>IF($D855="","",IF($AN855=1,0,IF($AM855=1,Settings!$C$6,Settings!$C$7))*100)</f>
        <v/>
      </c>
      <c r="AF855" s="7" t="n"/>
      <c r="AI855" s="11" t="n"/>
      <c r="AK855">
        <f>IF($D855="","",IF(COUNTIF($D$2:$D855,$D855)=1,1,0))</f>
        <v/>
      </c>
      <c r="AL855">
        <f>IF($AK855=1,SUMPRODUCT(--($AO$2:$AO$1501&lt;$AO855))+1,"")</f>
        <v/>
      </c>
      <c r="AM855">
        <f>IF($D855="","",IF(OR($R855=TRUE(),$R855="TRUE"),1,0))</f>
        <v/>
      </c>
      <c r="AN855">
        <f>IF($D855="","",IF($AA855="Yes",1,0))</f>
        <v/>
      </c>
      <c r="AO855">
        <f>IF($AK855=1,IFERROR(IF(VALUE($D855)&lt;100000000,VALUE($D855),1000000000),IFERROR(IF(VALUE(MID($D855,2,20))&lt;100000000,VALUE(MID($D855,2,20)),1000000000),1000000000))+ROW()/100000,"")</f>
        <v/>
      </c>
    </row>
    <row r="856">
      <c r="F856" s="11" t="n"/>
      <c r="N856" s="7">
        <f>IF($D856="","",M856*V856/100)</f>
        <v/>
      </c>
      <c r="O856" s="7" t="n"/>
      <c r="U856" s="7" t="n"/>
      <c r="V856" s="7" t="n"/>
      <c r="W856" s="7">
        <f>IF($D856="","",V856*AB856/100)</f>
        <v/>
      </c>
      <c r="X856" s="7">
        <f>IF($D856="","",V856-W856)</f>
        <v/>
      </c>
      <c r="Y856" s="7">
        <f>IF($D856="","",X856-N856)</f>
        <v/>
      </c>
      <c r="AB856">
        <f>IF($D856="","",IF($AN856=1,0,IF($AM856=1,Settings!$C$6,Settings!$C$7))*100)</f>
        <v/>
      </c>
      <c r="AF856" s="7" t="n"/>
      <c r="AI856" s="11" t="n"/>
      <c r="AK856">
        <f>IF($D856="","",IF(COUNTIF($D$2:$D856,$D856)=1,1,0))</f>
        <v/>
      </c>
      <c r="AL856">
        <f>IF($AK856=1,SUMPRODUCT(--($AO$2:$AO$1501&lt;$AO856))+1,"")</f>
        <v/>
      </c>
      <c r="AM856">
        <f>IF($D856="","",IF(OR($R856=TRUE(),$R856="TRUE"),1,0))</f>
        <v/>
      </c>
      <c r="AN856">
        <f>IF($D856="","",IF($AA856="Yes",1,0))</f>
        <v/>
      </c>
      <c r="AO856">
        <f>IF($AK856=1,IFERROR(IF(VALUE($D856)&lt;100000000,VALUE($D856),1000000000),IFERROR(IF(VALUE(MID($D856,2,20))&lt;100000000,VALUE(MID($D856,2,20)),1000000000),1000000000))+ROW()/100000,"")</f>
        <v/>
      </c>
    </row>
    <row r="857">
      <c r="F857" s="11" t="n"/>
      <c r="N857" s="7">
        <f>IF($D857="","",M857*V857/100)</f>
        <v/>
      </c>
      <c r="O857" s="7" t="n"/>
      <c r="U857" s="7" t="n"/>
      <c r="V857" s="7" t="n"/>
      <c r="W857" s="7">
        <f>IF($D857="","",V857*AB857/100)</f>
        <v/>
      </c>
      <c r="X857" s="7">
        <f>IF($D857="","",V857-W857)</f>
        <v/>
      </c>
      <c r="Y857" s="7">
        <f>IF($D857="","",X857-N857)</f>
        <v/>
      </c>
      <c r="AB857">
        <f>IF($D857="","",IF($AN857=1,0,IF($AM857=1,Settings!$C$6,Settings!$C$7))*100)</f>
        <v/>
      </c>
      <c r="AF857" s="7" t="n"/>
      <c r="AI857" s="11" t="n"/>
      <c r="AK857">
        <f>IF($D857="","",IF(COUNTIF($D$2:$D857,$D857)=1,1,0))</f>
        <v/>
      </c>
      <c r="AL857">
        <f>IF($AK857=1,SUMPRODUCT(--($AO$2:$AO$1501&lt;$AO857))+1,"")</f>
        <v/>
      </c>
      <c r="AM857">
        <f>IF($D857="","",IF(OR($R857=TRUE(),$R857="TRUE"),1,0))</f>
        <v/>
      </c>
      <c r="AN857">
        <f>IF($D857="","",IF($AA857="Yes",1,0))</f>
        <v/>
      </c>
      <c r="AO857">
        <f>IF($AK857=1,IFERROR(IF(VALUE($D857)&lt;100000000,VALUE($D857),1000000000),IFERROR(IF(VALUE(MID($D857,2,20))&lt;100000000,VALUE(MID($D857,2,20)),1000000000),1000000000))+ROW()/100000,"")</f>
        <v/>
      </c>
    </row>
    <row r="858">
      <c r="F858" s="11" t="n"/>
      <c r="N858" s="7">
        <f>IF($D858="","",M858*V858/100)</f>
        <v/>
      </c>
      <c r="O858" s="7" t="n"/>
      <c r="U858" s="7" t="n"/>
      <c r="V858" s="7" t="n"/>
      <c r="W858" s="7">
        <f>IF($D858="","",V858*AB858/100)</f>
        <v/>
      </c>
      <c r="X858" s="7">
        <f>IF($D858="","",V858-W858)</f>
        <v/>
      </c>
      <c r="Y858" s="7">
        <f>IF($D858="","",X858-N858)</f>
        <v/>
      </c>
      <c r="AB858">
        <f>IF($D858="","",IF($AN858=1,0,IF($AM858=1,Settings!$C$6,Settings!$C$7))*100)</f>
        <v/>
      </c>
      <c r="AF858" s="7" t="n"/>
      <c r="AI858" s="11" t="n"/>
      <c r="AK858">
        <f>IF($D858="","",IF(COUNTIF($D$2:$D858,$D858)=1,1,0))</f>
        <v/>
      </c>
      <c r="AL858">
        <f>IF($AK858=1,SUMPRODUCT(--($AO$2:$AO$1501&lt;$AO858))+1,"")</f>
        <v/>
      </c>
      <c r="AM858">
        <f>IF($D858="","",IF(OR($R858=TRUE(),$R858="TRUE"),1,0))</f>
        <v/>
      </c>
      <c r="AN858">
        <f>IF($D858="","",IF($AA858="Yes",1,0))</f>
        <v/>
      </c>
      <c r="AO858">
        <f>IF($AK858=1,IFERROR(IF(VALUE($D858)&lt;100000000,VALUE($D858),1000000000),IFERROR(IF(VALUE(MID($D858,2,20))&lt;100000000,VALUE(MID($D858,2,20)),1000000000),1000000000))+ROW()/100000,"")</f>
        <v/>
      </c>
    </row>
    <row r="859">
      <c r="F859" s="11" t="n"/>
      <c r="N859" s="7">
        <f>IF($D859="","",M859*V859/100)</f>
        <v/>
      </c>
      <c r="O859" s="7" t="n"/>
      <c r="U859" s="7" t="n"/>
      <c r="V859" s="7" t="n"/>
      <c r="W859" s="7">
        <f>IF($D859="","",V859*AB859/100)</f>
        <v/>
      </c>
      <c r="X859" s="7">
        <f>IF($D859="","",V859-W859)</f>
        <v/>
      </c>
      <c r="Y859" s="7">
        <f>IF($D859="","",X859-N859)</f>
        <v/>
      </c>
      <c r="AB859">
        <f>IF($D859="","",IF($AN859=1,0,IF($AM859=1,Settings!$C$6,Settings!$C$7))*100)</f>
        <v/>
      </c>
      <c r="AF859" s="7" t="n"/>
      <c r="AI859" s="11" t="n"/>
      <c r="AK859">
        <f>IF($D859="","",IF(COUNTIF($D$2:$D859,$D859)=1,1,0))</f>
        <v/>
      </c>
      <c r="AL859">
        <f>IF($AK859=1,SUMPRODUCT(--($AO$2:$AO$1501&lt;$AO859))+1,"")</f>
        <v/>
      </c>
      <c r="AM859">
        <f>IF($D859="","",IF(OR($R859=TRUE(),$R859="TRUE"),1,0))</f>
        <v/>
      </c>
      <c r="AN859">
        <f>IF($D859="","",IF($AA859="Yes",1,0))</f>
        <v/>
      </c>
      <c r="AO859">
        <f>IF($AK859=1,IFERROR(IF(VALUE($D859)&lt;100000000,VALUE($D859),1000000000),IFERROR(IF(VALUE(MID($D859,2,20))&lt;100000000,VALUE(MID($D859,2,20)),1000000000),1000000000))+ROW()/100000,"")</f>
        <v/>
      </c>
    </row>
    <row r="860">
      <c r="F860" s="11" t="n"/>
      <c r="N860" s="7">
        <f>IF($D860="","",M860*V860/100)</f>
        <v/>
      </c>
      <c r="O860" s="7" t="n"/>
      <c r="U860" s="7" t="n"/>
      <c r="V860" s="7" t="n"/>
      <c r="W860" s="7">
        <f>IF($D860="","",V860*AB860/100)</f>
        <v/>
      </c>
      <c r="X860" s="7">
        <f>IF($D860="","",V860-W860)</f>
        <v/>
      </c>
      <c r="Y860" s="7">
        <f>IF($D860="","",X860-N860)</f>
        <v/>
      </c>
      <c r="AB860">
        <f>IF($D860="","",IF($AN860=1,0,IF($AM860=1,Settings!$C$6,Settings!$C$7))*100)</f>
        <v/>
      </c>
      <c r="AF860" s="7" t="n"/>
      <c r="AI860" s="11" t="n"/>
      <c r="AK860">
        <f>IF($D860="","",IF(COUNTIF($D$2:$D860,$D860)=1,1,0))</f>
        <v/>
      </c>
      <c r="AL860">
        <f>IF($AK860=1,SUMPRODUCT(--($AO$2:$AO$1501&lt;$AO860))+1,"")</f>
        <v/>
      </c>
      <c r="AM860">
        <f>IF($D860="","",IF(OR($R860=TRUE(),$R860="TRUE"),1,0))</f>
        <v/>
      </c>
      <c r="AN860">
        <f>IF($D860="","",IF($AA860="Yes",1,0))</f>
        <v/>
      </c>
      <c r="AO860">
        <f>IF($AK860=1,IFERROR(IF(VALUE($D860)&lt;100000000,VALUE($D860),1000000000),IFERROR(IF(VALUE(MID($D860,2,20))&lt;100000000,VALUE(MID($D860,2,20)),1000000000),1000000000))+ROW()/100000,"")</f>
        <v/>
      </c>
    </row>
    <row r="861">
      <c r="F861" s="11" t="n"/>
      <c r="N861" s="7">
        <f>IF($D861="","",M861*V861/100)</f>
        <v/>
      </c>
      <c r="O861" s="7" t="n"/>
      <c r="U861" s="7" t="n"/>
      <c r="V861" s="7" t="n"/>
      <c r="W861" s="7">
        <f>IF($D861="","",V861*AB861/100)</f>
        <v/>
      </c>
      <c r="X861" s="7">
        <f>IF($D861="","",V861-W861)</f>
        <v/>
      </c>
      <c r="Y861" s="7">
        <f>IF($D861="","",X861-N861)</f>
        <v/>
      </c>
      <c r="AB861">
        <f>IF($D861="","",IF($AN861=1,0,IF($AM861=1,Settings!$C$6,Settings!$C$7))*100)</f>
        <v/>
      </c>
      <c r="AF861" s="7" t="n"/>
      <c r="AI861" s="11" t="n"/>
      <c r="AK861">
        <f>IF($D861="","",IF(COUNTIF($D$2:$D861,$D861)=1,1,0))</f>
        <v/>
      </c>
      <c r="AL861">
        <f>IF($AK861=1,SUMPRODUCT(--($AO$2:$AO$1501&lt;$AO861))+1,"")</f>
        <v/>
      </c>
      <c r="AM861">
        <f>IF($D861="","",IF(OR($R861=TRUE(),$R861="TRUE"),1,0))</f>
        <v/>
      </c>
      <c r="AN861">
        <f>IF($D861="","",IF($AA861="Yes",1,0))</f>
        <v/>
      </c>
      <c r="AO861">
        <f>IF($AK861=1,IFERROR(IF(VALUE($D861)&lt;100000000,VALUE($D861),1000000000),IFERROR(IF(VALUE(MID($D861,2,20))&lt;100000000,VALUE(MID($D861,2,20)),1000000000),1000000000))+ROW()/100000,"")</f>
        <v/>
      </c>
    </row>
    <row r="862">
      <c r="F862" s="11" t="n"/>
      <c r="N862" s="7">
        <f>IF($D862="","",M862*V862/100)</f>
        <v/>
      </c>
      <c r="O862" s="7" t="n"/>
      <c r="U862" s="7" t="n"/>
      <c r="V862" s="7" t="n"/>
      <c r="W862" s="7">
        <f>IF($D862="","",V862*AB862/100)</f>
        <v/>
      </c>
      <c r="X862" s="7">
        <f>IF($D862="","",V862-W862)</f>
        <v/>
      </c>
      <c r="Y862" s="7">
        <f>IF($D862="","",X862-N862)</f>
        <v/>
      </c>
      <c r="AB862">
        <f>IF($D862="","",IF($AN862=1,0,IF($AM862=1,Settings!$C$6,Settings!$C$7))*100)</f>
        <v/>
      </c>
      <c r="AF862" s="7" t="n"/>
      <c r="AI862" s="11" t="n"/>
      <c r="AK862">
        <f>IF($D862="","",IF(COUNTIF($D$2:$D862,$D862)=1,1,0))</f>
        <v/>
      </c>
      <c r="AL862">
        <f>IF($AK862=1,SUMPRODUCT(--($AO$2:$AO$1501&lt;$AO862))+1,"")</f>
        <v/>
      </c>
      <c r="AM862">
        <f>IF($D862="","",IF(OR($R862=TRUE(),$R862="TRUE"),1,0))</f>
        <v/>
      </c>
      <c r="AN862">
        <f>IF($D862="","",IF($AA862="Yes",1,0))</f>
        <v/>
      </c>
      <c r="AO862">
        <f>IF($AK862=1,IFERROR(IF(VALUE($D862)&lt;100000000,VALUE($D862),1000000000),IFERROR(IF(VALUE(MID($D862,2,20))&lt;100000000,VALUE(MID($D862,2,20)),1000000000),1000000000))+ROW()/100000,"")</f>
        <v/>
      </c>
    </row>
    <row r="863">
      <c r="F863" s="11" t="n"/>
      <c r="N863" s="7">
        <f>IF($D863="","",M863*V863/100)</f>
        <v/>
      </c>
      <c r="O863" s="7" t="n"/>
      <c r="U863" s="7" t="n"/>
      <c r="V863" s="7" t="n"/>
      <c r="W863" s="7">
        <f>IF($D863="","",V863*AB863/100)</f>
        <v/>
      </c>
      <c r="X863" s="7">
        <f>IF($D863="","",V863-W863)</f>
        <v/>
      </c>
      <c r="Y863" s="7">
        <f>IF($D863="","",X863-N863)</f>
        <v/>
      </c>
      <c r="AB863">
        <f>IF($D863="","",IF($AN863=1,0,IF($AM863=1,Settings!$C$6,Settings!$C$7))*100)</f>
        <v/>
      </c>
      <c r="AF863" s="7" t="n"/>
      <c r="AI863" s="11" t="n"/>
      <c r="AK863">
        <f>IF($D863="","",IF(COUNTIF($D$2:$D863,$D863)=1,1,0))</f>
        <v/>
      </c>
      <c r="AL863">
        <f>IF($AK863=1,SUMPRODUCT(--($AO$2:$AO$1501&lt;$AO863))+1,"")</f>
        <v/>
      </c>
      <c r="AM863">
        <f>IF($D863="","",IF(OR($R863=TRUE(),$R863="TRUE"),1,0))</f>
        <v/>
      </c>
      <c r="AN863">
        <f>IF($D863="","",IF($AA863="Yes",1,0))</f>
        <v/>
      </c>
      <c r="AO863">
        <f>IF($AK863=1,IFERROR(IF(VALUE($D863)&lt;100000000,VALUE($D863),1000000000),IFERROR(IF(VALUE(MID($D863,2,20))&lt;100000000,VALUE(MID($D863,2,20)),1000000000),1000000000))+ROW()/100000,"")</f>
        <v/>
      </c>
    </row>
    <row r="864">
      <c r="F864" s="11" t="n"/>
      <c r="N864" s="7">
        <f>IF($D864="","",M864*V864/100)</f>
        <v/>
      </c>
      <c r="O864" s="7" t="n"/>
      <c r="U864" s="7" t="n"/>
      <c r="V864" s="7" t="n"/>
      <c r="W864" s="7">
        <f>IF($D864="","",V864*AB864/100)</f>
        <v/>
      </c>
      <c r="X864" s="7">
        <f>IF($D864="","",V864-W864)</f>
        <v/>
      </c>
      <c r="Y864" s="7">
        <f>IF($D864="","",X864-N864)</f>
        <v/>
      </c>
      <c r="AB864">
        <f>IF($D864="","",IF($AN864=1,0,IF($AM864=1,Settings!$C$6,Settings!$C$7))*100)</f>
        <v/>
      </c>
      <c r="AF864" s="7" t="n"/>
      <c r="AI864" s="11" t="n"/>
      <c r="AK864">
        <f>IF($D864="","",IF(COUNTIF($D$2:$D864,$D864)=1,1,0))</f>
        <v/>
      </c>
      <c r="AL864">
        <f>IF($AK864=1,SUMPRODUCT(--($AO$2:$AO$1501&lt;$AO864))+1,"")</f>
        <v/>
      </c>
      <c r="AM864">
        <f>IF($D864="","",IF(OR($R864=TRUE(),$R864="TRUE"),1,0))</f>
        <v/>
      </c>
      <c r="AN864">
        <f>IF($D864="","",IF($AA864="Yes",1,0))</f>
        <v/>
      </c>
      <c r="AO864">
        <f>IF($AK864=1,IFERROR(IF(VALUE($D864)&lt;100000000,VALUE($D864),1000000000),IFERROR(IF(VALUE(MID($D864,2,20))&lt;100000000,VALUE(MID($D864,2,20)),1000000000),1000000000))+ROW()/100000,"")</f>
        <v/>
      </c>
    </row>
    <row r="865">
      <c r="F865" s="11" t="n"/>
      <c r="N865" s="7">
        <f>IF($D865="","",M865*V865/100)</f>
        <v/>
      </c>
      <c r="O865" s="7" t="n"/>
      <c r="U865" s="7" t="n"/>
      <c r="V865" s="7" t="n"/>
      <c r="W865" s="7">
        <f>IF($D865="","",V865*AB865/100)</f>
        <v/>
      </c>
      <c r="X865" s="7">
        <f>IF($D865="","",V865-W865)</f>
        <v/>
      </c>
      <c r="Y865" s="7">
        <f>IF($D865="","",X865-N865)</f>
        <v/>
      </c>
      <c r="AB865">
        <f>IF($D865="","",IF($AN865=1,0,IF($AM865=1,Settings!$C$6,Settings!$C$7))*100)</f>
        <v/>
      </c>
      <c r="AF865" s="7" t="n"/>
      <c r="AI865" s="11" t="n"/>
      <c r="AK865">
        <f>IF($D865="","",IF(COUNTIF($D$2:$D865,$D865)=1,1,0))</f>
        <v/>
      </c>
      <c r="AL865">
        <f>IF($AK865=1,SUMPRODUCT(--($AO$2:$AO$1501&lt;$AO865))+1,"")</f>
        <v/>
      </c>
      <c r="AM865">
        <f>IF($D865="","",IF(OR($R865=TRUE(),$R865="TRUE"),1,0))</f>
        <v/>
      </c>
      <c r="AN865">
        <f>IF($D865="","",IF($AA865="Yes",1,0))</f>
        <v/>
      </c>
      <c r="AO865">
        <f>IF($AK865=1,IFERROR(IF(VALUE($D865)&lt;100000000,VALUE($D865),1000000000),IFERROR(IF(VALUE(MID($D865,2,20))&lt;100000000,VALUE(MID($D865,2,20)),1000000000),1000000000))+ROW()/100000,"")</f>
        <v/>
      </c>
    </row>
    <row r="866">
      <c r="F866" s="11" t="n"/>
      <c r="N866" s="7">
        <f>IF($D866="","",M866*V866/100)</f>
        <v/>
      </c>
      <c r="O866" s="7" t="n"/>
      <c r="U866" s="7" t="n"/>
      <c r="V866" s="7" t="n"/>
      <c r="W866" s="7">
        <f>IF($D866="","",V866*AB866/100)</f>
        <v/>
      </c>
      <c r="X866" s="7">
        <f>IF($D866="","",V866-W866)</f>
        <v/>
      </c>
      <c r="Y866" s="7">
        <f>IF($D866="","",X866-N866)</f>
        <v/>
      </c>
      <c r="AB866">
        <f>IF($D866="","",IF($AN866=1,0,IF($AM866=1,Settings!$C$6,Settings!$C$7))*100)</f>
        <v/>
      </c>
      <c r="AF866" s="7" t="n"/>
      <c r="AI866" s="11" t="n"/>
      <c r="AK866">
        <f>IF($D866="","",IF(COUNTIF($D$2:$D866,$D866)=1,1,0))</f>
        <v/>
      </c>
      <c r="AL866">
        <f>IF($AK866=1,SUMPRODUCT(--($AO$2:$AO$1501&lt;$AO866))+1,"")</f>
        <v/>
      </c>
      <c r="AM866">
        <f>IF($D866="","",IF(OR($R866=TRUE(),$R866="TRUE"),1,0))</f>
        <v/>
      </c>
      <c r="AN866">
        <f>IF($D866="","",IF($AA866="Yes",1,0))</f>
        <v/>
      </c>
      <c r="AO866">
        <f>IF($AK866=1,IFERROR(IF(VALUE($D866)&lt;100000000,VALUE($D866),1000000000),IFERROR(IF(VALUE(MID($D866,2,20))&lt;100000000,VALUE(MID($D866,2,20)),1000000000),1000000000))+ROW()/100000,"")</f>
        <v/>
      </c>
    </row>
    <row r="867">
      <c r="F867" s="11" t="n"/>
      <c r="N867" s="7">
        <f>IF($D867="","",M867*V867/100)</f>
        <v/>
      </c>
      <c r="O867" s="7" t="n"/>
      <c r="U867" s="7" t="n"/>
      <c r="V867" s="7" t="n"/>
      <c r="W867" s="7">
        <f>IF($D867="","",V867*AB867/100)</f>
        <v/>
      </c>
      <c r="X867" s="7">
        <f>IF($D867="","",V867-W867)</f>
        <v/>
      </c>
      <c r="Y867" s="7">
        <f>IF($D867="","",X867-N867)</f>
        <v/>
      </c>
      <c r="AB867">
        <f>IF($D867="","",IF($AN867=1,0,IF($AM867=1,Settings!$C$6,Settings!$C$7))*100)</f>
        <v/>
      </c>
      <c r="AF867" s="7" t="n"/>
      <c r="AI867" s="11" t="n"/>
      <c r="AK867">
        <f>IF($D867="","",IF(COUNTIF($D$2:$D867,$D867)=1,1,0))</f>
        <v/>
      </c>
      <c r="AL867">
        <f>IF($AK867=1,SUMPRODUCT(--($AO$2:$AO$1501&lt;$AO867))+1,"")</f>
        <v/>
      </c>
      <c r="AM867">
        <f>IF($D867="","",IF(OR($R867=TRUE(),$R867="TRUE"),1,0))</f>
        <v/>
      </c>
      <c r="AN867">
        <f>IF($D867="","",IF($AA867="Yes",1,0))</f>
        <v/>
      </c>
      <c r="AO867">
        <f>IF($AK867=1,IFERROR(IF(VALUE($D867)&lt;100000000,VALUE($D867),1000000000),IFERROR(IF(VALUE(MID($D867,2,20))&lt;100000000,VALUE(MID($D867,2,20)),1000000000),1000000000))+ROW()/100000,"")</f>
        <v/>
      </c>
    </row>
    <row r="868">
      <c r="F868" s="11" t="n"/>
      <c r="N868" s="7">
        <f>IF($D868="","",M868*V868/100)</f>
        <v/>
      </c>
      <c r="O868" s="7" t="n"/>
      <c r="U868" s="7" t="n"/>
      <c r="V868" s="7" t="n"/>
      <c r="W868" s="7">
        <f>IF($D868="","",V868*AB868/100)</f>
        <v/>
      </c>
      <c r="X868" s="7">
        <f>IF($D868="","",V868-W868)</f>
        <v/>
      </c>
      <c r="Y868" s="7">
        <f>IF($D868="","",X868-N868)</f>
        <v/>
      </c>
      <c r="AB868">
        <f>IF($D868="","",IF($AN868=1,0,IF($AM868=1,Settings!$C$6,Settings!$C$7))*100)</f>
        <v/>
      </c>
      <c r="AF868" s="7" t="n"/>
      <c r="AI868" s="11" t="n"/>
      <c r="AK868">
        <f>IF($D868="","",IF(COUNTIF($D$2:$D868,$D868)=1,1,0))</f>
        <v/>
      </c>
      <c r="AL868">
        <f>IF($AK868=1,SUMPRODUCT(--($AO$2:$AO$1501&lt;$AO868))+1,"")</f>
        <v/>
      </c>
      <c r="AM868">
        <f>IF($D868="","",IF(OR($R868=TRUE(),$R868="TRUE"),1,0))</f>
        <v/>
      </c>
      <c r="AN868">
        <f>IF($D868="","",IF($AA868="Yes",1,0))</f>
        <v/>
      </c>
      <c r="AO868">
        <f>IF($AK868=1,IFERROR(IF(VALUE($D868)&lt;100000000,VALUE($D868),1000000000),IFERROR(IF(VALUE(MID($D868,2,20))&lt;100000000,VALUE(MID($D868,2,20)),1000000000),1000000000))+ROW()/100000,"")</f>
        <v/>
      </c>
    </row>
    <row r="869">
      <c r="F869" s="11" t="n"/>
      <c r="N869" s="7">
        <f>IF($D869="","",M869*V869/100)</f>
        <v/>
      </c>
      <c r="O869" s="7" t="n"/>
      <c r="U869" s="7" t="n"/>
      <c r="V869" s="7" t="n"/>
      <c r="W869" s="7">
        <f>IF($D869="","",V869*AB869/100)</f>
        <v/>
      </c>
      <c r="X869" s="7">
        <f>IF($D869="","",V869-W869)</f>
        <v/>
      </c>
      <c r="Y869" s="7">
        <f>IF($D869="","",X869-N869)</f>
        <v/>
      </c>
      <c r="AB869">
        <f>IF($D869="","",IF($AN869=1,0,IF($AM869=1,Settings!$C$6,Settings!$C$7))*100)</f>
        <v/>
      </c>
      <c r="AF869" s="7" t="n"/>
      <c r="AI869" s="11" t="n"/>
      <c r="AK869">
        <f>IF($D869="","",IF(COUNTIF($D$2:$D869,$D869)=1,1,0))</f>
        <v/>
      </c>
      <c r="AL869">
        <f>IF($AK869=1,SUMPRODUCT(--($AO$2:$AO$1501&lt;$AO869))+1,"")</f>
        <v/>
      </c>
      <c r="AM869">
        <f>IF($D869="","",IF(OR($R869=TRUE(),$R869="TRUE"),1,0))</f>
        <v/>
      </c>
      <c r="AN869">
        <f>IF($D869="","",IF($AA869="Yes",1,0))</f>
        <v/>
      </c>
      <c r="AO869">
        <f>IF($AK869=1,IFERROR(IF(VALUE($D869)&lt;100000000,VALUE($D869),1000000000),IFERROR(IF(VALUE(MID($D869,2,20))&lt;100000000,VALUE(MID($D869,2,20)),1000000000),1000000000))+ROW()/100000,"")</f>
        <v/>
      </c>
    </row>
    <row r="870">
      <c r="F870" s="11" t="n"/>
      <c r="N870" s="7">
        <f>IF($D870="","",M870*V870/100)</f>
        <v/>
      </c>
      <c r="O870" s="7" t="n"/>
      <c r="U870" s="7" t="n"/>
      <c r="V870" s="7" t="n"/>
      <c r="W870" s="7">
        <f>IF($D870="","",V870*AB870/100)</f>
        <v/>
      </c>
      <c r="X870" s="7">
        <f>IF($D870="","",V870-W870)</f>
        <v/>
      </c>
      <c r="Y870" s="7">
        <f>IF($D870="","",X870-N870)</f>
        <v/>
      </c>
      <c r="AB870">
        <f>IF($D870="","",IF($AN870=1,0,IF($AM870=1,Settings!$C$6,Settings!$C$7))*100)</f>
        <v/>
      </c>
      <c r="AF870" s="7" t="n"/>
      <c r="AI870" s="11" t="n"/>
      <c r="AK870">
        <f>IF($D870="","",IF(COUNTIF($D$2:$D870,$D870)=1,1,0))</f>
        <v/>
      </c>
      <c r="AL870">
        <f>IF($AK870=1,SUMPRODUCT(--($AO$2:$AO$1501&lt;$AO870))+1,"")</f>
        <v/>
      </c>
      <c r="AM870">
        <f>IF($D870="","",IF(OR($R870=TRUE(),$R870="TRUE"),1,0))</f>
        <v/>
      </c>
      <c r="AN870">
        <f>IF($D870="","",IF($AA870="Yes",1,0))</f>
        <v/>
      </c>
      <c r="AO870">
        <f>IF($AK870=1,IFERROR(IF(VALUE($D870)&lt;100000000,VALUE($D870),1000000000),IFERROR(IF(VALUE(MID($D870,2,20))&lt;100000000,VALUE(MID($D870,2,20)),1000000000),1000000000))+ROW()/100000,"")</f>
        <v/>
      </c>
    </row>
    <row r="871">
      <c r="F871" s="11" t="n"/>
      <c r="N871" s="7">
        <f>IF($D871="","",M871*V871/100)</f>
        <v/>
      </c>
      <c r="O871" s="7" t="n"/>
      <c r="U871" s="7" t="n"/>
      <c r="V871" s="7" t="n"/>
      <c r="W871" s="7">
        <f>IF($D871="","",V871*AB871/100)</f>
        <v/>
      </c>
      <c r="X871" s="7">
        <f>IF($D871="","",V871-W871)</f>
        <v/>
      </c>
      <c r="Y871" s="7">
        <f>IF($D871="","",X871-N871)</f>
        <v/>
      </c>
      <c r="AB871">
        <f>IF($D871="","",IF($AN871=1,0,IF($AM871=1,Settings!$C$6,Settings!$C$7))*100)</f>
        <v/>
      </c>
      <c r="AF871" s="7" t="n"/>
      <c r="AI871" s="11" t="n"/>
      <c r="AK871">
        <f>IF($D871="","",IF(COUNTIF($D$2:$D871,$D871)=1,1,0))</f>
        <v/>
      </c>
      <c r="AL871">
        <f>IF($AK871=1,SUMPRODUCT(--($AO$2:$AO$1501&lt;$AO871))+1,"")</f>
        <v/>
      </c>
      <c r="AM871">
        <f>IF($D871="","",IF(OR($R871=TRUE(),$R871="TRUE"),1,0))</f>
        <v/>
      </c>
      <c r="AN871">
        <f>IF($D871="","",IF($AA871="Yes",1,0))</f>
        <v/>
      </c>
      <c r="AO871">
        <f>IF($AK871=1,IFERROR(IF(VALUE($D871)&lt;100000000,VALUE($D871),1000000000),IFERROR(IF(VALUE(MID($D871,2,20))&lt;100000000,VALUE(MID($D871,2,20)),1000000000),1000000000))+ROW()/100000,"")</f>
        <v/>
      </c>
    </row>
    <row r="872">
      <c r="F872" s="11" t="n"/>
      <c r="N872" s="7">
        <f>IF($D872="","",M872*V872/100)</f>
        <v/>
      </c>
      <c r="O872" s="7" t="n"/>
      <c r="U872" s="7" t="n"/>
      <c r="V872" s="7" t="n"/>
      <c r="W872" s="7">
        <f>IF($D872="","",V872*AB872/100)</f>
        <v/>
      </c>
      <c r="X872" s="7">
        <f>IF($D872="","",V872-W872)</f>
        <v/>
      </c>
      <c r="Y872" s="7">
        <f>IF($D872="","",X872-N872)</f>
        <v/>
      </c>
      <c r="AB872">
        <f>IF($D872="","",IF($AN872=1,0,IF($AM872=1,Settings!$C$6,Settings!$C$7))*100)</f>
        <v/>
      </c>
      <c r="AF872" s="7" t="n"/>
      <c r="AI872" s="11" t="n"/>
      <c r="AK872">
        <f>IF($D872="","",IF(COUNTIF($D$2:$D872,$D872)=1,1,0))</f>
        <v/>
      </c>
      <c r="AL872">
        <f>IF($AK872=1,SUMPRODUCT(--($AO$2:$AO$1501&lt;$AO872))+1,"")</f>
        <v/>
      </c>
      <c r="AM872">
        <f>IF($D872="","",IF(OR($R872=TRUE(),$R872="TRUE"),1,0))</f>
        <v/>
      </c>
      <c r="AN872">
        <f>IF($D872="","",IF($AA872="Yes",1,0))</f>
        <v/>
      </c>
      <c r="AO872">
        <f>IF($AK872=1,IFERROR(IF(VALUE($D872)&lt;100000000,VALUE($D872),1000000000),IFERROR(IF(VALUE(MID($D872,2,20))&lt;100000000,VALUE(MID($D872,2,20)),1000000000),1000000000))+ROW()/100000,"")</f>
        <v/>
      </c>
    </row>
    <row r="873">
      <c r="F873" s="11" t="n"/>
      <c r="N873" s="7">
        <f>IF($D873="","",M873*V873/100)</f>
        <v/>
      </c>
      <c r="O873" s="7" t="n"/>
      <c r="U873" s="7" t="n"/>
      <c r="V873" s="7" t="n"/>
      <c r="W873" s="7">
        <f>IF($D873="","",V873*AB873/100)</f>
        <v/>
      </c>
      <c r="X873" s="7">
        <f>IF($D873="","",V873-W873)</f>
        <v/>
      </c>
      <c r="Y873" s="7">
        <f>IF($D873="","",X873-N873)</f>
        <v/>
      </c>
      <c r="AB873">
        <f>IF($D873="","",IF($AN873=1,0,IF($AM873=1,Settings!$C$6,Settings!$C$7))*100)</f>
        <v/>
      </c>
      <c r="AF873" s="7" t="n"/>
      <c r="AI873" s="11" t="n"/>
      <c r="AK873">
        <f>IF($D873="","",IF(COUNTIF($D$2:$D873,$D873)=1,1,0))</f>
        <v/>
      </c>
      <c r="AL873">
        <f>IF($AK873=1,SUMPRODUCT(--($AO$2:$AO$1501&lt;$AO873))+1,"")</f>
        <v/>
      </c>
      <c r="AM873">
        <f>IF($D873="","",IF(OR($R873=TRUE(),$R873="TRUE"),1,0))</f>
        <v/>
      </c>
      <c r="AN873">
        <f>IF($D873="","",IF($AA873="Yes",1,0))</f>
        <v/>
      </c>
      <c r="AO873">
        <f>IF($AK873=1,IFERROR(IF(VALUE($D873)&lt;100000000,VALUE($D873),1000000000),IFERROR(IF(VALUE(MID($D873,2,20))&lt;100000000,VALUE(MID($D873,2,20)),1000000000),1000000000))+ROW()/100000,"")</f>
        <v/>
      </c>
    </row>
    <row r="874">
      <c r="F874" s="11" t="n"/>
      <c r="N874" s="7">
        <f>IF($D874="","",M874*V874/100)</f>
        <v/>
      </c>
      <c r="O874" s="7" t="n"/>
      <c r="U874" s="7" t="n"/>
      <c r="V874" s="7" t="n"/>
      <c r="W874" s="7">
        <f>IF($D874="","",V874*AB874/100)</f>
        <v/>
      </c>
      <c r="X874" s="7">
        <f>IF($D874="","",V874-W874)</f>
        <v/>
      </c>
      <c r="Y874" s="7">
        <f>IF($D874="","",X874-N874)</f>
        <v/>
      </c>
      <c r="AB874">
        <f>IF($D874="","",IF($AN874=1,0,IF($AM874=1,Settings!$C$6,Settings!$C$7))*100)</f>
        <v/>
      </c>
      <c r="AF874" s="7" t="n"/>
      <c r="AI874" s="11" t="n"/>
      <c r="AK874">
        <f>IF($D874="","",IF(COUNTIF($D$2:$D874,$D874)=1,1,0))</f>
        <v/>
      </c>
      <c r="AL874">
        <f>IF($AK874=1,SUMPRODUCT(--($AO$2:$AO$1501&lt;$AO874))+1,"")</f>
        <v/>
      </c>
      <c r="AM874">
        <f>IF($D874="","",IF(OR($R874=TRUE(),$R874="TRUE"),1,0))</f>
        <v/>
      </c>
      <c r="AN874">
        <f>IF($D874="","",IF($AA874="Yes",1,0))</f>
        <v/>
      </c>
      <c r="AO874">
        <f>IF($AK874=1,IFERROR(IF(VALUE($D874)&lt;100000000,VALUE($D874),1000000000),IFERROR(IF(VALUE(MID($D874,2,20))&lt;100000000,VALUE(MID($D874,2,20)),1000000000),1000000000))+ROW()/100000,"")</f>
        <v/>
      </c>
    </row>
    <row r="875">
      <c r="F875" s="11" t="n"/>
      <c r="N875" s="7">
        <f>IF($D875="","",M875*V875/100)</f>
        <v/>
      </c>
      <c r="O875" s="7" t="n"/>
      <c r="U875" s="7" t="n"/>
      <c r="V875" s="7" t="n"/>
      <c r="W875" s="7">
        <f>IF($D875="","",V875*AB875/100)</f>
        <v/>
      </c>
      <c r="X875" s="7">
        <f>IF($D875="","",V875-W875)</f>
        <v/>
      </c>
      <c r="Y875" s="7">
        <f>IF($D875="","",X875-N875)</f>
        <v/>
      </c>
      <c r="AB875">
        <f>IF($D875="","",IF($AN875=1,0,IF($AM875=1,Settings!$C$6,Settings!$C$7))*100)</f>
        <v/>
      </c>
      <c r="AF875" s="7" t="n"/>
      <c r="AI875" s="11" t="n"/>
      <c r="AK875">
        <f>IF($D875="","",IF(COUNTIF($D$2:$D875,$D875)=1,1,0))</f>
        <v/>
      </c>
      <c r="AL875">
        <f>IF($AK875=1,SUMPRODUCT(--($AO$2:$AO$1501&lt;$AO875))+1,"")</f>
        <v/>
      </c>
      <c r="AM875">
        <f>IF($D875="","",IF(OR($R875=TRUE(),$R875="TRUE"),1,0))</f>
        <v/>
      </c>
      <c r="AN875">
        <f>IF($D875="","",IF($AA875="Yes",1,0))</f>
        <v/>
      </c>
      <c r="AO875">
        <f>IF($AK875=1,IFERROR(IF(VALUE($D875)&lt;100000000,VALUE($D875),1000000000),IFERROR(IF(VALUE(MID($D875,2,20))&lt;100000000,VALUE(MID($D875,2,20)),1000000000),1000000000))+ROW()/100000,"")</f>
        <v/>
      </c>
    </row>
    <row r="876">
      <c r="F876" s="11" t="n"/>
      <c r="N876" s="7">
        <f>IF($D876="","",M876*V876/100)</f>
        <v/>
      </c>
      <c r="O876" s="7" t="n"/>
      <c r="U876" s="7" t="n"/>
      <c r="V876" s="7" t="n"/>
      <c r="W876" s="7">
        <f>IF($D876="","",V876*AB876/100)</f>
        <v/>
      </c>
      <c r="X876" s="7">
        <f>IF($D876="","",V876-W876)</f>
        <v/>
      </c>
      <c r="Y876" s="7">
        <f>IF($D876="","",X876-N876)</f>
        <v/>
      </c>
      <c r="AB876">
        <f>IF($D876="","",IF($AN876=1,0,IF($AM876=1,Settings!$C$6,Settings!$C$7))*100)</f>
        <v/>
      </c>
      <c r="AF876" s="7" t="n"/>
      <c r="AI876" s="11" t="n"/>
      <c r="AK876">
        <f>IF($D876="","",IF(COUNTIF($D$2:$D876,$D876)=1,1,0))</f>
        <v/>
      </c>
      <c r="AL876">
        <f>IF($AK876=1,SUMPRODUCT(--($AO$2:$AO$1501&lt;$AO876))+1,"")</f>
        <v/>
      </c>
      <c r="AM876">
        <f>IF($D876="","",IF(OR($R876=TRUE(),$R876="TRUE"),1,0))</f>
        <v/>
      </c>
      <c r="AN876">
        <f>IF($D876="","",IF($AA876="Yes",1,0))</f>
        <v/>
      </c>
      <c r="AO876">
        <f>IF($AK876=1,IFERROR(IF(VALUE($D876)&lt;100000000,VALUE($D876),1000000000),IFERROR(IF(VALUE(MID($D876,2,20))&lt;100000000,VALUE(MID($D876,2,20)),1000000000),1000000000))+ROW()/100000,"")</f>
        <v/>
      </c>
    </row>
    <row r="877">
      <c r="F877" s="11" t="n"/>
      <c r="N877" s="7">
        <f>IF($D877="","",M877*V877/100)</f>
        <v/>
      </c>
      <c r="O877" s="7" t="n"/>
      <c r="U877" s="7" t="n"/>
      <c r="V877" s="7" t="n"/>
      <c r="W877" s="7">
        <f>IF($D877="","",V877*AB877/100)</f>
        <v/>
      </c>
      <c r="X877" s="7">
        <f>IF($D877="","",V877-W877)</f>
        <v/>
      </c>
      <c r="Y877" s="7">
        <f>IF($D877="","",X877-N877)</f>
        <v/>
      </c>
      <c r="AB877">
        <f>IF($D877="","",IF($AN877=1,0,IF($AM877=1,Settings!$C$6,Settings!$C$7))*100)</f>
        <v/>
      </c>
      <c r="AF877" s="7" t="n"/>
      <c r="AI877" s="11" t="n"/>
      <c r="AK877">
        <f>IF($D877="","",IF(COUNTIF($D$2:$D877,$D877)=1,1,0))</f>
        <v/>
      </c>
      <c r="AL877">
        <f>IF($AK877=1,SUMPRODUCT(--($AO$2:$AO$1501&lt;$AO877))+1,"")</f>
        <v/>
      </c>
      <c r="AM877">
        <f>IF($D877="","",IF(OR($R877=TRUE(),$R877="TRUE"),1,0))</f>
        <v/>
      </c>
      <c r="AN877">
        <f>IF($D877="","",IF($AA877="Yes",1,0))</f>
        <v/>
      </c>
      <c r="AO877">
        <f>IF($AK877=1,IFERROR(IF(VALUE($D877)&lt;100000000,VALUE($D877),1000000000),IFERROR(IF(VALUE(MID($D877,2,20))&lt;100000000,VALUE(MID($D877,2,20)),1000000000),1000000000))+ROW()/100000,"")</f>
        <v/>
      </c>
    </row>
    <row r="878">
      <c r="F878" s="11" t="n"/>
      <c r="N878" s="7">
        <f>IF($D878="","",M878*V878/100)</f>
        <v/>
      </c>
      <c r="O878" s="7" t="n"/>
      <c r="U878" s="7" t="n"/>
      <c r="V878" s="7" t="n"/>
      <c r="W878" s="7">
        <f>IF($D878="","",V878*AB878/100)</f>
        <v/>
      </c>
      <c r="X878" s="7">
        <f>IF($D878="","",V878-W878)</f>
        <v/>
      </c>
      <c r="Y878" s="7">
        <f>IF($D878="","",X878-N878)</f>
        <v/>
      </c>
      <c r="AB878">
        <f>IF($D878="","",IF($AN878=1,0,IF($AM878=1,Settings!$C$6,Settings!$C$7))*100)</f>
        <v/>
      </c>
      <c r="AF878" s="7" t="n"/>
      <c r="AI878" s="11" t="n"/>
      <c r="AK878">
        <f>IF($D878="","",IF(COUNTIF($D$2:$D878,$D878)=1,1,0))</f>
        <v/>
      </c>
      <c r="AL878">
        <f>IF($AK878=1,SUMPRODUCT(--($AO$2:$AO$1501&lt;$AO878))+1,"")</f>
        <v/>
      </c>
      <c r="AM878">
        <f>IF($D878="","",IF(OR($R878=TRUE(),$R878="TRUE"),1,0))</f>
        <v/>
      </c>
      <c r="AN878">
        <f>IF($D878="","",IF($AA878="Yes",1,0))</f>
        <v/>
      </c>
      <c r="AO878">
        <f>IF($AK878=1,IFERROR(IF(VALUE($D878)&lt;100000000,VALUE($D878),1000000000),IFERROR(IF(VALUE(MID($D878,2,20))&lt;100000000,VALUE(MID($D878,2,20)),1000000000),1000000000))+ROW()/100000,"")</f>
        <v/>
      </c>
    </row>
    <row r="879">
      <c r="F879" s="11" t="n"/>
      <c r="N879" s="7">
        <f>IF($D879="","",M879*V879/100)</f>
        <v/>
      </c>
      <c r="O879" s="7" t="n"/>
      <c r="U879" s="7" t="n"/>
      <c r="V879" s="7" t="n"/>
      <c r="W879" s="7">
        <f>IF($D879="","",V879*AB879/100)</f>
        <v/>
      </c>
      <c r="X879" s="7">
        <f>IF($D879="","",V879-W879)</f>
        <v/>
      </c>
      <c r="Y879" s="7">
        <f>IF($D879="","",X879-N879)</f>
        <v/>
      </c>
      <c r="AB879">
        <f>IF($D879="","",IF($AN879=1,0,IF($AM879=1,Settings!$C$6,Settings!$C$7))*100)</f>
        <v/>
      </c>
      <c r="AF879" s="7" t="n"/>
      <c r="AI879" s="11" t="n"/>
      <c r="AK879">
        <f>IF($D879="","",IF(COUNTIF($D$2:$D879,$D879)=1,1,0))</f>
        <v/>
      </c>
      <c r="AL879">
        <f>IF($AK879=1,SUMPRODUCT(--($AO$2:$AO$1501&lt;$AO879))+1,"")</f>
        <v/>
      </c>
      <c r="AM879">
        <f>IF($D879="","",IF(OR($R879=TRUE(),$R879="TRUE"),1,0))</f>
        <v/>
      </c>
      <c r="AN879">
        <f>IF($D879="","",IF($AA879="Yes",1,0))</f>
        <v/>
      </c>
      <c r="AO879">
        <f>IF($AK879=1,IFERROR(IF(VALUE($D879)&lt;100000000,VALUE($D879),1000000000),IFERROR(IF(VALUE(MID($D879,2,20))&lt;100000000,VALUE(MID($D879,2,20)),1000000000),1000000000))+ROW()/100000,"")</f>
        <v/>
      </c>
    </row>
    <row r="880">
      <c r="F880" s="11" t="n"/>
      <c r="N880" s="7">
        <f>IF($D880="","",M880*V880/100)</f>
        <v/>
      </c>
      <c r="O880" s="7" t="n"/>
      <c r="U880" s="7" t="n"/>
      <c r="V880" s="7" t="n"/>
      <c r="W880" s="7">
        <f>IF($D880="","",V880*AB880/100)</f>
        <v/>
      </c>
      <c r="X880" s="7">
        <f>IF($D880="","",V880-W880)</f>
        <v/>
      </c>
      <c r="Y880" s="7">
        <f>IF($D880="","",X880-N880)</f>
        <v/>
      </c>
      <c r="AB880">
        <f>IF($D880="","",IF($AN880=1,0,IF($AM880=1,Settings!$C$6,Settings!$C$7))*100)</f>
        <v/>
      </c>
      <c r="AF880" s="7" t="n"/>
      <c r="AI880" s="11" t="n"/>
      <c r="AK880">
        <f>IF($D880="","",IF(COUNTIF($D$2:$D880,$D880)=1,1,0))</f>
        <v/>
      </c>
      <c r="AL880">
        <f>IF($AK880=1,SUMPRODUCT(--($AO$2:$AO$1501&lt;$AO880))+1,"")</f>
        <v/>
      </c>
      <c r="AM880">
        <f>IF($D880="","",IF(OR($R880=TRUE(),$R880="TRUE"),1,0))</f>
        <v/>
      </c>
      <c r="AN880">
        <f>IF($D880="","",IF($AA880="Yes",1,0))</f>
        <v/>
      </c>
      <c r="AO880">
        <f>IF($AK880=1,IFERROR(IF(VALUE($D880)&lt;100000000,VALUE($D880),1000000000),IFERROR(IF(VALUE(MID($D880,2,20))&lt;100000000,VALUE(MID($D880,2,20)),1000000000),1000000000))+ROW()/100000,"")</f>
        <v/>
      </c>
    </row>
    <row r="881">
      <c r="F881" s="11" t="n"/>
      <c r="N881" s="7">
        <f>IF($D881="","",M881*V881/100)</f>
        <v/>
      </c>
      <c r="O881" s="7" t="n"/>
      <c r="U881" s="7" t="n"/>
      <c r="V881" s="7" t="n"/>
      <c r="W881" s="7">
        <f>IF($D881="","",V881*AB881/100)</f>
        <v/>
      </c>
      <c r="X881" s="7">
        <f>IF($D881="","",V881-W881)</f>
        <v/>
      </c>
      <c r="Y881" s="7">
        <f>IF($D881="","",X881-N881)</f>
        <v/>
      </c>
      <c r="AB881">
        <f>IF($D881="","",IF($AN881=1,0,IF($AM881=1,Settings!$C$6,Settings!$C$7))*100)</f>
        <v/>
      </c>
      <c r="AF881" s="7" t="n"/>
      <c r="AI881" s="11" t="n"/>
      <c r="AK881">
        <f>IF($D881="","",IF(COUNTIF($D$2:$D881,$D881)=1,1,0))</f>
        <v/>
      </c>
      <c r="AL881">
        <f>IF($AK881=1,SUMPRODUCT(--($AO$2:$AO$1501&lt;$AO881))+1,"")</f>
        <v/>
      </c>
      <c r="AM881">
        <f>IF($D881="","",IF(OR($R881=TRUE(),$R881="TRUE"),1,0))</f>
        <v/>
      </c>
      <c r="AN881">
        <f>IF($D881="","",IF($AA881="Yes",1,0))</f>
        <v/>
      </c>
      <c r="AO881">
        <f>IF($AK881=1,IFERROR(IF(VALUE($D881)&lt;100000000,VALUE($D881),1000000000),IFERROR(IF(VALUE(MID($D881,2,20))&lt;100000000,VALUE(MID($D881,2,20)),1000000000),1000000000))+ROW()/100000,"")</f>
        <v/>
      </c>
    </row>
    <row r="882">
      <c r="F882" s="11" t="n"/>
      <c r="N882" s="7">
        <f>IF($D882="","",M882*V882/100)</f>
        <v/>
      </c>
      <c r="O882" s="7" t="n"/>
      <c r="U882" s="7" t="n"/>
      <c r="V882" s="7" t="n"/>
      <c r="W882" s="7">
        <f>IF($D882="","",V882*AB882/100)</f>
        <v/>
      </c>
      <c r="X882" s="7">
        <f>IF($D882="","",V882-W882)</f>
        <v/>
      </c>
      <c r="Y882" s="7">
        <f>IF($D882="","",X882-N882)</f>
        <v/>
      </c>
      <c r="AB882">
        <f>IF($D882="","",IF($AN882=1,0,IF($AM882=1,Settings!$C$6,Settings!$C$7))*100)</f>
        <v/>
      </c>
      <c r="AF882" s="7" t="n"/>
      <c r="AI882" s="11" t="n"/>
      <c r="AK882">
        <f>IF($D882="","",IF(COUNTIF($D$2:$D882,$D882)=1,1,0))</f>
        <v/>
      </c>
      <c r="AL882">
        <f>IF($AK882=1,SUMPRODUCT(--($AO$2:$AO$1501&lt;$AO882))+1,"")</f>
        <v/>
      </c>
      <c r="AM882">
        <f>IF($D882="","",IF(OR($R882=TRUE(),$R882="TRUE"),1,0))</f>
        <v/>
      </c>
      <c r="AN882">
        <f>IF($D882="","",IF($AA882="Yes",1,0))</f>
        <v/>
      </c>
      <c r="AO882">
        <f>IF($AK882=1,IFERROR(IF(VALUE($D882)&lt;100000000,VALUE($D882),1000000000),IFERROR(IF(VALUE(MID($D882,2,20))&lt;100000000,VALUE(MID($D882,2,20)),1000000000),1000000000))+ROW()/100000,"")</f>
        <v/>
      </c>
    </row>
    <row r="883">
      <c r="F883" s="11" t="n"/>
      <c r="N883" s="7">
        <f>IF($D883="","",M883*V883/100)</f>
        <v/>
      </c>
      <c r="O883" s="7" t="n"/>
      <c r="U883" s="7" t="n"/>
      <c r="V883" s="7" t="n"/>
      <c r="W883" s="7">
        <f>IF($D883="","",V883*AB883/100)</f>
        <v/>
      </c>
      <c r="X883" s="7">
        <f>IF($D883="","",V883-W883)</f>
        <v/>
      </c>
      <c r="Y883" s="7">
        <f>IF($D883="","",X883-N883)</f>
        <v/>
      </c>
      <c r="AB883">
        <f>IF($D883="","",IF($AN883=1,0,IF($AM883=1,Settings!$C$6,Settings!$C$7))*100)</f>
        <v/>
      </c>
      <c r="AF883" s="7" t="n"/>
      <c r="AI883" s="11" t="n"/>
      <c r="AK883">
        <f>IF($D883="","",IF(COUNTIF($D$2:$D883,$D883)=1,1,0))</f>
        <v/>
      </c>
      <c r="AL883">
        <f>IF($AK883=1,SUMPRODUCT(--($AO$2:$AO$1501&lt;$AO883))+1,"")</f>
        <v/>
      </c>
      <c r="AM883">
        <f>IF($D883="","",IF(OR($R883=TRUE(),$R883="TRUE"),1,0))</f>
        <v/>
      </c>
      <c r="AN883">
        <f>IF($D883="","",IF($AA883="Yes",1,0))</f>
        <v/>
      </c>
      <c r="AO883">
        <f>IF($AK883=1,IFERROR(IF(VALUE($D883)&lt;100000000,VALUE($D883),1000000000),IFERROR(IF(VALUE(MID($D883,2,20))&lt;100000000,VALUE(MID($D883,2,20)),1000000000),1000000000))+ROW()/100000,"")</f>
        <v/>
      </c>
    </row>
    <row r="884">
      <c r="F884" s="11" t="n"/>
      <c r="N884" s="7">
        <f>IF($D884="","",M884*V884/100)</f>
        <v/>
      </c>
      <c r="O884" s="7" t="n"/>
      <c r="U884" s="7" t="n"/>
      <c r="V884" s="7" t="n"/>
      <c r="W884" s="7">
        <f>IF($D884="","",V884*AB884/100)</f>
        <v/>
      </c>
      <c r="X884" s="7">
        <f>IF($D884="","",V884-W884)</f>
        <v/>
      </c>
      <c r="Y884" s="7">
        <f>IF($D884="","",X884-N884)</f>
        <v/>
      </c>
      <c r="AB884">
        <f>IF($D884="","",IF($AN884=1,0,IF($AM884=1,Settings!$C$6,Settings!$C$7))*100)</f>
        <v/>
      </c>
      <c r="AF884" s="7" t="n"/>
      <c r="AI884" s="11" t="n"/>
      <c r="AK884">
        <f>IF($D884="","",IF(COUNTIF($D$2:$D884,$D884)=1,1,0))</f>
        <v/>
      </c>
      <c r="AL884">
        <f>IF($AK884=1,SUMPRODUCT(--($AO$2:$AO$1501&lt;$AO884))+1,"")</f>
        <v/>
      </c>
      <c r="AM884">
        <f>IF($D884="","",IF(OR($R884=TRUE(),$R884="TRUE"),1,0))</f>
        <v/>
      </c>
      <c r="AN884">
        <f>IF($D884="","",IF($AA884="Yes",1,0))</f>
        <v/>
      </c>
      <c r="AO884">
        <f>IF($AK884=1,IFERROR(IF(VALUE($D884)&lt;100000000,VALUE($D884),1000000000),IFERROR(IF(VALUE(MID($D884,2,20))&lt;100000000,VALUE(MID($D884,2,20)),1000000000),1000000000))+ROW()/100000,"")</f>
        <v/>
      </c>
    </row>
    <row r="885">
      <c r="F885" s="11" t="n"/>
      <c r="N885" s="7">
        <f>IF($D885="","",M885*V885/100)</f>
        <v/>
      </c>
      <c r="O885" s="7" t="n"/>
      <c r="U885" s="7" t="n"/>
      <c r="V885" s="7" t="n"/>
      <c r="W885" s="7">
        <f>IF($D885="","",V885*AB885/100)</f>
        <v/>
      </c>
      <c r="X885" s="7">
        <f>IF($D885="","",V885-W885)</f>
        <v/>
      </c>
      <c r="Y885" s="7">
        <f>IF($D885="","",X885-N885)</f>
        <v/>
      </c>
      <c r="AB885">
        <f>IF($D885="","",IF($AN885=1,0,IF($AM885=1,Settings!$C$6,Settings!$C$7))*100)</f>
        <v/>
      </c>
      <c r="AF885" s="7" t="n"/>
      <c r="AI885" s="11" t="n"/>
      <c r="AK885">
        <f>IF($D885="","",IF(COUNTIF($D$2:$D885,$D885)=1,1,0))</f>
        <v/>
      </c>
      <c r="AL885">
        <f>IF($AK885=1,SUMPRODUCT(--($AO$2:$AO$1501&lt;$AO885))+1,"")</f>
        <v/>
      </c>
      <c r="AM885">
        <f>IF($D885="","",IF(OR($R885=TRUE(),$R885="TRUE"),1,0))</f>
        <v/>
      </c>
      <c r="AN885">
        <f>IF($D885="","",IF($AA885="Yes",1,0))</f>
        <v/>
      </c>
      <c r="AO885">
        <f>IF($AK885=1,IFERROR(IF(VALUE($D885)&lt;100000000,VALUE($D885),1000000000),IFERROR(IF(VALUE(MID($D885,2,20))&lt;100000000,VALUE(MID($D885,2,20)),1000000000),1000000000))+ROW()/100000,"")</f>
        <v/>
      </c>
    </row>
    <row r="886">
      <c r="F886" s="11" t="n"/>
      <c r="N886" s="7">
        <f>IF($D886="","",M886*V886/100)</f>
        <v/>
      </c>
      <c r="O886" s="7" t="n"/>
      <c r="U886" s="7" t="n"/>
      <c r="V886" s="7" t="n"/>
      <c r="W886" s="7">
        <f>IF($D886="","",V886*AB886/100)</f>
        <v/>
      </c>
      <c r="X886" s="7">
        <f>IF($D886="","",V886-W886)</f>
        <v/>
      </c>
      <c r="Y886" s="7">
        <f>IF($D886="","",X886-N886)</f>
        <v/>
      </c>
      <c r="AB886">
        <f>IF($D886="","",IF($AN886=1,0,IF($AM886=1,Settings!$C$6,Settings!$C$7))*100)</f>
        <v/>
      </c>
      <c r="AF886" s="7" t="n"/>
      <c r="AI886" s="11" t="n"/>
      <c r="AK886">
        <f>IF($D886="","",IF(COUNTIF($D$2:$D886,$D886)=1,1,0))</f>
        <v/>
      </c>
      <c r="AL886">
        <f>IF($AK886=1,SUMPRODUCT(--($AO$2:$AO$1501&lt;$AO886))+1,"")</f>
        <v/>
      </c>
      <c r="AM886">
        <f>IF($D886="","",IF(OR($R886=TRUE(),$R886="TRUE"),1,0))</f>
        <v/>
      </c>
      <c r="AN886">
        <f>IF($D886="","",IF($AA886="Yes",1,0))</f>
        <v/>
      </c>
      <c r="AO886">
        <f>IF($AK886=1,IFERROR(IF(VALUE($D886)&lt;100000000,VALUE($D886),1000000000),IFERROR(IF(VALUE(MID($D886,2,20))&lt;100000000,VALUE(MID($D886,2,20)),1000000000),1000000000))+ROW()/100000,"")</f>
        <v/>
      </c>
    </row>
    <row r="887">
      <c r="F887" s="11" t="n"/>
      <c r="N887" s="7">
        <f>IF($D887="","",M887*V887/100)</f>
        <v/>
      </c>
      <c r="O887" s="7" t="n"/>
      <c r="U887" s="7" t="n"/>
      <c r="V887" s="7" t="n"/>
      <c r="W887" s="7">
        <f>IF($D887="","",V887*AB887/100)</f>
        <v/>
      </c>
      <c r="X887" s="7">
        <f>IF($D887="","",V887-W887)</f>
        <v/>
      </c>
      <c r="Y887" s="7">
        <f>IF($D887="","",X887-N887)</f>
        <v/>
      </c>
      <c r="AB887">
        <f>IF($D887="","",IF($AN887=1,0,IF($AM887=1,Settings!$C$6,Settings!$C$7))*100)</f>
        <v/>
      </c>
      <c r="AF887" s="7" t="n"/>
      <c r="AI887" s="11" t="n"/>
      <c r="AK887">
        <f>IF($D887="","",IF(COUNTIF($D$2:$D887,$D887)=1,1,0))</f>
        <v/>
      </c>
      <c r="AL887">
        <f>IF($AK887=1,SUMPRODUCT(--($AO$2:$AO$1501&lt;$AO887))+1,"")</f>
        <v/>
      </c>
      <c r="AM887">
        <f>IF($D887="","",IF(OR($R887=TRUE(),$R887="TRUE"),1,0))</f>
        <v/>
      </c>
      <c r="AN887">
        <f>IF($D887="","",IF($AA887="Yes",1,0))</f>
        <v/>
      </c>
      <c r="AO887">
        <f>IF($AK887=1,IFERROR(IF(VALUE($D887)&lt;100000000,VALUE($D887),1000000000),IFERROR(IF(VALUE(MID($D887,2,20))&lt;100000000,VALUE(MID($D887,2,20)),1000000000),1000000000))+ROW()/100000,"")</f>
        <v/>
      </c>
    </row>
    <row r="888">
      <c r="F888" s="11" t="n"/>
      <c r="N888" s="7">
        <f>IF($D888="","",M888*V888/100)</f>
        <v/>
      </c>
      <c r="O888" s="7" t="n"/>
      <c r="U888" s="7" t="n"/>
      <c r="V888" s="7" t="n"/>
      <c r="W888" s="7">
        <f>IF($D888="","",V888*AB888/100)</f>
        <v/>
      </c>
      <c r="X888" s="7">
        <f>IF($D888="","",V888-W888)</f>
        <v/>
      </c>
      <c r="Y888" s="7">
        <f>IF($D888="","",X888-N888)</f>
        <v/>
      </c>
      <c r="AB888">
        <f>IF($D888="","",IF($AN888=1,0,IF($AM888=1,Settings!$C$6,Settings!$C$7))*100)</f>
        <v/>
      </c>
      <c r="AF888" s="7" t="n"/>
      <c r="AI888" s="11" t="n"/>
      <c r="AK888">
        <f>IF($D888="","",IF(COUNTIF($D$2:$D888,$D888)=1,1,0))</f>
        <v/>
      </c>
      <c r="AL888">
        <f>IF($AK888=1,SUMPRODUCT(--($AO$2:$AO$1501&lt;$AO888))+1,"")</f>
        <v/>
      </c>
      <c r="AM888">
        <f>IF($D888="","",IF(OR($R888=TRUE(),$R888="TRUE"),1,0))</f>
        <v/>
      </c>
      <c r="AN888">
        <f>IF($D888="","",IF($AA888="Yes",1,0))</f>
        <v/>
      </c>
      <c r="AO888">
        <f>IF($AK888=1,IFERROR(IF(VALUE($D888)&lt;100000000,VALUE($D888),1000000000),IFERROR(IF(VALUE(MID($D888,2,20))&lt;100000000,VALUE(MID($D888,2,20)),1000000000),1000000000))+ROW()/100000,"")</f>
        <v/>
      </c>
    </row>
    <row r="889">
      <c r="F889" s="11" t="n"/>
      <c r="N889" s="7">
        <f>IF($D889="","",M889*V889/100)</f>
        <v/>
      </c>
      <c r="O889" s="7" t="n"/>
      <c r="U889" s="7" t="n"/>
      <c r="V889" s="7" t="n"/>
      <c r="W889" s="7">
        <f>IF($D889="","",V889*AB889/100)</f>
        <v/>
      </c>
      <c r="X889" s="7">
        <f>IF($D889="","",V889-W889)</f>
        <v/>
      </c>
      <c r="Y889" s="7">
        <f>IF($D889="","",X889-N889)</f>
        <v/>
      </c>
      <c r="AB889">
        <f>IF($D889="","",IF($AN889=1,0,IF($AM889=1,Settings!$C$6,Settings!$C$7))*100)</f>
        <v/>
      </c>
      <c r="AF889" s="7" t="n"/>
      <c r="AI889" s="11" t="n"/>
      <c r="AK889">
        <f>IF($D889="","",IF(COUNTIF($D$2:$D889,$D889)=1,1,0))</f>
        <v/>
      </c>
      <c r="AL889">
        <f>IF($AK889=1,SUMPRODUCT(--($AO$2:$AO$1501&lt;$AO889))+1,"")</f>
        <v/>
      </c>
      <c r="AM889">
        <f>IF($D889="","",IF(OR($R889=TRUE(),$R889="TRUE"),1,0))</f>
        <v/>
      </c>
      <c r="AN889">
        <f>IF($D889="","",IF($AA889="Yes",1,0))</f>
        <v/>
      </c>
      <c r="AO889">
        <f>IF($AK889=1,IFERROR(IF(VALUE($D889)&lt;100000000,VALUE($D889),1000000000),IFERROR(IF(VALUE(MID($D889,2,20))&lt;100000000,VALUE(MID($D889,2,20)),1000000000),1000000000))+ROW()/100000,"")</f>
        <v/>
      </c>
    </row>
    <row r="890">
      <c r="F890" s="11" t="n"/>
      <c r="N890" s="7">
        <f>IF($D890="","",M890*V890/100)</f>
        <v/>
      </c>
      <c r="O890" s="7" t="n"/>
      <c r="U890" s="7" t="n"/>
      <c r="V890" s="7" t="n"/>
      <c r="W890" s="7">
        <f>IF($D890="","",V890*AB890/100)</f>
        <v/>
      </c>
      <c r="X890" s="7">
        <f>IF($D890="","",V890-W890)</f>
        <v/>
      </c>
      <c r="Y890" s="7">
        <f>IF($D890="","",X890-N890)</f>
        <v/>
      </c>
      <c r="AB890">
        <f>IF($D890="","",IF($AN890=1,0,IF($AM890=1,Settings!$C$6,Settings!$C$7))*100)</f>
        <v/>
      </c>
      <c r="AF890" s="7" t="n"/>
      <c r="AI890" s="11" t="n"/>
      <c r="AK890">
        <f>IF($D890="","",IF(COUNTIF($D$2:$D890,$D890)=1,1,0))</f>
        <v/>
      </c>
      <c r="AL890">
        <f>IF($AK890=1,SUMPRODUCT(--($AO$2:$AO$1501&lt;$AO890))+1,"")</f>
        <v/>
      </c>
      <c r="AM890">
        <f>IF($D890="","",IF(OR($R890=TRUE(),$R890="TRUE"),1,0))</f>
        <v/>
      </c>
      <c r="AN890">
        <f>IF($D890="","",IF($AA890="Yes",1,0))</f>
        <v/>
      </c>
      <c r="AO890">
        <f>IF($AK890=1,IFERROR(IF(VALUE($D890)&lt;100000000,VALUE($D890),1000000000),IFERROR(IF(VALUE(MID($D890,2,20))&lt;100000000,VALUE(MID($D890,2,20)),1000000000),1000000000))+ROW()/100000,"")</f>
        <v/>
      </c>
    </row>
    <row r="891">
      <c r="F891" s="11" t="n"/>
      <c r="N891" s="7">
        <f>IF($D891="","",M891*V891/100)</f>
        <v/>
      </c>
      <c r="O891" s="7" t="n"/>
      <c r="U891" s="7" t="n"/>
      <c r="V891" s="7" t="n"/>
      <c r="W891" s="7">
        <f>IF($D891="","",V891*AB891/100)</f>
        <v/>
      </c>
      <c r="X891" s="7">
        <f>IF($D891="","",V891-W891)</f>
        <v/>
      </c>
      <c r="Y891" s="7">
        <f>IF($D891="","",X891-N891)</f>
        <v/>
      </c>
      <c r="AB891">
        <f>IF($D891="","",IF($AN891=1,0,IF($AM891=1,Settings!$C$6,Settings!$C$7))*100)</f>
        <v/>
      </c>
      <c r="AF891" s="7" t="n"/>
      <c r="AI891" s="11" t="n"/>
      <c r="AK891">
        <f>IF($D891="","",IF(COUNTIF($D$2:$D891,$D891)=1,1,0))</f>
        <v/>
      </c>
      <c r="AL891">
        <f>IF($AK891=1,SUMPRODUCT(--($AO$2:$AO$1501&lt;$AO891))+1,"")</f>
        <v/>
      </c>
      <c r="AM891">
        <f>IF($D891="","",IF(OR($R891=TRUE(),$R891="TRUE"),1,0))</f>
        <v/>
      </c>
      <c r="AN891">
        <f>IF($D891="","",IF($AA891="Yes",1,0))</f>
        <v/>
      </c>
      <c r="AO891">
        <f>IF($AK891=1,IFERROR(IF(VALUE($D891)&lt;100000000,VALUE($D891),1000000000),IFERROR(IF(VALUE(MID($D891,2,20))&lt;100000000,VALUE(MID($D891,2,20)),1000000000),1000000000))+ROW()/100000,"")</f>
        <v/>
      </c>
    </row>
    <row r="892">
      <c r="F892" s="11" t="n"/>
      <c r="N892" s="7">
        <f>IF($D892="","",M892*V892/100)</f>
        <v/>
      </c>
      <c r="O892" s="7" t="n"/>
      <c r="U892" s="7" t="n"/>
      <c r="V892" s="7" t="n"/>
      <c r="W892" s="7">
        <f>IF($D892="","",V892*AB892/100)</f>
        <v/>
      </c>
      <c r="X892" s="7">
        <f>IF($D892="","",V892-W892)</f>
        <v/>
      </c>
      <c r="Y892" s="7">
        <f>IF($D892="","",X892-N892)</f>
        <v/>
      </c>
      <c r="AB892">
        <f>IF($D892="","",IF($AN892=1,0,IF($AM892=1,Settings!$C$6,Settings!$C$7))*100)</f>
        <v/>
      </c>
      <c r="AF892" s="7" t="n"/>
      <c r="AI892" s="11" t="n"/>
      <c r="AK892">
        <f>IF($D892="","",IF(COUNTIF($D$2:$D892,$D892)=1,1,0))</f>
        <v/>
      </c>
      <c r="AL892">
        <f>IF($AK892=1,SUMPRODUCT(--($AO$2:$AO$1501&lt;$AO892))+1,"")</f>
        <v/>
      </c>
      <c r="AM892">
        <f>IF($D892="","",IF(OR($R892=TRUE(),$R892="TRUE"),1,0))</f>
        <v/>
      </c>
      <c r="AN892">
        <f>IF($D892="","",IF($AA892="Yes",1,0))</f>
        <v/>
      </c>
      <c r="AO892">
        <f>IF($AK892=1,IFERROR(IF(VALUE($D892)&lt;100000000,VALUE($D892),1000000000),IFERROR(IF(VALUE(MID($D892,2,20))&lt;100000000,VALUE(MID($D892,2,20)),1000000000),1000000000))+ROW()/100000,"")</f>
        <v/>
      </c>
    </row>
    <row r="893">
      <c r="F893" s="11" t="n"/>
      <c r="N893" s="7">
        <f>IF($D893="","",M893*V893/100)</f>
        <v/>
      </c>
      <c r="O893" s="7" t="n"/>
      <c r="U893" s="7" t="n"/>
      <c r="V893" s="7" t="n"/>
      <c r="W893" s="7">
        <f>IF($D893="","",V893*AB893/100)</f>
        <v/>
      </c>
      <c r="X893" s="7">
        <f>IF($D893="","",V893-W893)</f>
        <v/>
      </c>
      <c r="Y893" s="7">
        <f>IF($D893="","",X893-N893)</f>
        <v/>
      </c>
      <c r="AB893">
        <f>IF($D893="","",IF($AN893=1,0,IF($AM893=1,Settings!$C$6,Settings!$C$7))*100)</f>
        <v/>
      </c>
      <c r="AF893" s="7" t="n"/>
      <c r="AI893" s="11" t="n"/>
      <c r="AK893">
        <f>IF($D893="","",IF(COUNTIF($D$2:$D893,$D893)=1,1,0))</f>
        <v/>
      </c>
      <c r="AL893">
        <f>IF($AK893=1,SUMPRODUCT(--($AO$2:$AO$1501&lt;$AO893))+1,"")</f>
        <v/>
      </c>
      <c r="AM893">
        <f>IF($D893="","",IF(OR($R893=TRUE(),$R893="TRUE"),1,0))</f>
        <v/>
      </c>
      <c r="AN893">
        <f>IF($D893="","",IF($AA893="Yes",1,0))</f>
        <v/>
      </c>
      <c r="AO893">
        <f>IF($AK893=1,IFERROR(IF(VALUE($D893)&lt;100000000,VALUE($D893),1000000000),IFERROR(IF(VALUE(MID($D893,2,20))&lt;100000000,VALUE(MID($D893,2,20)),1000000000),1000000000))+ROW()/100000,"")</f>
        <v/>
      </c>
    </row>
    <row r="894">
      <c r="F894" s="11" t="n"/>
      <c r="N894" s="7">
        <f>IF($D894="","",M894*V894/100)</f>
        <v/>
      </c>
      <c r="O894" s="7" t="n"/>
      <c r="U894" s="7" t="n"/>
      <c r="V894" s="7" t="n"/>
      <c r="W894" s="7">
        <f>IF($D894="","",V894*AB894/100)</f>
        <v/>
      </c>
      <c r="X894" s="7">
        <f>IF($D894="","",V894-W894)</f>
        <v/>
      </c>
      <c r="Y894" s="7">
        <f>IF($D894="","",X894-N894)</f>
        <v/>
      </c>
      <c r="AB894">
        <f>IF($D894="","",IF($AN894=1,0,IF($AM894=1,Settings!$C$6,Settings!$C$7))*100)</f>
        <v/>
      </c>
      <c r="AF894" s="7" t="n"/>
      <c r="AI894" s="11" t="n"/>
      <c r="AK894">
        <f>IF($D894="","",IF(COUNTIF($D$2:$D894,$D894)=1,1,0))</f>
        <v/>
      </c>
      <c r="AL894">
        <f>IF($AK894=1,SUMPRODUCT(--($AO$2:$AO$1501&lt;$AO894))+1,"")</f>
        <v/>
      </c>
      <c r="AM894">
        <f>IF($D894="","",IF(OR($R894=TRUE(),$R894="TRUE"),1,0))</f>
        <v/>
      </c>
      <c r="AN894">
        <f>IF($D894="","",IF($AA894="Yes",1,0))</f>
        <v/>
      </c>
      <c r="AO894">
        <f>IF($AK894=1,IFERROR(IF(VALUE($D894)&lt;100000000,VALUE($D894),1000000000),IFERROR(IF(VALUE(MID($D894,2,20))&lt;100000000,VALUE(MID($D894,2,20)),1000000000),1000000000))+ROW()/100000,"")</f>
        <v/>
      </c>
    </row>
    <row r="895">
      <c r="F895" s="11" t="n"/>
      <c r="N895" s="7">
        <f>IF($D895="","",M895*V895/100)</f>
        <v/>
      </c>
      <c r="O895" s="7" t="n"/>
      <c r="U895" s="7" t="n"/>
      <c r="V895" s="7" t="n"/>
      <c r="W895" s="7">
        <f>IF($D895="","",V895*AB895/100)</f>
        <v/>
      </c>
      <c r="X895" s="7">
        <f>IF($D895="","",V895-W895)</f>
        <v/>
      </c>
      <c r="Y895" s="7">
        <f>IF($D895="","",X895-N895)</f>
        <v/>
      </c>
      <c r="AB895">
        <f>IF($D895="","",IF($AN895=1,0,IF($AM895=1,Settings!$C$6,Settings!$C$7))*100)</f>
        <v/>
      </c>
      <c r="AF895" s="7" t="n"/>
      <c r="AI895" s="11" t="n"/>
      <c r="AK895">
        <f>IF($D895="","",IF(COUNTIF($D$2:$D895,$D895)=1,1,0))</f>
        <v/>
      </c>
      <c r="AL895">
        <f>IF($AK895=1,SUMPRODUCT(--($AO$2:$AO$1501&lt;$AO895))+1,"")</f>
        <v/>
      </c>
      <c r="AM895">
        <f>IF($D895="","",IF(OR($R895=TRUE(),$R895="TRUE"),1,0))</f>
        <v/>
      </c>
      <c r="AN895">
        <f>IF($D895="","",IF($AA895="Yes",1,0))</f>
        <v/>
      </c>
      <c r="AO895">
        <f>IF($AK895=1,IFERROR(IF(VALUE($D895)&lt;100000000,VALUE($D895),1000000000),IFERROR(IF(VALUE(MID($D895,2,20))&lt;100000000,VALUE(MID($D895,2,20)),1000000000),1000000000))+ROW()/100000,"")</f>
        <v/>
      </c>
    </row>
    <row r="896">
      <c r="F896" s="11" t="n"/>
      <c r="N896" s="7">
        <f>IF($D896="","",M896*V896/100)</f>
        <v/>
      </c>
      <c r="O896" s="7" t="n"/>
      <c r="U896" s="7" t="n"/>
      <c r="V896" s="7" t="n"/>
      <c r="W896" s="7">
        <f>IF($D896="","",V896*AB896/100)</f>
        <v/>
      </c>
      <c r="X896" s="7">
        <f>IF($D896="","",V896-W896)</f>
        <v/>
      </c>
      <c r="Y896" s="7">
        <f>IF($D896="","",X896-N896)</f>
        <v/>
      </c>
      <c r="AB896">
        <f>IF($D896="","",IF($AN896=1,0,IF($AM896=1,Settings!$C$6,Settings!$C$7))*100)</f>
        <v/>
      </c>
      <c r="AF896" s="7" t="n"/>
      <c r="AI896" s="11" t="n"/>
      <c r="AK896">
        <f>IF($D896="","",IF(COUNTIF($D$2:$D896,$D896)=1,1,0))</f>
        <v/>
      </c>
      <c r="AL896">
        <f>IF($AK896=1,SUMPRODUCT(--($AO$2:$AO$1501&lt;$AO896))+1,"")</f>
        <v/>
      </c>
      <c r="AM896">
        <f>IF($D896="","",IF(OR($R896=TRUE(),$R896="TRUE"),1,0))</f>
        <v/>
      </c>
      <c r="AN896">
        <f>IF($D896="","",IF($AA896="Yes",1,0))</f>
        <v/>
      </c>
      <c r="AO896">
        <f>IF($AK896=1,IFERROR(IF(VALUE($D896)&lt;100000000,VALUE($D896),1000000000),IFERROR(IF(VALUE(MID($D896,2,20))&lt;100000000,VALUE(MID($D896,2,20)),1000000000),1000000000))+ROW()/100000,"")</f>
        <v/>
      </c>
    </row>
    <row r="897">
      <c r="F897" s="11" t="n"/>
      <c r="N897" s="7">
        <f>IF($D897="","",M897*V897/100)</f>
        <v/>
      </c>
      <c r="O897" s="7" t="n"/>
      <c r="U897" s="7" t="n"/>
      <c r="V897" s="7" t="n"/>
      <c r="W897" s="7">
        <f>IF($D897="","",V897*AB897/100)</f>
        <v/>
      </c>
      <c r="X897" s="7">
        <f>IF($D897="","",V897-W897)</f>
        <v/>
      </c>
      <c r="Y897" s="7">
        <f>IF($D897="","",X897-N897)</f>
        <v/>
      </c>
      <c r="AB897">
        <f>IF($D897="","",IF($AN897=1,0,IF($AM897=1,Settings!$C$6,Settings!$C$7))*100)</f>
        <v/>
      </c>
      <c r="AF897" s="7" t="n"/>
      <c r="AI897" s="11" t="n"/>
      <c r="AK897">
        <f>IF($D897="","",IF(COUNTIF($D$2:$D897,$D897)=1,1,0))</f>
        <v/>
      </c>
      <c r="AL897">
        <f>IF($AK897=1,SUMPRODUCT(--($AO$2:$AO$1501&lt;$AO897))+1,"")</f>
        <v/>
      </c>
      <c r="AM897">
        <f>IF($D897="","",IF(OR($R897=TRUE(),$R897="TRUE"),1,0))</f>
        <v/>
      </c>
      <c r="AN897">
        <f>IF($D897="","",IF($AA897="Yes",1,0))</f>
        <v/>
      </c>
      <c r="AO897">
        <f>IF($AK897=1,IFERROR(IF(VALUE($D897)&lt;100000000,VALUE($D897),1000000000),IFERROR(IF(VALUE(MID($D897,2,20))&lt;100000000,VALUE(MID($D897,2,20)),1000000000),1000000000))+ROW()/100000,"")</f>
        <v/>
      </c>
    </row>
    <row r="898">
      <c r="F898" s="11" t="n"/>
      <c r="N898" s="7">
        <f>IF($D898="","",M898*V898/100)</f>
        <v/>
      </c>
      <c r="O898" s="7" t="n"/>
      <c r="U898" s="7" t="n"/>
      <c r="V898" s="7" t="n"/>
      <c r="W898" s="7">
        <f>IF($D898="","",V898*AB898/100)</f>
        <v/>
      </c>
      <c r="X898" s="7">
        <f>IF($D898="","",V898-W898)</f>
        <v/>
      </c>
      <c r="Y898" s="7">
        <f>IF($D898="","",X898-N898)</f>
        <v/>
      </c>
      <c r="AB898">
        <f>IF($D898="","",IF($AN898=1,0,IF($AM898=1,Settings!$C$6,Settings!$C$7))*100)</f>
        <v/>
      </c>
      <c r="AF898" s="7" t="n"/>
      <c r="AI898" s="11" t="n"/>
      <c r="AK898">
        <f>IF($D898="","",IF(COUNTIF($D$2:$D898,$D898)=1,1,0))</f>
        <v/>
      </c>
      <c r="AL898">
        <f>IF($AK898=1,SUMPRODUCT(--($AO$2:$AO$1501&lt;$AO898))+1,"")</f>
        <v/>
      </c>
      <c r="AM898">
        <f>IF($D898="","",IF(OR($R898=TRUE(),$R898="TRUE"),1,0))</f>
        <v/>
      </c>
      <c r="AN898">
        <f>IF($D898="","",IF($AA898="Yes",1,0))</f>
        <v/>
      </c>
      <c r="AO898">
        <f>IF($AK898=1,IFERROR(IF(VALUE($D898)&lt;100000000,VALUE($D898),1000000000),IFERROR(IF(VALUE(MID($D898,2,20))&lt;100000000,VALUE(MID($D898,2,20)),1000000000),1000000000))+ROW()/100000,"")</f>
        <v/>
      </c>
    </row>
    <row r="899">
      <c r="F899" s="11" t="n"/>
      <c r="N899" s="7">
        <f>IF($D899="","",M899*V899/100)</f>
        <v/>
      </c>
      <c r="O899" s="7" t="n"/>
      <c r="U899" s="7" t="n"/>
      <c r="V899" s="7" t="n"/>
      <c r="W899" s="7">
        <f>IF($D899="","",V899*AB899/100)</f>
        <v/>
      </c>
      <c r="X899" s="7">
        <f>IF($D899="","",V899-W899)</f>
        <v/>
      </c>
      <c r="Y899" s="7">
        <f>IF($D899="","",X899-N899)</f>
        <v/>
      </c>
      <c r="AB899">
        <f>IF($D899="","",IF($AN899=1,0,IF($AM899=1,Settings!$C$6,Settings!$C$7))*100)</f>
        <v/>
      </c>
      <c r="AF899" s="7" t="n"/>
      <c r="AI899" s="11" t="n"/>
      <c r="AK899">
        <f>IF($D899="","",IF(COUNTIF($D$2:$D899,$D899)=1,1,0))</f>
        <v/>
      </c>
      <c r="AL899">
        <f>IF($AK899=1,SUMPRODUCT(--($AO$2:$AO$1501&lt;$AO899))+1,"")</f>
        <v/>
      </c>
      <c r="AM899">
        <f>IF($D899="","",IF(OR($R899=TRUE(),$R899="TRUE"),1,0))</f>
        <v/>
      </c>
      <c r="AN899">
        <f>IF($D899="","",IF($AA899="Yes",1,0))</f>
        <v/>
      </c>
      <c r="AO899">
        <f>IF($AK899=1,IFERROR(IF(VALUE($D899)&lt;100000000,VALUE($D899),1000000000),IFERROR(IF(VALUE(MID($D899,2,20))&lt;100000000,VALUE(MID($D899,2,20)),1000000000),1000000000))+ROW()/100000,"")</f>
        <v/>
      </c>
    </row>
    <row r="900">
      <c r="F900" s="11" t="n"/>
      <c r="N900" s="7">
        <f>IF($D900="","",M900*V900/100)</f>
        <v/>
      </c>
      <c r="O900" s="7" t="n"/>
      <c r="U900" s="7" t="n"/>
      <c r="V900" s="7" t="n"/>
      <c r="W900" s="7">
        <f>IF($D900="","",V900*AB900/100)</f>
        <v/>
      </c>
      <c r="X900" s="7">
        <f>IF($D900="","",V900-W900)</f>
        <v/>
      </c>
      <c r="Y900" s="7">
        <f>IF($D900="","",X900-N900)</f>
        <v/>
      </c>
      <c r="AB900">
        <f>IF($D900="","",IF($AN900=1,0,IF($AM900=1,Settings!$C$6,Settings!$C$7))*100)</f>
        <v/>
      </c>
      <c r="AF900" s="7" t="n"/>
      <c r="AI900" s="11" t="n"/>
      <c r="AK900">
        <f>IF($D900="","",IF(COUNTIF($D$2:$D900,$D900)=1,1,0))</f>
        <v/>
      </c>
      <c r="AL900">
        <f>IF($AK900=1,SUMPRODUCT(--($AO$2:$AO$1501&lt;$AO900))+1,"")</f>
        <v/>
      </c>
      <c r="AM900">
        <f>IF($D900="","",IF(OR($R900=TRUE(),$R900="TRUE"),1,0))</f>
        <v/>
      </c>
      <c r="AN900">
        <f>IF($D900="","",IF($AA900="Yes",1,0))</f>
        <v/>
      </c>
      <c r="AO900">
        <f>IF($AK900=1,IFERROR(IF(VALUE($D900)&lt;100000000,VALUE($D900),1000000000),IFERROR(IF(VALUE(MID($D900,2,20))&lt;100000000,VALUE(MID($D900,2,20)),1000000000),1000000000))+ROW()/100000,"")</f>
        <v/>
      </c>
    </row>
    <row r="901">
      <c r="F901" s="11" t="n"/>
      <c r="N901" s="7">
        <f>IF($D901="","",M901*V901/100)</f>
        <v/>
      </c>
      <c r="O901" s="7" t="n"/>
      <c r="U901" s="7" t="n"/>
      <c r="V901" s="7" t="n"/>
      <c r="W901" s="7">
        <f>IF($D901="","",V901*AB901/100)</f>
        <v/>
      </c>
      <c r="X901" s="7">
        <f>IF($D901="","",V901-W901)</f>
        <v/>
      </c>
      <c r="Y901" s="7">
        <f>IF($D901="","",X901-N901)</f>
        <v/>
      </c>
      <c r="AB901">
        <f>IF($D901="","",IF($AN901=1,0,IF($AM901=1,Settings!$C$6,Settings!$C$7))*100)</f>
        <v/>
      </c>
      <c r="AF901" s="7" t="n"/>
      <c r="AI901" s="11" t="n"/>
      <c r="AK901">
        <f>IF($D901="","",IF(COUNTIF($D$2:$D901,$D901)=1,1,0))</f>
        <v/>
      </c>
      <c r="AL901">
        <f>IF($AK901=1,SUMPRODUCT(--($AO$2:$AO$1501&lt;$AO901))+1,"")</f>
        <v/>
      </c>
      <c r="AM901">
        <f>IF($D901="","",IF(OR($R901=TRUE(),$R901="TRUE"),1,0))</f>
        <v/>
      </c>
      <c r="AN901">
        <f>IF($D901="","",IF($AA901="Yes",1,0))</f>
        <v/>
      </c>
      <c r="AO901">
        <f>IF($AK901=1,IFERROR(IF(VALUE($D901)&lt;100000000,VALUE($D901),1000000000),IFERROR(IF(VALUE(MID($D901,2,20))&lt;100000000,VALUE(MID($D901,2,20)),1000000000),1000000000))+ROW()/100000,"")</f>
        <v/>
      </c>
    </row>
    <row r="902">
      <c r="F902" s="11" t="n"/>
      <c r="N902" s="7">
        <f>IF($D902="","",M902*V902/100)</f>
        <v/>
      </c>
      <c r="O902" s="7" t="n"/>
      <c r="U902" s="7" t="n"/>
      <c r="V902" s="7" t="n"/>
      <c r="W902" s="7">
        <f>IF($D902="","",V902*AB902/100)</f>
        <v/>
      </c>
      <c r="X902" s="7">
        <f>IF($D902="","",V902-W902)</f>
        <v/>
      </c>
      <c r="Y902" s="7">
        <f>IF($D902="","",X902-N902)</f>
        <v/>
      </c>
      <c r="AB902">
        <f>IF($D902="","",IF($AN902=1,0,IF($AM902=1,Settings!$C$6,Settings!$C$7))*100)</f>
        <v/>
      </c>
      <c r="AF902" s="7" t="n"/>
      <c r="AI902" s="11" t="n"/>
      <c r="AK902">
        <f>IF($D902="","",IF(COUNTIF($D$2:$D902,$D902)=1,1,0))</f>
        <v/>
      </c>
      <c r="AL902">
        <f>IF($AK902=1,SUMPRODUCT(--($AO$2:$AO$1501&lt;$AO902))+1,"")</f>
        <v/>
      </c>
      <c r="AM902">
        <f>IF($D902="","",IF(OR($R902=TRUE(),$R902="TRUE"),1,0))</f>
        <v/>
      </c>
      <c r="AN902">
        <f>IF($D902="","",IF($AA902="Yes",1,0))</f>
        <v/>
      </c>
      <c r="AO902">
        <f>IF($AK902=1,IFERROR(IF(VALUE($D902)&lt;100000000,VALUE($D902),1000000000),IFERROR(IF(VALUE(MID($D902,2,20))&lt;100000000,VALUE(MID($D902,2,20)),1000000000),1000000000))+ROW()/100000,"")</f>
        <v/>
      </c>
    </row>
    <row r="903">
      <c r="F903" s="11" t="n"/>
      <c r="N903" s="7">
        <f>IF($D903="","",M903*V903/100)</f>
        <v/>
      </c>
      <c r="O903" s="7" t="n"/>
      <c r="U903" s="7" t="n"/>
      <c r="V903" s="7" t="n"/>
      <c r="W903" s="7">
        <f>IF($D903="","",V903*AB903/100)</f>
        <v/>
      </c>
      <c r="X903" s="7">
        <f>IF($D903="","",V903-W903)</f>
        <v/>
      </c>
      <c r="Y903" s="7">
        <f>IF($D903="","",X903-N903)</f>
        <v/>
      </c>
      <c r="AB903">
        <f>IF($D903="","",IF($AN903=1,0,IF($AM903=1,Settings!$C$6,Settings!$C$7))*100)</f>
        <v/>
      </c>
      <c r="AF903" s="7" t="n"/>
      <c r="AI903" s="11" t="n"/>
      <c r="AK903">
        <f>IF($D903="","",IF(COUNTIF($D$2:$D903,$D903)=1,1,0))</f>
        <v/>
      </c>
      <c r="AL903">
        <f>IF($AK903=1,SUMPRODUCT(--($AO$2:$AO$1501&lt;$AO903))+1,"")</f>
        <v/>
      </c>
      <c r="AM903">
        <f>IF($D903="","",IF(OR($R903=TRUE(),$R903="TRUE"),1,0))</f>
        <v/>
      </c>
      <c r="AN903">
        <f>IF($D903="","",IF($AA903="Yes",1,0))</f>
        <v/>
      </c>
      <c r="AO903">
        <f>IF($AK903=1,IFERROR(IF(VALUE($D903)&lt;100000000,VALUE($D903),1000000000),IFERROR(IF(VALUE(MID($D903,2,20))&lt;100000000,VALUE(MID($D903,2,20)),1000000000),1000000000))+ROW()/100000,"")</f>
        <v/>
      </c>
    </row>
    <row r="904">
      <c r="F904" s="11" t="n"/>
      <c r="N904" s="7">
        <f>IF($D904="","",M904*V904/100)</f>
        <v/>
      </c>
      <c r="O904" s="7" t="n"/>
      <c r="U904" s="7" t="n"/>
      <c r="V904" s="7" t="n"/>
      <c r="W904" s="7">
        <f>IF($D904="","",V904*AB904/100)</f>
        <v/>
      </c>
      <c r="X904" s="7">
        <f>IF($D904="","",V904-W904)</f>
        <v/>
      </c>
      <c r="Y904" s="7">
        <f>IF($D904="","",X904-N904)</f>
        <v/>
      </c>
      <c r="AB904">
        <f>IF($D904="","",IF($AN904=1,0,IF($AM904=1,Settings!$C$6,Settings!$C$7))*100)</f>
        <v/>
      </c>
      <c r="AF904" s="7" t="n"/>
      <c r="AI904" s="11" t="n"/>
      <c r="AK904">
        <f>IF($D904="","",IF(COUNTIF($D$2:$D904,$D904)=1,1,0))</f>
        <v/>
      </c>
      <c r="AL904">
        <f>IF($AK904=1,SUMPRODUCT(--($AO$2:$AO$1501&lt;$AO904))+1,"")</f>
        <v/>
      </c>
      <c r="AM904">
        <f>IF($D904="","",IF(OR($R904=TRUE(),$R904="TRUE"),1,0))</f>
        <v/>
      </c>
      <c r="AN904">
        <f>IF($D904="","",IF($AA904="Yes",1,0))</f>
        <v/>
      </c>
      <c r="AO904">
        <f>IF($AK904=1,IFERROR(IF(VALUE($D904)&lt;100000000,VALUE($D904),1000000000),IFERROR(IF(VALUE(MID($D904,2,20))&lt;100000000,VALUE(MID($D904,2,20)),1000000000),1000000000))+ROW()/100000,"")</f>
        <v/>
      </c>
    </row>
    <row r="905">
      <c r="F905" s="11" t="n"/>
      <c r="N905" s="7">
        <f>IF($D905="","",M905*V905/100)</f>
        <v/>
      </c>
      <c r="O905" s="7" t="n"/>
      <c r="U905" s="7" t="n"/>
      <c r="V905" s="7" t="n"/>
      <c r="W905" s="7">
        <f>IF($D905="","",V905*AB905/100)</f>
        <v/>
      </c>
      <c r="X905" s="7">
        <f>IF($D905="","",V905-W905)</f>
        <v/>
      </c>
      <c r="Y905" s="7">
        <f>IF($D905="","",X905-N905)</f>
        <v/>
      </c>
      <c r="AB905">
        <f>IF($D905="","",IF($AN905=1,0,IF($AM905=1,Settings!$C$6,Settings!$C$7))*100)</f>
        <v/>
      </c>
      <c r="AF905" s="7" t="n"/>
      <c r="AI905" s="11" t="n"/>
      <c r="AK905">
        <f>IF($D905="","",IF(COUNTIF($D$2:$D905,$D905)=1,1,0))</f>
        <v/>
      </c>
      <c r="AL905">
        <f>IF($AK905=1,SUMPRODUCT(--($AO$2:$AO$1501&lt;$AO905))+1,"")</f>
        <v/>
      </c>
      <c r="AM905">
        <f>IF($D905="","",IF(OR($R905=TRUE(),$R905="TRUE"),1,0))</f>
        <v/>
      </c>
      <c r="AN905">
        <f>IF($D905="","",IF($AA905="Yes",1,0))</f>
        <v/>
      </c>
      <c r="AO905">
        <f>IF($AK905=1,IFERROR(IF(VALUE($D905)&lt;100000000,VALUE($D905),1000000000),IFERROR(IF(VALUE(MID($D905,2,20))&lt;100000000,VALUE(MID($D905,2,20)),1000000000),1000000000))+ROW()/100000,"")</f>
        <v/>
      </c>
    </row>
    <row r="906">
      <c r="F906" s="11" t="n"/>
      <c r="N906" s="7">
        <f>IF($D906="","",M906*V906/100)</f>
        <v/>
      </c>
      <c r="O906" s="7" t="n"/>
      <c r="U906" s="7" t="n"/>
      <c r="V906" s="7" t="n"/>
      <c r="W906" s="7">
        <f>IF($D906="","",V906*AB906/100)</f>
        <v/>
      </c>
      <c r="X906" s="7">
        <f>IF($D906="","",V906-W906)</f>
        <v/>
      </c>
      <c r="Y906" s="7">
        <f>IF($D906="","",X906-N906)</f>
        <v/>
      </c>
      <c r="AB906">
        <f>IF($D906="","",IF($AN906=1,0,IF($AM906=1,Settings!$C$6,Settings!$C$7))*100)</f>
        <v/>
      </c>
      <c r="AF906" s="7" t="n"/>
      <c r="AI906" s="11" t="n"/>
      <c r="AK906">
        <f>IF($D906="","",IF(COUNTIF($D$2:$D906,$D906)=1,1,0))</f>
        <v/>
      </c>
      <c r="AL906">
        <f>IF($AK906=1,SUMPRODUCT(--($AO$2:$AO$1501&lt;$AO906))+1,"")</f>
        <v/>
      </c>
      <c r="AM906">
        <f>IF($D906="","",IF(OR($R906=TRUE(),$R906="TRUE"),1,0))</f>
        <v/>
      </c>
      <c r="AN906">
        <f>IF($D906="","",IF($AA906="Yes",1,0))</f>
        <v/>
      </c>
      <c r="AO906">
        <f>IF($AK906=1,IFERROR(IF(VALUE($D906)&lt;100000000,VALUE($D906),1000000000),IFERROR(IF(VALUE(MID($D906,2,20))&lt;100000000,VALUE(MID($D906,2,20)),1000000000),1000000000))+ROW()/100000,"")</f>
        <v/>
      </c>
    </row>
    <row r="907">
      <c r="F907" s="11" t="n"/>
      <c r="N907" s="7">
        <f>IF($D907="","",M907*V907/100)</f>
        <v/>
      </c>
      <c r="O907" s="7" t="n"/>
      <c r="U907" s="7" t="n"/>
      <c r="V907" s="7" t="n"/>
      <c r="W907" s="7">
        <f>IF($D907="","",V907*AB907/100)</f>
        <v/>
      </c>
      <c r="X907" s="7">
        <f>IF($D907="","",V907-W907)</f>
        <v/>
      </c>
      <c r="Y907" s="7">
        <f>IF($D907="","",X907-N907)</f>
        <v/>
      </c>
      <c r="AB907">
        <f>IF($D907="","",IF($AN907=1,0,IF($AM907=1,Settings!$C$6,Settings!$C$7))*100)</f>
        <v/>
      </c>
      <c r="AF907" s="7" t="n"/>
      <c r="AI907" s="11" t="n"/>
      <c r="AK907">
        <f>IF($D907="","",IF(COUNTIF($D$2:$D907,$D907)=1,1,0))</f>
        <v/>
      </c>
      <c r="AL907">
        <f>IF($AK907=1,SUMPRODUCT(--($AO$2:$AO$1501&lt;$AO907))+1,"")</f>
        <v/>
      </c>
      <c r="AM907">
        <f>IF($D907="","",IF(OR($R907=TRUE(),$R907="TRUE"),1,0))</f>
        <v/>
      </c>
      <c r="AN907">
        <f>IF($D907="","",IF($AA907="Yes",1,0))</f>
        <v/>
      </c>
      <c r="AO907">
        <f>IF($AK907=1,IFERROR(IF(VALUE($D907)&lt;100000000,VALUE($D907),1000000000),IFERROR(IF(VALUE(MID($D907,2,20))&lt;100000000,VALUE(MID($D907,2,20)),1000000000),1000000000))+ROW()/100000,"")</f>
        <v/>
      </c>
    </row>
    <row r="908">
      <c r="F908" s="11" t="n"/>
      <c r="N908" s="7">
        <f>IF($D908="","",M908*V908/100)</f>
        <v/>
      </c>
      <c r="O908" s="7" t="n"/>
      <c r="U908" s="7" t="n"/>
      <c r="V908" s="7" t="n"/>
      <c r="W908" s="7">
        <f>IF($D908="","",V908*AB908/100)</f>
        <v/>
      </c>
      <c r="X908" s="7">
        <f>IF($D908="","",V908-W908)</f>
        <v/>
      </c>
      <c r="Y908" s="7">
        <f>IF($D908="","",X908-N908)</f>
        <v/>
      </c>
      <c r="AB908">
        <f>IF($D908="","",IF($AN908=1,0,IF($AM908=1,Settings!$C$6,Settings!$C$7))*100)</f>
        <v/>
      </c>
      <c r="AF908" s="7" t="n"/>
      <c r="AI908" s="11" t="n"/>
      <c r="AK908">
        <f>IF($D908="","",IF(COUNTIF($D$2:$D908,$D908)=1,1,0))</f>
        <v/>
      </c>
      <c r="AL908">
        <f>IF($AK908=1,SUMPRODUCT(--($AO$2:$AO$1501&lt;$AO908))+1,"")</f>
        <v/>
      </c>
      <c r="AM908">
        <f>IF($D908="","",IF(OR($R908=TRUE(),$R908="TRUE"),1,0))</f>
        <v/>
      </c>
      <c r="AN908">
        <f>IF($D908="","",IF($AA908="Yes",1,0))</f>
        <v/>
      </c>
      <c r="AO908">
        <f>IF($AK908=1,IFERROR(IF(VALUE($D908)&lt;100000000,VALUE($D908),1000000000),IFERROR(IF(VALUE(MID($D908,2,20))&lt;100000000,VALUE(MID($D908,2,20)),1000000000),1000000000))+ROW()/100000,"")</f>
        <v/>
      </c>
    </row>
    <row r="909">
      <c r="F909" s="11" t="n"/>
      <c r="N909" s="7">
        <f>IF($D909="","",M909*V909/100)</f>
        <v/>
      </c>
      <c r="O909" s="7" t="n"/>
      <c r="U909" s="7" t="n"/>
      <c r="V909" s="7" t="n"/>
      <c r="W909" s="7">
        <f>IF($D909="","",V909*AB909/100)</f>
        <v/>
      </c>
      <c r="X909" s="7">
        <f>IF($D909="","",V909-W909)</f>
        <v/>
      </c>
      <c r="Y909" s="7">
        <f>IF($D909="","",X909-N909)</f>
        <v/>
      </c>
      <c r="AB909">
        <f>IF($D909="","",IF($AN909=1,0,IF($AM909=1,Settings!$C$6,Settings!$C$7))*100)</f>
        <v/>
      </c>
      <c r="AF909" s="7" t="n"/>
      <c r="AI909" s="11" t="n"/>
      <c r="AK909">
        <f>IF($D909="","",IF(COUNTIF($D$2:$D909,$D909)=1,1,0))</f>
        <v/>
      </c>
      <c r="AL909">
        <f>IF($AK909=1,SUMPRODUCT(--($AO$2:$AO$1501&lt;$AO909))+1,"")</f>
        <v/>
      </c>
      <c r="AM909">
        <f>IF($D909="","",IF(OR($R909=TRUE(),$R909="TRUE"),1,0))</f>
        <v/>
      </c>
      <c r="AN909">
        <f>IF($D909="","",IF($AA909="Yes",1,0))</f>
        <v/>
      </c>
      <c r="AO909">
        <f>IF($AK909=1,IFERROR(IF(VALUE($D909)&lt;100000000,VALUE($D909),1000000000),IFERROR(IF(VALUE(MID($D909,2,20))&lt;100000000,VALUE(MID($D909,2,20)),1000000000),1000000000))+ROW()/100000,"")</f>
        <v/>
      </c>
    </row>
    <row r="910">
      <c r="F910" s="11" t="n"/>
      <c r="N910" s="7">
        <f>IF($D910="","",M910*V910/100)</f>
        <v/>
      </c>
      <c r="O910" s="7" t="n"/>
      <c r="U910" s="7" t="n"/>
      <c r="V910" s="7" t="n"/>
      <c r="W910" s="7">
        <f>IF($D910="","",V910*AB910/100)</f>
        <v/>
      </c>
      <c r="X910" s="7">
        <f>IF($D910="","",V910-W910)</f>
        <v/>
      </c>
      <c r="Y910" s="7">
        <f>IF($D910="","",X910-N910)</f>
        <v/>
      </c>
      <c r="AB910">
        <f>IF($D910="","",IF($AN910=1,0,IF($AM910=1,Settings!$C$6,Settings!$C$7))*100)</f>
        <v/>
      </c>
      <c r="AF910" s="7" t="n"/>
      <c r="AI910" s="11" t="n"/>
      <c r="AK910">
        <f>IF($D910="","",IF(COUNTIF($D$2:$D910,$D910)=1,1,0))</f>
        <v/>
      </c>
      <c r="AL910">
        <f>IF($AK910=1,SUMPRODUCT(--($AO$2:$AO$1501&lt;$AO910))+1,"")</f>
        <v/>
      </c>
      <c r="AM910">
        <f>IF($D910="","",IF(OR($R910=TRUE(),$R910="TRUE"),1,0))</f>
        <v/>
      </c>
      <c r="AN910">
        <f>IF($D910="","",IF($AA910="Yes",1,0))</f>
        <v/>
      </c>
      <c r="AO910">
        <f>IF($AK910=1,IFERROR(IF(VALUE($D910)&lt;100000000,VALUE($D910),1000000000),IFERROR(IF(VALUE(MID($D910,2,20))&lt;100000000,VALUE(MID($D910,2,20)),1000000000),1000000000))+ROW()/100000,"")</f>
        <v/>
      </c>
    </row>
    <row r="911">
      <c r="F911" s="11" t="n"/>
      <c r="N911" s="7">
        <f>IF($D911="","",M911*V911/100)</f>
        <v/>
      </c>
      <c r="O911" s="7" t="n"/>
      <c r="U911" s="7" t="n"/>
      <c r="V911" s="7" t="n"/>
      <c r="W911" s="7">
        <f>IF($D911="","",V911*AB911/100)</f>
        <v/>
      </c>
      <c r="X911" s="7">
        <f>IF($D911="","",V911-W911)</f>
        <v/>
      </c>
      <c r="Y911" s="7">
        <f>IF($D911="","",X911-N911)</f>
        <v/>
      </c>
      <c r="AB911">
        <f>IF($D911="","",IF($AN911=1,0,IF($AM911=1,Settings!$C$6,Settings!$C$7))*100)</f>
        <v/>
      </c>
      <c r="AF911" s="7" t="n"/>
      <c r="AI911" s="11" t="n"/>
      <c r="AK911">
        <f>IF($D911="","",IF(COUNTIF($D$2:$D911,$D911)=1,1,0))</f>
        <v/>
      </c>
      <c r="AL911">
        <f>IF($AK911=1,SUMPRODUCT(--($AO$2:$AO$1501&lt;$AO911))+1,"")</f>
        <v/>
      </c>
      <c r="AM911">
        <f>IF($D911="","",IF(OR($R911=TRUE(),$R911="TRUE"),1,0))</f>
        <v/>
      </c>
      <c r="AN911">
        <f>IF($D911="","",IF($AA911="Yes",1,0))</f>
        <v/>
      </c>
      <c r="AO911">
        <f>IF($AK911=1,IFERROR(IF(VALUE($D911)&lt;100000000,VALUE($D911),1000000000),IFERROR(IF(VALUE(MID($D911,2,20))&lt;100000000,VALUE(MID($D911,2,20)),1000000000),1000000000))+ROW()/100000,"")</f>
        <v/>
      </c>
    </row>
    <row r="912">
      <c r="F912" s="11" t="n"/>
      <c r="N912" s="7">
        <f>IF($D912="","",M912*V912/100)</f>
        <v/>
      </c>
      <c r="O912" s="7" t="n"/>
      <c r="U912" s="7" t="n"/>
      <c r="V912" s="7" t="n"/>
      <c r="W912" s="7">
        <f>IF($D912="","",V912*AB912/100)</f>
        <v/>
      </c>
      <c r="X912" s="7">
        <f>IF($D912="","",V912-W912)</f>
        <v/>
      </c>
      <c r="Y912" s="7">
        <f>IF($D912="","",X912-N912)</f>
        <v/>
      </c>
      <c r="AB912">
        <f>IF($D912="","",IF($AN912=1,0,IF($AM912=1,Settings!$C$6,Settings!$C$7))*100)</f>
        <v/>
      </c>
      <c r="AF912" s="7" t="n"/>
      <c r="AI912" s="11" t="n"/>
      <c r="AK912">
        <f>IF($D912="","",IF(COUNTIF($D$2:$D912,$D912)=1,1,0))</f>
        <v/>
      </c>
      <c r="AL912">
        <f>IF($AK912=1,SUMPRODUCT(--($AO$2:$AO$1501&lt;$AO912))+1,"")</f>
        <v/>
      </c>
      <c r="AM912">
        <f>IF($D912="","",IF(OR($R912=TRUE(),$R912="TRUE"),1,0))</f>
        <v/>
      </c>
      <c r="AN912">
        <f>IF($D912="","",IF($AA912="Yes",1,0))</f>
        <v/>
      </c>
      <c r="AO912">
        <f>IF($AK912=1,IFERROR(IF(VALUE($D912)&lt;100000000,VALUE($D912),1000000000),IFERROR(IF(VALUE(MID($D912,2,20))&lt;100000000,VALUE(MID($D912,2,20)),1000000000),1000000000))+ROW()/100000,"")</f>
        <v/>
      </c>
    </row>
    <row r="913">
      <c r="F913" s="11" t="n"/>
      <c r="N913" s="7">
        <f>IF($D913="","",M913*V913/100)</f>
        <v/>
      </c>
      <c r="O913" s="7" t="n"/>
      <c r="U913" s="7" t="n"/>
      <c r="V913" s="7" t="n"/>
      <c r="W913" s="7">
        <f>IF($D913="","",V913*AB913/100)</f>
        <v/>
      </c>
      <c r="X913" s="7">
        <f>IF($D913="","",V913-W913)</f>
        <v/>
      </c>
      <c r="Y913" s="7">
        <f>IF($D913="","",X913-N913)</f>
        <v/>
      </c>
      <c r="AB913">
        <f>IF($D913="","",IF($AN913=1,0,IF($AM913=1,Settings!$C$6,Settings!$C$7))*100)</f>
        <v/>
      </c>
      <c r="AF913" s="7" t="n"/>
      <c r="AI913" s="11" t="n"/>
      <c r="AK913">
        <f>IF($D913="","",IF(COUNTIF($D$2:$D913,$D913)=1,1,0))</f>
        <v/>
      </c>
      <c r="AL913">
        <f>IF($AK913=1,SUMPRODUCT(--($AO$2:$AO$1501&lt;$AO913))+1,"")</f>
        <v/>
      </c>
      <c r="AM913">
        <f>IF($D913="","",IF(OR($R913=TRUE(),$R913="TRUE"),1,0))</f>
        <v/>
      </c>
      <c r="AN913">
        <f>IF($D913="","",IF($AA913="Yes",1,0))</f>
        <v/>
      </c>
      <c r="AO913">
        <f>IF($AK913=1,IFERROR(IF(VALUE($D913)&lt;100000000,VALUE($D913),1000000000),IFERROR(IF(VALUE(MID($D913,2,20))&lt;100000000,VALUE(MID($D913,2,20)),1000000000),1000000000))+ROW()/100000,"")</f>
        <v/>
      </c>
    </row>
    <row r="914">
      <c r="F914" s="11" t="n"/>
      <c r="N914" s="7">
        <f>IF($D914="","",M914*V914/100)</f>
        <v/>
      </c>
      <c r="O914" s="7" t="n"/>
      <c r="U914" s="7" t="n"/>
      <c r="V914" s="7" t="n"/>
      <c r="W914" s="7">
        <f>IF($D914="","",V914*AB914/100)</f>
        <v/>
      </c>
      <c r="X914" s="7">
        <f>IF($D914="","",V914-W914)</f>
        <v/>
      </c>
      <c r="Y914" s="7">
        <f>IF($D914="","",X914-N914)</f>
        <v/>
      </c>
      <c r="AB914">
        <f>IF($D914="","",IF($AN914=1,0,IF($AM914=1,Settings!$C$6,Settings!$C$7))*100)</f>
        <v/>
      </c>
      <c r="AF914" s="7" t="n"/>
      <c r="AI914" s="11" t="n"/>
      <c r="AK914">
        <f>IF($D914="","",IF(COUNTIF($D$2:$D914,$D914)=1,1,0))</f>
        <v/>
      </c>
      <c r="AL914">
        <f>IF($AK914=1,SUMPRODUCT(--($AO$2:$AO$1501&lt;$AO914))+1,"")</f>
        <v/>
      </c>
      <c r="AM914">
        <f>IF($D914="","",IF(OR($R914=TRUE(),$R914="TRUE"),1,0))</f>
        <v/>
      </c>
      <c r="AN914">
        <f>IF($D914="","",IF($AA914="Yes",1,0))</f>
        <v/>
      </c>
      <c r="AO914">
        <f>IF($AK914=1,IFERROR(IF(VALUE($D914)&lt;100000000,VALUE($D914),1000000000),IFERROR(IF(VALUE(MID($D914,2,20))&lt;100000000,VALUE(MID($D914,2,20)),1000000000),1000000000))+ROW()/100000,"")</f>
        <v/>
      </c>
    </row>
    <row r="915">
      <c r="F915" s="11" t="n"/>
      <c r="N915" s="7">
        <f>IF($D915="","",M915*V915/100)</f>
        <v/>
      </c>
      <c r="O915" s="7" t="n"/>
      <c r="U915" s="7" t="n"/>
      <c r="V915" s="7" t="n"/>
      <c r="W915" s="7">
        <f>IF($D915="","",V915*AB915/100)</f>
        <v/>
      </c>
      <c r="X915" s="7">
        <f>IF($D915="","",V915-W915)</f>
        <v/>
      </c>
      <c r="Y915" s="7">
        <f>IF($D915="","",X915-N915)</f>
        <v/>
      </c>
      <c r="AB915">
        <f>IF($D915="","",IF($AN915=1,0,IF($AM915=1,Settings!$C$6,Settings!$C$7))*100)</f>
        <v/>
      </c>
      <c r="AF915" s="7" t="n"/>
      <c r="AI915" s="11" t="n"/>
      <c r="AK915">
        <f>IF($D915="","",IF(COUNTIF($D$2:$D915,$D915)=1,1,0))</f>
        <v/>
      </c>
      <c r="AL915">
        <f>IF($AK915=1,SUMPRODUCT(--($AO$2:$AO$1501&lt;$AO915))+1,"")</f>
        <v/>
      </c>
      <c r="AM915">
        <f>IF($D915="","",IF(OR($R915=TRUE(),$R915="TRUE"),1,0))</f>
        <v/>
      </c>
      <c r="AN915">
        <f>IF($D915="","",IF($AA915="Yes",1,0))</f>
        <v/>
      </c>
      <c r="AO915">
        <f>IF($AK915=1,IFERROR(IF(VALUE($D915)&lt;100000000,VALUE($D915),1000000000),IFERROR(IF(VALUE(MID($D915,2,20))&lt;100000000,VALUE(MID($D915,2,20)),1000000000),1000000000))+ROW()/100000,"")</f>
        <v/>
      </c>
    </row>
    <row r="916">
      <c r="F916" s="11" t="n"/>
      <c r="N916" s="7">
        <f>IF($D916="","",M916*V916/100)</f>
        <v/>
      </c>
      <c r="O916" s="7" t="n"/>
      <c r="U916" s="7" t="n"/>
      <c r="V916" s="7" t="n"/>
      <c r="W916" s="7">
        <f>IF($D916="","",V916*AB916/100)</f>
        <v/>
      </c>
      <c r="X916" s="7">
        <f>IF($D916="","",V916-W916)</f>
        <v/>
      </c>
      <c r="Y916" s="7">
        <f>IF($D916="","",X916-N916)</f>
        <v/>
      </c>
      <c r="AB916">
        <f>IF($D916="","",IF($AN916=1,0,IF($AM916=1,Settings!$C$6,Settings!$C$7))*100)</f>
        <v/>
      </c>
      <c r="AF916" s="7" t="n"/>
      <c r="AI916" s="11" t="n"/>
      <c r="AK916">
        <f>IF($D916="","",IF(COUNTIF($D$2:$D916,$D916)=1,1,0))</f>
        <v/>
      </c>
      <c r="AL916">
        <f>IF($AK916=1,SUMPRODUCT(--($AO$2:$AO$1501&lt;$AO916))+1,"")</f>
        <v/>
      </c>
      <c r="AM916">
        <f>IF($D916="","",IF(OR($R916=TRUE(),$R916="TRUE"),1,0))</f>
        <v/>
      </c>
      <c r="AN916">
        <f>IF($D916="","",IF($AA916="Yes",1,0))</f>
        <v/>
      </c>
      <c r="AO916">
        <f>IF($AK916=1,IFERROR(IF(VALUE($D916)&lt;100000000,VALUE($D916),1000000000),IFERROR(IF(VALUE(MID($D916,2,20))&lt;100000000,VALUE(MID($D916,2,20)),1000000000),1000000000))+ROW()/100000,"")</f>
        <v/>
      </c>
    </row>
    <row r="917">
      <c r="F917" s="11" t="n"/>
      <c r="N917" s="7">
        <f>IF($D917="","",M917*V917/100)</f>
        <v/>
      </c>
      <c r="O917" s="7" t="n"/>
      <c r="U917" s="7" t="n"/>
      <c r="V917" s="7" t="n"/>
      <c r="W917" s="7">
        <f>IF($D917="","",V917*AB917/100)</f>
        <v/>
      </c>
      <c r="X917" s="7">
        <f>IF($D917="","",V917-W917)</f>
        <v/>
      </c>
      <c r="Y917" s="7">
        <f>IF($D917="","",X917-N917)</f>
        <v/>
      </c>
      <c r="AB917">
        <f>IF($D917="","",IF($AN917=1,0,IF($AM917=1,Settings!$C$6,Settings!$C$7))*100)</f>
        <v/>
      </c>
      <c r="AF917" s="7" t="n"/>
      <c r="AI917" s="11" t="n"/>
      <c r="AK917">
        <f>IF($D917="","",IF(COUNTIF($D$2:$D917,$D917)=1,1,0))</f>
        <v/>
      </c>
      <c r="AL917">
        <f>IF($AK917=1,SUMPRODUCT(--($AO$2:$AO$1501&lt;$AO917))+1,"")</f>
        <v/>
      </c>
      <c r="AM917">
        <f>IF($D917="","",IF(OR($R917=TRUE(),$R917="TRUE"),1,0))</f>
        <v/>
      </c>
      <c r="AN917">
        <f>IF($D917="","",IF($AA917="Yes",1,0))</f>
        <v/>
      </c>
      <c r="AO917">
        <f>IF($AK917=1,IFERROR(IF(VALUE($D917)&lt;100000000,VALUE($D917),1000000000),IFERROR(IF(VALUE(MID($D917,2,20))&lt;100000000,VALUE(MID($D917,2,20)),1000000000),1000000000))+ROW()/100000,"")</f>
        <v/>
      </c>
    </row>
    <row r="918">
      <c r="F918" s="11" t="n"/>
      <c r="N918" s="7">
        <f>IF($D918="","",M918*V918/100)</f>
        <v/>
      </c>
      <c r="O918" s="7" t="n"/>
      <c r="U918" s="7" t="n"/>
      <c r="V918" s="7" t="n"/>
      <c r="W918" s="7">
        <f>IF($D918="","",V918*AB918/100)</f>
        <v/>
      </c>
      <c r="X918" s="7">
        <f>IF($D918="","",V918-W918)</f>
        <v/>
      </c>
      <c r="Y918" s="7">
        <f>IF($D918="","",X918-N918)</f>
        <v/>
      </c>
      <c r="AB918">
        <f>IF($D918="","",IF($AN918=1,0,IF($AM918=1,Settings!$C$6,Settings!$C$7))*100)</f>
        <v/>
      </c>
      <c r="AF918" s="7" t="n"/>
      <c r="AI918" s="11" t="n"/>
      <c r="AK918">
        <f>IF($D918="","",IF(COUNTIF($D$2:$D918,$D918)=1,1,0))</f>
        <v/>
      </c>
      <c r="AL918">
        <f>IF($AK918=1,SUMPRODUCT(--($AO$2:$AO$1501&lt;$AO918))+1,"")</f>
        <v/>
      </c>
      <c r="AM918">
        <f>IF($D918="","",IF(OR($R918=TRUE(),$R918="TRUE"),1,0))</f>
        <v/>
      </c>
      <c r="AN918">
        <f>IF($D918="","",IF($AA918="Yes",1,0))</f>
        <v/>
      </c>
      <c r="AO918">
        <f>IF($AK918=1,IFERROR(IF(VALUE($D918)&lt;100000000,VALUE($D918),1000000000),IFERROR(IF(VALUE(MID($D918,2,20))&lt;100000000,VALUE(MID($D918,2,20)),1000000000),1000000000))+ROW()/100000,"")</f>
        <v/>
      </c>
    </row>
    <row r="919">
      <c r="F919" s="11" t="n"/>
      <c r="N919" s="7">
        <f>IF($D919="","",M919*V919/100)</f>
        <v/>
      </c>
      <c r="O919" s="7" t="n"/>
      <c r="U919" s="7" t="n"/>
      <c r="V919" s="7" t="n"/>
      <c r="W919" s="7">
        <f>IF($D919="","",V919*AB919/100)</f>
        <v/>
      </c>
      <c r="X919" s="7">
        <f>IF($D919="","",V919-W919)</f>
        <v/>
      </c>
      <c r="Y919" s="7">
        <f>IF($D919="","",X919-N919)</f>
        <v/>
      </c>
      <c r="AB919">
        <f>IF($D919="","",IF($AN919=1,0,IF($AM919=1,Settings!$C$6,Settings!$C$7))*100)</f>
        <v/>
      </c>
      <c r="AF919" s="7" t="n"/>
      <c r="AI919" s="11" t="n"/>
      <c r="AK919">
        <f>IF($D919="","",IF(COUNTIF($D$2:$D919,$D919)=1,1,0))</f>
        <v/>
      </c>
      <c r="AL919">
        <f>IF($AK919=1,SUMPRODUCT(--($AO$2:$AO$1501&lt;$AO919))+1,"")</f>
        <v/>
      </c>
      <c r="AM919">
        <f>IF($D919="","",IF(OR($R919=TRUE(),$R919="TRUE"),1,0))</f>
        <v/>
      </c>
      <c r="AN919">
        <f>IF($D919="","",IF($AA919="Yes",1,0))</f>
        <v/>
      </c>
      <c r="AO919">
        <f>IF($AK919=1,IFERROR(IF(VALUE($D919)&lt;100000000,VALUE($D919),1000000000),IFERROR(IF(VALUE(MID($D919,2,20))&lt;100000000,VALUE(MID($D919,2,20)),1000000000),1000000000))+ROW()/100000,"")</f>
        <v/>
      </c>
    </row>
    <row r="920">
      <c r="F920" s="11" t="n"/>
      <c r="N920" s="7">
        <f>IF($D920="","",M920*V920/100)</f>
        <v/>
      </c>
      <c r="O920" s="7" t="n"/>
      <c r="U920" s="7" t="n"/>
      <c r="V920" s="7" t="n"/>
      <c r="W920" s="7">
        <f>IF($D920="","",V920*AB920/100)</f>
        <v/>
      </c>
      <c r="X920" s="7">
        <f>IF($D920="","",V920-W920)</f>
        <v/>
      </c>
      <c r="Y920" s="7">
        <f>IF($D920="","",X920-N920)</f>
        <v/>
      </c>
      <c r="AB920">
        <f>IF($D920="","",IF($AN920=1,0,IF($AM920=1,Settings!$C$6,Settings!$C$7))*100)</f>
        <v/>
      </c>
      <c r="AF920" s="7" t="n"/>
      <c r="AI920" s="11" t="n"/>
      <c r="AK920">
        <f>IF($D920="","",IF(COUNTIF($D$2:$D920,$D920)=1,1,0))</f>
        <v/>
      </c>
      <c r="AL920">
        <f>IF($AK920=1,SUMPRODUCT(--($AO$2:$AO$1501&lt;$AO920))+1,"")</f>
        <v/>
      </c>
      <c r="AM920">
        <f>IF($D920="","",IF(OR($R920=TRUE(),$R920="TRUE"),1,0))</f>
        <v/>
      </c>
      <c r="AN920">
        <f>IF($D920="","",IF($AA920="Yes",1,0))</f>
        <v/>
      </c>
      <c r="AO920">
        <f>IF($AK920=1,IFERROR(IF(VALUE($D920)&lt;100000000,VALUE($D920),1000000000),IFERROR(IF(VALUE(MID($D920,2,20))&lt;100000000,VALUE(MID($D920,2,20)),1000000000),1000000000))+ROW()/100000,"")</f>
        <v/>
      </c>
    </row>
    <row r="921">
      <c r="F921" s="11" t="n"/>
      <c r="N921" s="7">
        <f>IF($D921="","",M921*V921/100)</f>
        <v/>
      </c>
      <c r="O921" s="7" t="n"/>
      <c r="U921" s="7" t="n"/>
      <c r="V921" s="7" t="n"/>
      <c r="W921" s="7">
        <f>IF($D921="","",V921*AB921/100)</f>
        <v/>
      </c>
      <c r="X921" s="7">
        <f>IF($D921="","",V921-W921)</f>
        <v/>
      </c>
      <c r="Y921" s="7">
        <f>IF($D921="","",X921-N921)</f>
        <v/>
      </c>
      <c r="AB921">
        <f>IF($D921="","",IF($AN921=1,0,IF($AM921=1,Settings!$C$6,Settings!$C$7))*100)</f>
        <v/>
      </c>
      <c r="AF921" s="7" t="n"/>
      <c r="AI921" s="11" t="n"/>
      <c r="AK921">
        <f>IF($D921="","",IF(COUNTIF($D$2:$D921,$D921)=1,1,0))</f>
        <v/>
      </c>
      <c r="AL921">
        <f>IF($AK921=1,SUMPRODUCT(--($AO$2:$AO$1501&lt;$AO921))+1,"")</f>
        <v/>
      </c>
      <c r="AM921">
        <f>IF($D921="","",IF(OR($R921=TRUE(),$R921="TRUE"),1,0))</f>
        <v/>
      </c>
      <c r="AN921">
        <f>IF($D921="","",IF($AA921="Yes",1,0))</f>
        <v/>
      </c>
      <c r="AO921">
        <f>IF($AK921=1,IFERROR(IF(VALUE($D921)&lt;100000000,VALUE($D921),1000000000),IFERROR(IF(VALUE(MID($D921,2,20))&lt;100000000,VALUE(MID($D921,2,20)),1000000000),1000000000))+ROW()/100000,"")</f>
        <v/>
      </c>
    </row>
    <row r="922">
      <c r="F922" s="11" t="n"/>
      <c r="N922" s="7">
        <f>IF($D922="","",M922*V922/100)</f>
        <v/>
      </c>
      <c r="O922" s="7" t="n"/>
      <c r="U922" s="7" t="n"/>
      <c r="V922" s="7" t="n"/>
      <c r="W922" s="7">
        <f>IF($D922="","",V922*AB922/100)</f>
        <v/>
      </c>
      <c r="X922" s="7">
        <f>IF($D922="","",V922-W922)</f>
        <v/>
      </c>
      <c r="Y922" s="7">
        <f>IF($D922="","",X922-N922)</f>
        <v/>
      </c>
      <c r="AB922">
        <f>IF($D922="","",IF($AN922=1,0,IF($AM922=1,Settings!$C$6,Settings!$C$7))*100)</f>
        <v/>
      </c>
      <c r="AF922" s="7" t="n"/>
      <c r="AI922" s="11" t="n"/>
      <c r="AK922">
        <f>IF($D922="","",IF(COUNTIF($D$2:$D922,$D922)=1,1,0))</f>
        <v/>
      </c>
      <c r="AL922">
        <f>IF($AK922=1,SUMPRODUCT(--($AO$2:$AO$1501&lt;$AO922))+1,"")</f>
        <v/>
      </c>
      <c r="AM922">
        <f>IF($D922="","",IF(OR($R922=TRUE(),$R922="TRUE"),1,0))</f>
        <v/>
      </c>
      <c r="AN922">
        <f>IF($D922="","",IF($AA922="Yes",1,0))</f>
        <v/>
      </c>
      <c r="AO922">
        <f>IF($AK922=1,IFERROR(IF(VALUE($D922)&lt;100000000,VALUE($D922),1000000000),IFERROR(IF(VALUE(MID($D922,2,20))&lt;100000000,VALUE(MID($D922,2,20)),1000000000),1000000000))+ROW()/100000,"")</f>
        <v/>
      </c>
    </row>
    <row r="923">
      <c r="F923" s="11" t="n"/>
      <c r="N923" s="7">
        <f>IF($D923="","",M923*V923/100)</f>
        <v/>
      </c>
      <c r="O923" s="7" t="n"/>
      <c r="U923" s="7" t="n"/>
      <c r="V923" s="7" t="n"/>
      <c r="W923" s="7">
        <f>IF($D923="","",V923*AB923/100)</f>
        <v/>
      </c>
      <c r="X923" s="7">
        <f>IF($D923="","",V923-W923)</f>
        <v/>
      </c>
      <c r="Y923" s="7">
        <f>IF($D923="","",X923-N923)</f>
        <v/>
      </c>
      <c r="AB923">
        <f>IF($D923="","",IF($AN923=1,0,IF($AM923=1,Settings!$C$6,Settings!$C$7))*100)</f>
        <v/>
      </c>
      <c r="AF923" s="7" t="n"/>
      <c r="AI923" s="11" t="n"/>
      <c r="AK923">
        <f>IF($D923="","",IF(COUNTIF($D$2:$D923,$D923)=1,1,0))</f>
        <v/>
      </c>
      <c r="AL923">
        <f>IF($AK923=1,SUMPRODUCT(--($AO$2:$AO$1501&lt;$AO923))+1,"")</f>
        <v/>
      </c>
      <c r="AM923">
        <f>IF($D923="","",IF(OR($R923=TRUE(),$R923="TRUE"),1,0))</f>
        <v/>
      </c>
      <c r="AN923">
        <f>IF($D923="","",IF($AA923="Yes",1,0))</f>
        <v/>
      </c>
      <c r="AO923">
        <f>IF($AK923=1,IFERROR(IF(VALUE($D923)&lt;100000000,VALUE($D923),1000000000),IFERROR(IF(VALUE(MID($D923,2,20))&lt;100000000,VALUE(MID($D923,2,20)),1000000000),1000000000))+ROW()/100000,"")</f>
        <v/>
      </c>
    </row>
    <row r="924">
      <c r="F924" s="11" t="n"/>
      <c r="N924" s="7">
        <f>IF($D924="","",M924*V924/100)</f>
        <v/>
      </c>
      <c r="O924" s="7" t="n"/>
      <c r="U924" s="7" t="n"/>
      <c r="V924" s="7" t="n"/>
      <c r="W924" s="7">
        <f>IF($D924="","",V924*AB924/100)</f>
        <v/>
      </c>
      <c r="X924" s="7">
        <f>IF($D924="","",V924-W924)</f>
        <v/>
      </c>
      <c r="Y924" s="7">
        <f>IF($D924="","",X924-N924)</f>
        <v/>
      </c>
      <c r="AB924">
        <f>IF($D924="","",IF($AN924=1,0,IF($AM924=1,Settings!$C$6,Settings!$C$7))*100)</f>
        <v/>
      </c>
      <c r="AF924" s="7" t="n"/>
      <c r="AI924" s="11" t="n"/>
      <c r="AK924">
        <f>IF($D924="","",IF(COUNTIF($D$2:$D924,$D924)=1,1,0))</f>
        <v/>
      </c>
      <c r="AL924">
        <f>IF($AK924=1,SUMPRODUCT(--($AO$2:$AO$1501&lt;$AO924))+1,"")</f>
        <v/>
      </c>
      <c r="AM924">
        <f>IF($D924="","",IF(OR($R924=TRUE(),$R924="TRUE"),1,0))</f>
        <v/>
      </c>
      <c r="AN924">
        <f>IF($D924="","",IF($AA924="Yes",1,0))</f>
        <v/>
      </c>
      <c r="AO924">
        <f>IF($AK924=1,IFERROR(IF(VALUE($D924)&lt;100000000,VALUE($D924),1000000000),IFERROR(IF(VALUE(MID($D924,2,20))&lt;100000000,VALUE(MID($D924,2,20)),1000000000),1000000000))+ROW()/100000,"")</f>
        <v/>
      </c>
    </row>
    <row r="925">
      <c r="F925" s="11" t="n"/>
      <c r="N925" s="7">
        <f>IF($D925="","",M925*V925/100)</f>
        <v/>
      </c>
      <c r="O925" s="7" t="n"/>
      <c r="U925" s="7" t="n"/>
      <c r="V925" s="7" t="n"/>
      <c r="W925" s="7">
        <f>IF($D925="","",V925*AB925/100)</f>
        <v/>
      </c>
      <c r="X925" s="7">
        <f>IF($D925="","",V925-W925)</f>
        <v/>
      </c>
      <c r="Y925" s="7">
        <f>IF($D925="","",X925-N925)</f>
        <v/>
      </c>
      <c r="AB925">
        <f>IF($D925="","",IF($AN925=1,0,IF($AM925=1,Settings!$C$6,Settings!$C$7))*100)</f>
        <v/>
      </c>
      <c r="AF925" s="7" t="n"/>
      <c r="AI925" s="11" t="n"/>
      <c r="AK925">
        <f>IF($D925="","",IF(COUNTIF($D$2:$D925,$D925)=1,1,0))</f>
        <v/>
      </c>
      <c r="AL925">
        <f>IF($AK925=1,SUMPRODUCT(--($AO$2:$AO$1501&lt;$AO925))+1,"")</f>
        <v/>
      </c>
      <c r="AM925">
        <f>IF($D925="","",IF(OR($R925=TRUE(),$R925="TRUE"),1,0))</f>
        <v/>
      </c>
      <c r="AN925">
        <f>IF($D925="","",IF($AA925="Yes",1,0))</f>
        <v/>
      </c>
      <c r="AO925">
        <f>IF($AK925=1,IFERROR(IF(VALUE($D925)&lt;100000000,VALUE($D925),1000000000),IFERROR(IF(VALUE(MID($D925,2,20))&lt;100000000,VALUE(MID($D925,2,20)),1000000000),1000000000))+ROW()/100000,"")</f>
        <v/>
      </c>
    </row>
    <row r="926">
      <c r="F926" s="11" t="n"/>
      <c r="N926" s="7">
        <f>IF($D926="","",M926*V926/100)</f>
        <v/>
      </c>
      <c r="O926" s="7" t="n"/>
      <c r="U926" s="7" t="n"/>
      <c r="V926" s="7" t="n"/>
      <c r="W926" s="7">
        <f>IF($D926="","",V926*AB926/100)</f>
        <v/>
      </c>
      <c r="X926" s="7">
        <f>IF($D926="","",V926-W926)</f>
        <v/>
      </c>
      <c r="Y926" s="7">
        <f>IF($D926="","",X926-N926)</f>
        <v/>
      </c>
      <c r="AB926">
        <f>IF($D926="","",IF($AN926=1,0,IF($AM926=1,Settings!$C$6,Settings!$C$7))*100)</f>
        <v/>
      </c>
      <c r="AF926" s="7" t="n"/>
      <c r="AI926" s="11" t="n"/>
      <c r="AK926">
        <f>IF($D926="","",IF(COUNTIF($D$2:$D926,$D926)=1,1,0))</f>
        <v/>
      </c>
      <c r="AL926">
        <f>IF($AK926=1,SUMPRODUCT(--($AO$2:$AO$1501&lt;$AO926))+1,"")</f>
        <v/>
      </c>
      <c r="AM926">
        <f>IF($D926="","",IF(OR($R926=TRUE(),$R926="TRUE"),1,0))</f>
        <v/>
      </c>
      <c r="AN926">
        <f>IF($D926="","",IF($AA926="Yes",1,0))</f>
        <v/>
      </c>
      <c r="AO926">
        <f>IF($AK926=1,IFERROR(IF(VALUE($D926)&lt;100000000,VALUE($D926),1000000000),IFERROR(IF(VALUE(MID($D926,2,20))&lt;100000000,VALUE(MID($D926,2,20)),1000000000),1000000000))+ROW()/100000,"")</f>
        <v/>
      </c>
    </row>
    <row r="927">
      <c r="F927" s="11" t="n"/>
      <c r="N927" s="7">
        <f>IF($D927="","",M927*V927/100)</f>
        <v/>
      </c>
      <c r="O927" s="7" t="n"/>
      <c r="U927" s="7" t="n"/>
      <c r="V927" s="7" t="n"/>
      <c r="W927" s="7">
        <f>IF($D927="","",V927*AB927/100)</f>
        <v/>
      </c>
      <c r="X927" s="7">
        <f>IF($D927="","",V927-W927)</f>
        <v/>
      </c>
      <c r="Y927" s="7">
        <f>IF($D927="","",X927-N927)</f>
        <v/>
      </c>
      <c r="AB927">
        <f>IF($D927="","",IF($AN927=1,0,IF($AM927=1,Settings!$C$6,Settings!$C$7))*100)</f>
        <v/>
      </c>
      <c r="AF927" s="7" t="n"/>
      <c r="AI927" s="11" t="n"/>
      <c r="AK927">
        <f>IF($D927="","",IF(COUNTIF($D$2:$D927,$D927)=1,1,0))</f>
        <v/>
      </c>
      <c r="AL927">
        <f>IF($AK927=1,SUMPRODUCT(--($AO$2:$AO$1501&lt;$AO927))+1,"")</f>
        <v/>
      </c>
      <c r="AM927">
        <f>IF($D927="","",IF(OR($R927=TRUE(),$R927="TRUE"),1,0))</f>
        <v/>
      </c>
      <c r="AN927">
        <f>IF($D927="","",IF($AA927="Yes",1,0))</f>
        <v/>
      </c>
      <c r="AO927">
        <f>IF($AK927=1,IFERROR(IF(VALUE($D927)&lt;100000000,VALUE($D927),1000000000),IFERROR(IF(VALUE(MID($D927,2,20))&lt;100000000,VALUE(MID($D927,2,20)),1000000000),1000000000))+ROW()/100000,"")</f>
        <v/>
      </c>
    </row>
    <row r="928">
      <c r="F928" s="11" t="n"/>
      <c r="N928" s="7">
        <f>IF($D928="","",M928*V928/100)</f>
        <v/>
      </c>
      <c r="O928" s="7" t="n"/>
      <c r="U928" s="7" t="n"/>
      <c r="V928" s="7" t="n"/>
      <c r="W928" s="7">
        <f>IF($D928="","",V928*AB928/100)</f>
        <v/>
      </c>
      <c r="X928" s="7">
        <f>IF($D928="","",V928-W928)</f>
        <v/>
      </c>
      <c r="Y928" s="7">
        <f>IF($D928="","",X928-N928)</f>
        <v/>
      </c>
      <c r="AB928">
        <f>IF($D928="","",IF($AN928=1,0,IF($AM928=1,Settings!$C$6,Settings!$C$7))*100)</f>
        <v/>
      </c>
      <c r="AF928" s="7" t="n"/>
      <c r="AI928" s="11" t="n"/>
      <c r="AK928">
        <f>IF($D928="","",IF(COUNTIF($D$2:$D928,$D928)=1,1,0))</f>
        <v/>
      </c>
      <c r="AL928">
        <f>IF($AK928=1,SUMPRODUCT(--($AO$2:$AO$1501&lt;$AO928))+1,"")</f>
        <v/>
      </c>
      <c r="AM928">
        <f>IF($D928="","",IF(OR($R928=TRUE(),$R928="TRUE"),1,0))</f>
        <v/>
      </c>
      <c r="AN928">
        <f>IF($D928="","",IF($AA928="Yes",1,0))</f>
        <v/>
      </c>
      <c r="AO928">
        <f>IF($AK928=1,IFERROR(IF(VALUE($D928)&lt;100000000,VALUE($D928),1000000000),IFERROR(IF(VALUE(MID($D928,2,20))&lt;100000000,VALUE(MID($D928,2,20)),1000000000),1000000000))+ROW()/100000,"")</f>
        <v/>
      </c>
    </row>
    <row r="929">
      <c r="F929" s="11" t="n"/>
      <c r="N929" s="7">
        <f>IF($D929="","",M929*V929/100)</f>
        <v/>
      </c>
      <c r="O929" s="7" t="n"/>
      <c r="U929" s="7" t="n"/>
      <c r="V929" s="7" t="n"/>
      <c r="W929" s="7">
        <f>IF($D929="","",V929*AB929/100)</f>
        <v/>
      </c>
      <c r="X929" s="7">
        <f>IF($D929="","",V929-W929)</f>
        <v/>
      </c>
      <c r="Y929" s="7">
        <f>IF($D929="","",X929-N929)</f>
        <v/>
      </c>
      <c r="AB929">
        <f>IF($D929="","",IF($AN929=1,0,IF($AM929=1,Settings!$C$6,Settings!$C$7))*100)</f>
        <v/>
      </c>
      <c r="AF929" s="7" t="n"/>
      <c r="AI929" s="11" t="n"/>
      <c r="AK929">
        <f>IF($D929="","",IF(COUNTIF($D$2:$D929,$D929)=1,1,0))</f>
        <v/>
      </c>
      <c r="AL929">
        <f>IF($AK929=1,SUMPRODUCT(--($AO$2:$AO$1501&lt;$AO929))+1,"")</f>
        <v/>
      </c>
      <c r="AM929">
        <f>IF($D929="","",IF(OR($R929=TRUE(),$R929="TRUE"),1,0))</f>
        <v/>
      </c>
      <c r="AN929">
        <f>IF($D929="","",IF($AA929="Yes",1,0))</f>
        <v/>
      </c>
      <c r="AO929">
        <f>IF($AK929=1,IFERROR(IF(VALUE($D929)&lt;100000000,VALUE($D929),1000000000),IFERROR(IF(VALUE(MID($D929,2,20))&lt;100000000,VALUE(MID($D929,2,20)),1000000000),1000000000))+ROW()/100000,"")</f>
        <v/>
      </c>
    </row>
    <row r="930">
      <c r="F930" s="11" t="n"/>
      <c r="N930" s="7">
        <f>IF($D930="","",M930*V930/100)</f>
        <v/>
      </c>
      <c r="O930" s="7" t="n"/>
      <c r="U930" s="7" t="n"/>
      <c r="V930" s="7" t="n"/>
      <c r="W930" s="7">
        <f>IF($D930="","",V930*AB930/100)</f>
        <v/>
      </c>
      <c r="X930" s="7">
        <f>IF($D930="","",V930-W930)</f>
        <v/>
      </c>
      <c r="Y930" s="7">
        <f>IF($D930="","",X930-N930)</f>
        <v/>
      </c>
      <c r="AB930">
        <f>IF($D930="","",IF($AN930=1,0,IF($AM930=1,Settings!$C$6,Settings!$C$7))*100)</f>
        <v/>
      </c>
      <c r="AF930" s="7" t="n"/>
      <c r="AI930" s="11" t="n"/>
      <c r="AK930">
        <f>IF($D930="","",IF(COUNTIF($D$2:$D930,$D930)=1,1,0))</f>
        <v/>
      </c>
      <c r="AL930">
        <f>IF($AK930=1,SUMPRODUCT(--($AO$2:$AO$1501&lt;$AO930))+1,"")</f>
        <v/>
      </c>
      <c r="AM930">
        <f>IF($D930="","",IF(OR($R930=TRUE(),$R930="TRUE"),1,0))</f>
        <v/>
      </c>
      <c r="AN930">
        <f>IF($D930="","",IF($AA930="Yes",1,0))</f>
        <v/>
      </c>
      <c r="AO930">
        <f>IF($AK930=1,IFERROR(IF(VALUE($D930)&lt;100000000,VALUE($D930),1000000000),IFERROR(IF(VALUE(MID($D930,2,20))&lt;100000000,VALUE(MID($D930,2,20)),1000000000),1000000000))+ROW()/100000,"")</f>
        <v/>
      </c>
    </row>
    <row r="931">
      <c r="F931" s="11" t="n"/>
      <c r="N931" s="7">
        <f>IF($D931="","",M931*V931/100)</f>
        <v/>
      </c>
      <c r="O931" s="7" t="n"/>
      <c r="U931" s="7" t="n"/>
      <c r="V931" s="7" t="n"/>
      <c r="W931" s="7">
        <f>IF($D931="","",V931*AB931/100)</f>
        <v/>
      </c>
      <c r="X931" s="7">
        <f>IF($D931="","",V931-W931)</f>
        <v/>
      </c>
      <c r="Y931" s="7">
        <f>IF($D931="","",X931-N931)</f>
        <v/>
      </c>
      <c r="AB931">
        <f>IF($D931="","",IF($AN931=1,0,IF($AM931=1,Settings!$C$6,Settings!$C$7))*100)</f>
        <v/>
      </c>
      <c r="AF931" s="7" t="n"/>
      <c r="AI931" s="11" t="n"/>
      <c r="AK931">
        <f>IF($D931="","",IF(COUNTIF($D$2:$D931,$D931)=1,1,0))</f>
        <v/>
      </c>
      <c r="AL931">
        <f>IF($AK931=1,SUMPRODUCT(--($AO$2:$AO$1501&lt;$AO931))+1,"")</f>
        <v/>
      </c>
      <c r="AM931">
        <f>IF($D931="","",IF(OR($R931=TRUE(),$R931="TRUE"),1,0))</f>
        <v/>
      </c>
      <c r="AN931">
        <f>IF($D931="","",IF($AA931="Yes",1,0))</f>
        <v/>
      </c>
      <c r="AO931">
        <f>IF($AK931=1,IFERROR(IF(VALUE($D931)&lt;100000000,VALUE($D931),1000000000),IFERROR(IF(VALUE(MID($D931,2,20))&lt;100000000,VALUE(MID($D931,2,20)),1000000000),1000000000))+ROW()/100000,"")</f>
        <v/>
      </c>
    </row>
    <row r="932">
      <c r="F932" s="11" t="n"/>
      <c r="N932" s="7">
        <f>IF($D932="","",M932*V932/100)</f>
        <v/>
      </c>
      <c r="O932" s="7" t="n"/>
      <c r="U932" s="7" t="n"/>
      <c r="V932" s="7" t="n"/>
      <c r="W932" s="7">
        <f>IF($D932="","",V932*AB932/100)</f>
        <v/>
      </c>
      <c r="X932" s="7">
        <f>IF($D932="","",V932-W932)</f>
        <v/>
      </c>
      <c r="Y932" s="7">
        <f>IF($D932="","",X932-N932)</f>
        <v/>
      </c>
      <c r="AB932">
        <f>IF($D932="","",IF($AN932=1,0,IF($AM932=1,Settings!$C$6,Settings!$C$7))*100)</f>
        <v/>
      </c>
      <c r="AF932" s="7" t="n"/>
      <c r="AI932" s="11" t="n"/>
      <c r="AK932">
        <f>IF($D932="","",IF(COUNTIF($D$2:$D932,$D932)=1,1,0))</f>
        <v/>
      </c>
      <c r="AL932">
        <f>IF($AK932=1,SUMPRODUCT(--($AO$2:$AO$1501&lt;$AO932))+1,"")</f>
        <v/>
      </c>
      <c r="AM932">
        <f>IF($D932="","",IF(OR($R932=TRUE(),$R932="TRUE"),1,0))</f>
        <v/>
      </c>
      <c r="AN932">
        <f>IF($D932="","",IF($AA932="Yes",1,0))</f>
        <v/>
      </c>
      <c r="AO932">
        <f>IF($AK932=1,IFERROR(IF(VALUE($D932)&lt;100000000,VALUE($D932),1000000000),IFERROR(IF(VALUE(MID($D932,2,20))&lt;100000000,VALUE(MID($D932,2,20)),1000000000),1000000000))+ROW()/100000,"")</f>
        <v/>
      </c>
    </row>
    <row r="933">
      <c r="F933" s="11" t="n"/>
      <c r="N933" s="7">
        <f>IF($D933="","",M933*V933/100)</f>
        <v/>
      </c>
      <c r="O933" s="7" t="n"/>
      <c r="U933" s="7" t="n"/>
      <c r="V933" s="7" t="n"/>
      <c r="W933" s="7">
        <f>IF($D933="","",V933*AB933/100)</f>
        <v/>
      </c>
      <c r="X933" s="7">
        <f>IF($D933="","",V933-W933)</f>
        <v/>
      </c>
      <c r="Y933" s="7">
        <f>IF($D933="","",X933-N933)</f>
        <v/>
      </c>
      <c r="AB933">
        <f>IF($D933="","",IF($AN933=1,0,IF($AM933=1,Settings!$C$6,Settings!$C$7))*100)</f>
        <v/>
      </c>
      <c r="AF933" s="7" t="n"/>
      <c r="AI933" s="11" t="n"/>
      <c r="AK933">
        <f>IF($D933="","",IF(COUNTIF($D$2:$D933,$D933)=1,1,0))</f>
        <v/>
      </c>
      <c r="AL933">
        <f>IF($AK933=1,SUMPRODUCT(--($AO$2:$AO$1501&lt;$AO933))+1,"")</f>
        <v/>
      </c>
      <c r="AM933">
        <f>IF($D933="","",IF(OR($R933=TRUE(),$R933="TRUE"),1,0))</f>
        <v/>
      </c>
      <c r="AN933">
        <f>IF($D933="","",IF($AA933="Yes",1,0))</f>
        <v/>
      </c>
      <c r="AO933">
        <f>IF($AK933=1,IFERROR(IF(VALUE($D933)&lt;100000000,VALUE($D933),1000000000),IFERROR(IF(VALUE(MID($D933,2,20))&lt;100000000,VALUE(MID($D933,2,20)),1000000000),1000000000))+ROW()/100000,"")</f>
        <v/>
      </c>
    </row>
    <row r="934">
      <c r="F934" s="11" t="n"/>
      <c r="N934" s="7">
        <f>IF($D934="","",M934*V934/100)</f>
        <v/>
      </c>
      <c r="O934" s="7" t="n"/>
      <c r="U934" s="7" t="n"/>
      <c r="V934" s="7" t="n"/>
      <c r="W934" s="7">
        <f>IF($D934="","",V934*AB934/100)</f>
        <v/>
      </c>
      <c r="X934" s="7">
        <f>IF($D934="","",V934-W934)</f>
        <v/>
      </c>
      <c r="Y934" s="7">
        <f>IF($D934="","",X934-N934)</f>
        <v/>
      </c>
      <c r="AB934">
        <f>IF($D934="","",IF($AN934=1,0,IF($AM934=1,Settings!$C$6,Settings!$C$7))*100)</f>
        <v/>
      </c>
      <c r="AF934" s="7" t="n"/>
      <c r="AI934" s="11" t="n"/>
      <c r="AK934">
        <f>IF($D934="","",IF(COUNTIF($D$2:$D934,$D934)=1,1,0))</f>
        <v/>
      </c>
      <c r="AL934">
        <f>IF($AK934=1,SUMPRODUCT(--($AO$2:$AO$1501&lt;$AO934))+1,"")</f>
        <v/>
      </c>
      <c r="AM934">
        <f>IF($D934="","",IF(OR($R934=TRUE(),$R934="TRUE"),1,0))</f>
        <v/>
      </c>
      <c r="AN934">
        <f>IF($D934="","",IF($AA934="Yes",1,0))</f>
        <v/>
      </c>
      <c r="AO934">
        <f>IF($AK934=1,IFERROR(IF(VALUE($D934)&lt;100000000,VALUE($D934),1000000000),IFERROR(IF(VALUE(MID($D934,2,20))&lt;100000000,VALUE(MID($D934,2,20)),1000000000),1000000000))+ROW()/100000,"")</f>
        <v/>
      </c>
    </row>
    <row r="935">
      <c r="F935" s="11" t="n"/>
      <c r="N935" s="7">
        <f>IF($D935="","",M935*V935/100)</f>
        <v/>
      </c>
      <c r="O935" s="7" t="n"/>
      <c r="U935" s="7" t="n"/>
      <c r="V935" s="7" t="n"/>
      <c r="W935" s="7">
        <f>IF($D935="","",V935*AB935/100)</f>
        <v/>
      </c>
      <c r="X935" s="7">
        <f>IF($D935="","",V935-W935)</f>
        <v/>
      </c>
      <c r="Y935" s="7">
        <f>IF($D935="","",X935-N935)</f>
        <v/>
      </c>
      <c r="AB935">
        <f>IF($D935="","",IF($AN935=1,0,IF($AM935=1,Settings!$C$6,Settings!$C$7))*100)</f>
        <v/>
      </c>
      <c r="AF935" s="7" t="n"/>
      <c r="AI935" s="11" t="n"/>
      <c r="AK935">
        <f>IF($D935="","",IF(COUNTIF($D$2:$D935,$D935)=1,1,0))</f>
        <v/>
      </c>
      <c r="AL935">
        <f>IF($AK935=1,SUMPRODUCT(--($AO$2:$AO$1501&lt;$AO935))+1,"")</f>
        <v/>
      </c>
      <c r="AM935">
        <f>IF($D935="","",IF(OR($R935=TRUE(),$R935="TRUE"),1,0))</f>
        <v/>
      </c>
      <c r="AN935">
        <f>IF($D935="","",IF($AA935="Yes",1,0))</f>
        <v/>
      </c>
      <c r="AO935">
        <f>IF($AK935=1,IFERROR(IF(VALUE($D935)&lt;100000000,VALUE($D935),1000000000),IFERROR(IF(VALUE(MID($D935,2,20))&lt;100000000,VALUE(MID($D935,2,20)),1000000000),1000000000))+ROW()/100000,"")</f>
        <v/>
      </c>
    </row>
    <row r="936">
      <c r="F936" s="11" t="n"/>
      <c r="N936" s="7">
        <f>IF($D936="","",M936*V936/100)</f>
        <v/>
      </c>
      <c r="O936" s="7" t="n"/>
      <c r="U936" s="7" t="n"/>
      <c r="V936" s="7" t="n"/>
      <c r="W936" s="7">
        <f>IF($D936="","",V936*AB936/100)</f>
        <v/>
      </c>
      <c r="X936" s="7">
        <f>IF($D936="","",V936-W936)</f>
        <v/>
      </c>
      <c r="Y936" s="7">
        <f>IF($D936="","",X936-N936)</f>
        <v/>
      </c>
      <c r="AB936">
        <f>IF($D936="","",IF($AN936=1,0,IF($AM936=1,Settings!$C$6,Settings!$C$7))*100)</f>
        <v/>
      </c>
      <c r="AF936" s="7" t="n"/>
      <c r="AI936" s="11" t="n"/>
      <c r="AK936">
        <f>IF($D936="","",IF(COUNTIF($D$2:$D936,$D936)=1,1,0))</f>
        <v/>
      </c>
      <c r="AL936">
        <f>IF($AK936=1,SUMPRODUCT(--($AO$2:$AO$1501&lt;$AO936))+1,"")</f>
        <v/>
      </c>
      <c r="AM936">
        <f>IF($D936="","",IF(OR($R936=TRUE(),$R936="TRUE"),1,0))</f>
        <v/>
      </c>
      <c r="AN936">
        <f>IF($D936="","",IF($AA936="Yes",1,0))</f>
        <v/>
      </c>
      <c r="AO936">
        <f>IF($AK936=1,IFERROR(IF(VALUE($D936)&lt;100000000,VALUE($D936),1000000000),IFERROR(IF(VALUE(MID($D936,2,20))&lt;100000000,VALUE(MID($D936,2,20)),1000000000),1000000000))+ROW()/100000,"")</f>
        <v/>
      </c>
    </row>
    <row r="937">
      <c r="F937" s="11" t="n"/>
      <c r="N937" s="7">
        <f>IF($D937="","",M937*V937/100)</f>
        <v/>
      </c>
      <c r="O937" s="7" t="n"/>
      <c r="U937" s="7" t="n"/>
      <c r="V937" s="7" t="n"/>
      <c r="W937" s="7">
        <f>IF($D937="","",V937*AB937/100)</f>
        <v/>
      </c>
      <c r="X937" s="7">
        <f>IF($D937="","",V937-W937)</f>
        <v/>
      </c>
      <c r="Y937" s="7">
        <f>IF($D937="","",X937-N937)</f>
        <v/>
      </c>
      <c r="AB937">
        <f>IF($D937="","",IF($AN937=1,0,IF($AM937=1,Settings!$C$6,Settings!$C$7))*100)</f>
        <v/>
      </c>
      <c r="AF937" s="7" t="n"/>
      <c r="AI937" s="11" t="n"/>
      <c r="AK937">
        <f>IF($D937="","",IF(COUNTIF($D$2:$D937,$D937)=1,1,0))</f>
        <v/>
      </c>
      <c r="AL937">
        <f>IF($AK937=1,SUMPRODUCT(--($AO$2:$AO$1501&lt;$AO937))+1,"")</f>
        <v/>
      </c>
      <c r="AM937">
        <f>IF($D937="","",IF(OR($R937=TRUE(),$R937="TRUE"),1,0))</f>
        <v/>
      </c>
      <c r="AN937">
        <f>IF($D937="","",IF($AA937="Yes",1,0))</f>
        <v/>
      </c>
      <c r="AO937">
        <f>IF($AK937=1,IFERROR(IF(VALUE($D937)&lt;100000000,VALUE($D937),1000000000),IFERROR(IF(VALUE(MID($D937,2,20))&lt;100000000,VALUE(MID($D937,2,20)),1000000000),1000000000))+ROW()/100000,"")</f>
        <v/>
      </c>
    </row>
    <row r="938">
      <c r="F938" s="11" t="n"/>
      <c r="N938" s="7">
        <f>IF($D938="","",M938*V938/100)</f>
        <v/>
      </c>
      <c r="O938" s="7" t="n"/>
      <c r="U938" s="7" t="n"/>
      <c r="V938" s="7" t="n"/>
      <c r="W938" s="7">
        <f>IF($D938="","",V938*AB938/100)</f>
        <v/>
      </c>
      <c r="X938" s="7">
        <f>IF($D938="","",V938-W938)</f>
        <v/>
      </c>
      <c r="Y938" s="7">
        <f>IF($D938="","",X938-N938)</f>
        <v/>
      </c>
      <c r="AB938">
        <f>IF($D938="","",IF($AN938=1,0,IF($AM938=1,Settings!$C$6,Settings!$C$7))*100)</f>
        <v/>
      </c>
      <c r="AF938" s="7" t="n"/>
      <c r="AI938" s="11" t="n"/>
      <c r="AK938">
        <f>IF($D938="","",IF(COUNTIF($D$2:$D938,$D938)=1,1,0))</f>
        <v/>
      </c>
      <c r="AL938">
        <f>IF($AK938=1,SUMPRODUCT(--($AO$2:$AO$1501&lt;$AO938))+1,"")</f>
        <v/>
      </c>
      <c r="AM938">
        <f>IF($D938="","",IF(OR($R938=TRUE(),$R938="TRUE"),1,0))</f>
        <v/>
      </c>
      <c r="AN938">
        <f>IF($D938="","",IF($AA938="Yes",1,0))</f>
        <v/>
      </c>
      <c r="AO938">
        <f>IF($AK938=1,IFERROR(IF(VALUE($D938)&lt;100000000,VALUE($D938),1000000000),IFERROR(IF(VALUE(MID($D938,2,20))&lt;100000000,VALUE(MID($D938,2,20)),1000000000),1000000000))+ROW()/100000,"")</f>
        <v/>
      </c>
    </row>
    <row r="939">
      <c r="F939" s="11" t="n"/>
      <c r="N939" s="7">
        <f>IF($D939="","",M939*V939/100)</f>
        <v/>
      </c>
      <c r="O939" s="7" t="n"/>
      <c r="U939" s="7" t="n"/>
      <c r="V939" s="7" t="n"/>
      <c r="W939" s="7">
        <f>IF($D939="","",V939*AB939/100)</f>
        <v/>
      </c>
      <c r="X939" s="7">
        <f>IF($D939="","",V939-W939)</f>
        <v/>
      </c>
      <c r="Y939" s="7">
        <f>IF($D939="","",X939-N939)</f>
        <v/>
      </c>
      <c r="AB939">
        <f>IF($D939="","",IF($AN939=1,0,IF($AM939=1,Settings!$C$6,Settings!$C$7))*100)</f>
        <v/>
      </c>
      <c r="AF939" s="7" t="n"/>
      <c r="AI939" s="11" t="n"/>
      <c r="AK939">
        <f>IF($D939="","",IF(COUNTIF($D$2:$D939,$D939)=1,1,0))</f>
        <v/>
      </c>
      <c r="AL939">
        <f>IF($AK939=1,SUMPRODUCT(--($AO$2:$AO$1501&lt;$AO939))+1,"")</f>
        <v/>
      </c>
      <c r="AM939">
        <f>IF($D939="","",IF(OR($R939=TRUE(),$R939="TRUE"),1,0))</f>
        <v/>
      </c>
      <c r="AN939">
        <f>IF($D939="","",IF($AA939="Yes",1,0))</f>
        <v/>
      </c>
      <c r="AO939">
        <f>IF($AK939=1,IFERROR(IF(VALUE($D939)&lt;100000000,VALUE($D939),1000000000),IFERROR(IF(VALUE(MID($D939,2,20))&lt;100000000,VALUE(MID($D939,2,20)),1000000000),1000000000))+ROW()/100000,"")</f>
        <v/>
      </c>
    </row>
    <row r="940">
      <c r="F940" s="11" t="n"/>
      <c r="N940" s="7">
        <f>IF($D940="","",M940*V940/100)</f>
        <v/>
      </c>
      <c r="O940" s="7" t="n"/>
      <c r="U940" s="7" t="n"/>
      <c r="V940" s="7" t="n"/>
      <c r="W940" s="7">
        <f>IF($D940="","",V940*AB940/100)</f>
        <v/>
      </c>
      <c r="X940" s="7">
        <f>IF($D940="","",V940-W940)</f>
        <v/>
      </c>
      <c r="Y940" s="7">
        <f>IF($D940="","",X940-N940)</f>
        <v/>
      </c>
      <c r="AB940">
        <f>IF($D940="","",IF($AN940=1,0,IF($AM940=1,Settings!$C$6,Settings!$C$7))*100)</f>
        <v/>
      </c>
      <c r="AF940" s="7" t="n"/>
      <c r="AI940" s="11" t="n"/>
      <c r="AK940">
        <f>IF($D940="","",IF(COUNTIF($D$2:$D940,$D940)=1,1,0))</f>
        <v/>
      </c>
      <c r="AL940">
        <f>IF($AK940=1,SUMPRODUCT(--($AO$2:$AO$1501&lt;$AO940))+1,"")</f>
        <v/>
      </c>
      <c r="AM940">
        <f>IF($D940="","",IF(OR($R940=TRUE(),$R940="TRUE"),1,0))</f>
        <v/>
      </c>
      <c r="AN940">
        <f>IF($D940="","",IF($AA940="Yes",1,0))</f>
        <v/>
      </c>
      <c r="AO940">
        <f>IF($AK940=1,IFERROR(IF(VALUE($D940)&lt;100000000,VALUE($D940),1000000000),IFERROR(IF(VALUE(MID($D940,2,20))&lt;100000000,VALUE(MID($D940,2,20)),1000000000),1000000000))+ROW()/100000,"")</f>
        <v/>
      </c>
    </row>
    <row r="941">
      <c r="F941" s="11" t="n"/>
      <c r="N941" s="7">
        <f>IF($D941="","",M941*V941/100)</f>
        <v/>
      </c>
      <c r="O941" s="7" t="n"/>
      <c r="U941" s="7" t="n"/>
      <c r="V941" s="7" t="n"/>
      <c r="W941" s="7">
        <f>IF($D941="","",V941*AB941/100)</f>
        <v/>
      </c>
      <c r="X941" s="7">
        <f>IF($D941="","",V941-W941)</f>
        <v/>
      </c>
      <c r="Y941" s="7">
        <f>IF($D941="","",X941-N941)</f>
        <v/>
      </c>
      <c r="AB941">
        <f>IF($D941="","",IF($AN941=1,0,IF($AM941=1,Settings!$C$6,Settings!$C$7))*100)</f>
        <v/>
      </c>
      <c r="AF941" s="7" t="n"/>
      <c r="AI941" s="11" t="n"/>
      <c r="AK941">
        <f>IF($D941="","",IF(COUNTIF($D$2:$D941,$D941)=1,1,0))</f>
        <v/>
      </c>
      <c r="AL941">
        <f>IF($AK941=1,SUMPRODUCT(--($AO$2:$AO$1501&lt;$AO941))+1,"")</f>
        <v/>
      </c>
      <c r="AM941">
        <f>IF($D941="","",IF(OR($R941=TRUE(),$R941="TRUE"),1,0))</f>
        <v/>
      </c>
      <c r="AN941">
        <f>IF($D941="","",IF($AA941="Yes",1,0))</f>
        <v/>
      </c>
      <c r="AO941">
        <f>IF($AK941=1,IFERROR(IF(VALUE($D941)&lt;100000000,VALUE($D941),1000000000),IFERROR(IF(VALUE(MID($D941,2,20))&lt;100000000,VALUE(MID($D941,2,20)),1000000000),1000000000))+ROW()/100000,"")</f>
        <v/>
      </c>
    </row>
    <row r="942">
      <c r="F942" s="11" t="n"/>
      <c r="N942" s="7">
        <f>IF($D942="","",M942*V942/100)</f>
        <v/>
      </c>
      <c r="O942" s="7" t="n"/>
      <c r="U942" s="7" t="n"/>
      <c r="V942" s="7" t="n"/>
      <c r="W942" s="7">
        <f>IF($D942="","",V942*AB942/100)</f>
        <v/>
      </c>
      <c r="X942" s="7">
        <f>IF($D942="","",V942-W942)</f>
        <v/>
      </c>
      <c r="Y942" s="7">
        <f>IF($D942="","",X942-N942)</f>
        <v/>
      </c>
      <c r="AB942">
        <f>IF($D942="","",IF($AN942=1,0,IF($AM942=1,Settings!$C$6,Settings!$C$7))*100)</f>
        <v/>
      </c>
      <c r="AF942" s="7" t="n"/>
      <c r="AI942" s="11" t="n"/>
      <c r="AK942">
        <f>IF($D942="","",IF(COUNTIF($D$2:$D942,$D942)=1,1,0))</f>
        <v/>
      </c>
      <c r="AL942">
        <f>IF($AK942=1,SUMPRODUCT(--($AO$2:$AO$1501&lt;$AO942))+1,"")</f>
        <v/>
      </c>
      <c r="AM942">
        <f>IF($D942="","",IF(OR($R942=TRUE(),$R942="TRUE"),1,0))</f>
        <v/>
      </c>
      <c r="AN942">
        <f>IF($D942="","",IF($AA942="Yes",1,0))</f>
        <v/>
      </c>
      <c r="AO942">
        <f>IF($AK942=1,IFERROR(IF(VALUE($D942)&lt;100000000,VALUE($D942),1000000000),IFERROR(IF(VALUE(MID($D942,2,20))&lt;100000000,VALUE(MID($D942,2,20)),1000000000),1000000000))+ROW()/100000,"")</f>
        <v/>
      </c>
    </row>
    <row r="943">
      <c r="F943" s="11" t="n"/>
      <c r="N943" s="7">
        <f>IF($D943="","",M943*V943/100)</f>
        <v/>
      </c>
      <c r="O943" s="7" t="n"/>
      <c r="U943" s="7" t="n"/>
      <c r="V943" s="7" t="n"/>
      <c r="W943" s="7">
        <f>IF($D943="","",V943*AB943/100)</f>
        <v/>
      </c>
      <c r="X943" s="7">
        <f>IF($D943="","",V943-W943)</f>
        <v/>
      </c>
      <c r="Y943" s="7">
        <f>IF($D943="","",X943-N943)</f>
        <v/>
      </c>
      <c r="AB943">
        <f>IF($D943="","",IF($AN943=1,0,IF($AM943=1,Settings!$C$6,Settings!$C$7))*100)</f>
        <v/>
      </c>
      <c r="AF943" s="7" t="n"/>
      <c r="AI943" s="11" t="n"/>
      <c r="AK943">
        <f>IF($D943="","",IF(COUNTIF($D$2:$D943,$D943)=1,1,0))</f>
        <v/>
      </c>
      <c r="AL943">
        <f>IF($AK943=1,SUMPRODUCT(--($AO$2:$AO$1501&lt;$AO943))+1,"")</f>
        <v/>
      </c>
      <c r="AM943">
        <f>IF($D943="","",IF(OR($R943=TRUE(),$R943="TRUE"),1,0))</f>
        <v/>
      </c>
      <c r="AN943">
        <f>IF($D943="","",IF($AA943="Yes",1,0))</f>
        <v/>
      </c>
      <c r="AO943">
        <f>IF($AK943=1,IFERROR(IF(VALUE($D943)&lt;100000000,VALUE($D943),1000000000),IFERROR(IF(VALUE(MID($D943,2,20))&lt;100000000,VALUE(MID($D943,2,20)),1000000000),1000000000))+ROW()/100000,"")</f>
        <v/>
      </c>
    </row>
    <row r="944">
      <c r="F944" s="11" t="n"/>
      <c r="N944" s="7">
        <f>IF($D944="","",M944*V944/100)</f>
        <v/>
      </c>
      <c r="O944" s="7" t="n"/>
      <c r="U944" s="7" t="n"/>
      <c r="V944" s="7" t="n"/>
      <c r="W944" s="7">
        <f>IF($D944="","",V944*AB944/100)</f>
        <v/>
      </c>
      <c r="X944" s="7">
        <f>IF($D944="","",V944-W944)</f>
        <v/>
      </c>
      <c r="Y944" s="7">
        <f>IF($D944="","",X944-N944)</f>
        <v/>
      </c>
      <c r="AB944">
        <f>IF($D944="","",IF($AN944=1,0,IF($AM944=1,Settings!$C$6,Settings!$C$7))*100)</f>
        <v/>
      </c>
      <c r="AF944" s="7" t="n"/>
      <c r="AI944" s="11" t="n"/>
      <c r="AK944">
        <f>IF($D944="","",IF(COUNTIF($D$2:$D944,$D944)=1,1,0))</f>
        <v/>
      </c>
      <c r="AL944">
        <f>IF($AK944=1,SUMPRODUCT(--($AO$2:$AO$1501&lt;$AO944))+1,"")</f>
        <v/>
      </c>
      <c r="AM944">
        <f>IF($D944="","",IF(OR($R944=TRUE(),$R944="TRUE"),1,0))</f>
        <v/>
      </c>
      <c r="AN944">
        <f>IF($D944="","",IF($AA944="Yes",1,0))</f>
        <v/>
      </c>
      <c r="AO944">
        <f>IF($AK944=1,IFERROR(IF(VALUE($D944)&lt;100000000,VALUE($D944),1000000000),IFERROR(IF(VALUE(MID($D944,2,20))&lt;100000000,VALUE(MID($D944,2,20)),1000000000),1000000000))+ROW()/100000,"")</f>
        <v/>
      </c>
    </row>
    <row r="945">
      <c r="F945" s="11" t="n"/>
      <c r="N945" s="7">
        <f>IF($D945="","",M945*V945/100)</f>
        <v/>
      </c>
      <c r="O945" s="7" t="n"/>
      <c r="U945" s="7" t="n"/>
      <c r="V945" s="7" t="n"/>
      <c r="W945" s="7">
        <f>IF($D945="","",V945*AB945/100)</f>
        <v/>
      </c>
      <c r="X945" s="7">
        <f>IF($D945="","",V945-W945)</f>
        <v/>
      </c>
      <c r="Y945" s="7">
        <f>IF($D945="","",X945-N945)</f>
        <v/>
      </c>
      <c r="AB945">
        <f>IF($D945="","",IF($AN945=1,0,IF($AM945=1,Settings!$C$6,Settings!$C$7))*100)</f>
        <v/>
      </c>
      <c r="AF945" s="7" t="n"/>
      <c r="AI945" s="11" t="n"/>
      <c r="AK945">
        <f>IF($D945="","",IF(COUNTIF($D$2:$D945,$D945)=1,1,0))</f>
        <v/>
      </c>
      <c r="AL945">
        <f>IF($AK945=1,SUMPRODUCT(--($AO$2:$AO$1501&lt;$AO945))+1,"")</f>
        <v/>
      </c>
      <c r="AM945">
        <f>IF($D945="","",IF(OR($R945=TRUE(),$R945="TRUE"),1,0))</f>
        <v/>
      </c>
      <c r="AN945">
        <f>IF($D945="","",IF($AA945="Yes",1,0))</f>
        <v/>
      </c>
      <c r="AO945">
        <f>IF($AK945=1,IFERROR(IF(VALUE($D945)&lt;100000000,VALUE($D945),1000000000),IFERROR(IF(VALUE(MID($D945,2,20))&lt;100000000,VALUE(MID($D945,2,20)),1000000000),1000000000))+ROW()/100000,"")</f>
        <v/>
      </c>
    </row>
    <row r="946">
      <c r="F946" s="11" t="n"/>
      <c r="N946" s="7">
        <f>IF($D946="","",M946*V946/100)</f>
        <v/>
      </c>
      <c r="O946" s="7" t="n"/>
      <c r="U946" s="7" t="n"/>
      <c r="V946" s="7" t="n"/>
      <c r="W946" s="7">
        <f>IF($D946="","",V946*AB946/100)</f>
        <v/>
      </c>
      <c r="X946" s="7">
        <f>IF($D946="","",V946-W946)</f>
        <v/>
      </c>
      <c r="Y946" s="7">
        <f>IF($D946="","",X946-N946)</f>
        <v/>
      </c>
      <c r="AB946">
        <f>IF($D946="","",IF($AN946=1,0,IF($AM946=1,Settings!$C$6,Settings!$C$7))*100)</f>
        <v/>
      </c>
      <c r="AF946" s="7" t="n"/>
      <c r="AI946" s="11" t="n"/>
      <c r="AK946">
        <f>IF($D946="","",IF(COUNTIF($D$2:$D946,$D946)=1,1,0))</f>
        <v/>
      </c>
      <c r="AL946">
        <f>IF($AK946=1,SUMPRODUCT(--($AO$2:$AO$1501&lt;$AO946))+1,"")</f>
        <v/>
      </c>
      <c r="AM946">
        <f>IF($D946="","",IF(OR($R946=TRUE(),$R946="TRUE"),1,0))</f>
        <v/>
      </c>
      <c r="AN946">
        <f>IF($D946="","",IF($AA946="Yes",1,0))</f>
        <v/>
      </c>
      <c r="AO946">
        <f>IF($AK946=1,IFERROR(IF(VALUE($D946)&lt;100000000,VALUE($D946),1000000000),IFERROR(IF(VALUE(MID($D946,2,20))&lt;100000000,VALUE(MID($D946,2,20)),1000000000),1000000000))+ROW()/100000,"")</f>
        <v/>
      </c>
    </row>
    <row r="947">
      <c r="F947" s="11" t="n"/>
      <c r="N947" s="7">
        <f>IF($D947="","",M947*V947/100)</f>
        <v/>
      </c>
      <c r="O947" s="7" t="n"/>
      <c r="U947" s="7" t="n"/>
      <c r="V947" s="7" t="n"/>
      <c r="W947" s="7">
        <f>IF($D947="","",V947*AB947/100)</f>
        <v/>
      </c>
      <c r="X947" s="7">
        <f>IF($D947="","",V947-W947)</f>
        <v/>
      </c>
      <c r="Y947" s="7">
        <f>IF($D947="","",X947-N947)</f>
        <v/>
      </c>
      <c r="AB947">
        <f>IF($D947="","",IF($AN947=1,0,IF($AM947=1,Settings!$C$6,Settings!$C$7))*100)</f>
        <v/>
      </c>
      <c r="AF947" s="7" t="n"/>
      <c r="AI947" s="11" t="n"/>
      <c r="AK947">
        <f>IF($D947="","",IF(COUNTIF($D$2:$D947,$D947)=1,1,0))</f>
        <v/>
      </c>
      <c r="AL947">
        <f>IF($AK947=1,SUMPRODUCT(--($AO$2:$AO$1501&lt;$AO947))+1,"")</f>
        <v/>
      </c>
      <c r="AM947">
        <f>IF($D947="","",IF(OR($R947=TRUE(),$R947="TRUE"),1,0))</f>
        <v/>
      </c>
      <c r="AN947">
        <f>IF($D947="","",IF($AA947="Yes",1,0))</f>
        <v/>
      </c>
      <c r="AO947">
        <f>IF($AK947=1,IFERROR(IF(VALUE($D947)&lt;100000000,VALUE($D947),1000000000),IFERROR(IF(VALUE(MID($D947,2,20))&lt;100000000,VALUE(MID($D947,2,20)),1000000000),1000000000))+ROW()/100000,"")</f>
        <v/>
      </c>
    </row>
    <row r="948">
      <c r="F948" s="11" t="n"/>
      <c r="N948" s="7">
        <f>IF($D948="","",M948*V948/100)</f>
        <v/>
      </c>
      <c r="O948" s="7" t="n"/>
      <c r="U948" s="7" t="n"/>
      <c r="V948" s="7" t="n"/>
      <c r="W948" s="7">
        <f>IF($D948="","",V948*AB948/100)</f>
        <v/>
      </c>
      <c r="X948" s="7">
        <f>IF($D948="","",V948-W948)</f>
        <v/>
      </c>
      <c r="Y948" s="7">
        <f>IF($D948="","",X948-N948)</f>
        <v/>
      </c>
      <c r="AB948">
        <f>IF($D948="","",IF($AN948=1,0,IF($AM948=1,Settings!$C$6,Settings!$C$7))*100)</f>
        <v/>
      </c>
      <c r="AF948" s="7" t="n"/>
      <c r="AI948" s="11" t="n"/>
      <c r="AK948">
        <f>IF($D948="","",IF(COUNTIF($D$2:$D948,$D948)=1,1,0))</f>
        <v/>
      </c>
      <c r="AL948">
        <f>IF($AK948=1,SUMPRODUCT(--($AO$2:$AO$1501&lt;$AO948))+1,"")</f>
        <v/>
      </c>
      <c r="AM948">
        <f>IF($D948="","",IF(OR($R948=TRUE(),$R948="TRUE"),1,0))</f>
        <v/>
      </c>
      <c r="AN948">
        <f>IF($D948="","",IF($AA948="Yes",1,0))</f>
        <v/>
      </c>
      <c r="AO948">
        <f>IF($AK948=1,IFERROR(IF(VALUE($D948)&lt;100000000,VALUE($D948),1000000000),IFERROR(IF(VALUE(MID($D948,2,20))&lt;100000000,VALUE(MID($D948,2,20)),1000000000),1000000000))+ROW()/100000,"")</f>
        <v/>
      </c>
    </row>
    <row r="949">
      <c r="F949" s="11" t="n"/>
      <c r="N949" s="7">
        <f>IF($D949="","",M949*V949/100)</f>
        <v/>
      </c>
      <c r="O949" s="7" t="n"/>
      <c r="U949" s="7" t="n"/>
      <c r="V949" s="7" t="n"/>
      <c r="W949" s="7">
        <f>IF($D949="","",V949*AB949/100)</f>
        <v/>
      </c>
      <c r="X949" s="7">
        <f>IF($D949="","",V949-W949)</f>
        <v/>
      </c>
      <c r="Y949" s="7">
        <f>IF($D949="","",X949-N949)</f>
        <v/>
      </c>
      <c r="AB949">
        <f>IF($D949="","",IF($AN949=1,0,IF($AM949=1,Settings!$C$6,Settings!$C$7))*100)</f>
        <v/>
      </c>
      <c r="AF949" s="7" t="n"/>
      <c r="AI949" s="11" t="n"/>
      <c r="AK949">
        <f>IF($D949="","",IF(COUNTIF($D$2:$D949,$D949)=1,1,0))</f>
        <v/>
      </c>
      <c r="AL949">
        <f>IF($AK949=1,SUMPRODUCT(--($AO$2:$AO$1501&lt;$AO949))+1,"")</f>
        <v/>
      </c>
      <c r="AM949">
        <f>IF($D949="","",IF(OR($R949=TRUE(),$R949="TRUE"),1,0))</f>
        <v/>
      </c>
      <c r="AN949">
        <f>IF($D949="","",IF($AA949="Yes",1,0))</f>
        <v/>
      </c>
      <c r="AO949">
        <f>IF($AK949=1,IFERROR(IF(VALUE($D949)&lt;100000000,VALUE($D949),1000000000),IFERROR(IF(VALUE(MID($D949,2,20))&lt;100000000,VALUE(MID($D949,2,20)),1000000000),1000000000))+ROW()/100000,"")</f>
        <v/>
      </c>
    </row>
    <row r="950">
      <c r="F950" s="11" t="n"/>
      <c r="N950" s="7">
        <f>IF($D950="","",M950*V950/100)</f>
        <v/>
      </c>
      <c r="O950" s="7" t="n"/>
      <c r="U950" s="7" t="n"/>
      <c r="V950" s="7" t="n"/>
      <c r="W950" s="7">
        <f>IF($D950="","",V950*AB950/100)</f>
        <v/>
      </c>
      <c r="X950" s="7">
        <f>IF($D950="","",V950-W950)</f>
        <v/>
      </c>
      <c r="Y950" s="7">
        <f>IF($D950="","",X950-N950)</f>
        <v/>
      </c>
      <c r="AB950">
        <f>IF($D950="","",IF($AN950=1,0,IF($AM950=1,Settings!$C$6,Settings!$C$7))*100)</f>
        <v/>
      </c>
      <c r="AF950" s="7" t="n"/>
      <c r="AI950" s="11" t="n"/>
      <c r="AK950">
        <f>IF($D950="","",IF(COUNTIF($D$2:$D950,$D950)=1,1,0))</f>
        <v/>
      </c>
      <c r="AL950">
        <f>IF($AK950=1,SUMPRODUCT(--($AO$2:$AO$1501&lt;$AO950))+1,"")</f>
        <v/>
      </c>
      <c r="AM950">
        <f>IF($D950="","",IF(OR($R950=TRUE(),$R950="TRUE"),1,0))</f>
        <v/>
      </c>
      <c r="AN950">
        <f>IF($D950="","",IF($AA950="Yes",1,0))</f>
        <v/>
      </c>
      <c r="AO950">
        <f>IF($AK950=1,IFERROR(IF(VALUE($D950)&lt;100000000,VALUE($D950),1000000000),IFERROR(IF(VALUE(MID($D950,2,20))&lt;100000000,VALUE(MID($D950,2,20)),1000000000),1000000000))+ROW()/100000,"")</f>
        <v/>
      </c>
    </row>
    <row r="951">
      <c r="F951" s="11" t="n"/>
      <c r="N951" s="7">
        <f>IF($D951="","",M951*V951/100)</f>
        <v/>
      </c>
      <c r="O951" s="7" t="n"/>
      <c r="U951" s="7" t="n"/>
      <c r="V951" s="7" t="n"/>
      <c r="W951" s="7">
        <f>IF($D951="","",V951*AB951/100)</f>
        <v/>
      </c>
      <c r="X951" s="7">
        <f>IF($D951="","",V951-W951)</f>
        <v/>
      </c>
      <c r="Y951" s="7">
        <f>IF($D951="","",X951-N951)</f>
        <v/>
      </c>
      <c r="AB951">
        <f>IF($D951="","",IF($AN951=1,0,IF($AM951=1,Settings!$C$6,Settings!$C$7))*100)</f>
        <v/>
      </c>
      <c r="AF951" s="7" t="n"/>
      <c r="AI951" s="11" t="n"/>
      <c r="AK951">
        <f>IF($D951="","",IF(COUNTIF($D$2:$D951,$D951)=1,1,0))</f>
        <v/>
      </c>
      <c r="AL951">
        <f>IF($AK951=1,SUMPRODUCT(--($AO$2:$AO$1501&lt;$AO951))+1,"")</f>
        <v/>
      </c>
      <c r="AM951">
        <f>IF($D951="","",IF(OR($R951=TRUE(),$R951="TRUE"),1,0))</f>
        <v/>
      </c>
      <c r="AN951">
        <f>IF($D951="","",IF($AA951="Yes",1,0))</f>
        <v/>
      </c>
      <c r="AO951">
        <f>IF($AK951=1,IFERROR(IF(VALUE($D951)&lt;100000000,VALUE($D951),1000000000),IFERROR(IF(VALUE(MID($D951,2,20))&lt;100000000,VALUE(MID($D951,2,20)),1000000000),1000000000))+ROW()/100000,"")</f>
        <v/>
      </c>
    </row>
    <row r="952">
      <c r="F952" s="11" t="n"/>
      <c r="N952" s="7">
        <f>IF($D952="","",M952*V952/100)</f>
        <v/>
      </c>
      <c r="O952" s="7" t="n"/>
      <c r="U952" s="7" t="n"/>
      <c r="V952" s="7" t="n"/>
      <c r="W952" s="7">
        <f>IF($D952="","",V952*AB952/100)</f>
        <v/>
      </c>
      <c r="X952" s="7">
        <f>IF($D952="","",V952-W952)</f>
        <v/>
      </c>
      <c r="Y952" s="7">
        <f>IF($D952="","",X952-N952)</f>
        <v/>
      </c>
      <c r="AB952">
        <f>IF($D952="","",IF($AN952=1,0,IF($AM952=1,Settings!$C$6,Settings!$C$7))*100)</f>
        <v/>
      </c>
      <c r="AF952" s="7" t="n"/>
      <c r="AI952" s="11" t="n"/>
      <c r="AK952">
        <f>IF($D952="","",IF(COUNTIF($D$2:$D952,$D952)=1,1,0))</f>
        <v/>
      </c>
      <c r="AL952">
        <f>IF($AK952=1,SUMPRODUCT(--($AO$2:$AO$1501&lt;$AO952))+1,"")</f>
        <v/>
      </c>
      <c r="AM952">
        <f>IF($D952="","",IF(OR($R952=TRUE(),$R952="TRUE"),1,0))</f>
        <v/>
      </c>
      <c r="AN952">
        <f>IF($D952="","",IF($AA952="Yes",1,0))</f>
        <v/>
      </c>
      <c r="AO952">
        <f>IF($AK952=1,IFERROR(IF(VALUE($D952)&lt;100000000,VALUE($D952),1000000000),IFERROR(IF(VALUE(MID($D952,2,20))&lt;100000000,VALUE(MID($D952,2,20)),1000000000),1000000000))+ROW()/100000,"")</f>
        <v/>
      </c>
    </row>
    <row r="953">
      <c r="F953" s="11" t="n"/>
      <c r="N953" s="7">
        <f>IF($D953="","",M953*V953/100)</f>
        <v/>
      </c>
      <c r="O953" s="7" t="n"/>
      <c r="U953" s="7" t="n"/>
      <c r="V953" s="7" t="n"/>
      <c r="W953" s="7">
        <f>IF($D953="","",V953*AB953/100)</f>
        <v/>
      </c>
      <c r="X953" s="7">
        <f>IF($D953="","",V953-W953)</f>
        <v/>
      </c>
      <c r="Y953" s="7">
        <f>IF($D953="","",X953-N953)</f>
        <v/>
      </c>
      <c r="AB953">
        <f>IF($D953="","",IF($AN953=1,0,IF($AM953=1,Settings!$C$6,Settings!$C$7))*100)</f>
        <v/>
      </c>
      <c r="AF953" s="7" t="n"/>
      <c r="AI953" s="11" t="n"/>
      <c r="AK953">
        <f>IF($D953="","",IF(COUNTIF($D$2:$D953,$D953)=1,1,0))</f>
        <v/>
      </c>
      <c r="AL953">
        <f>IF($AK953=1,SUMPRODUCT(--($AO$2:$AO$1501&lt;$AO953))+1,"")</f>
        <v/>
      </c>
      <c r="AM953">
        <f>IF($D953="","",IF(OR($R953=TRUE(),$R953="TRUE"),1,0))</f>
        <v/>
      </c>
      <c r="AN953">
        <f>IF($D953="","",IF($AA953="Yes",1,0))</f>
        <v/>
      </c>
      <c r="AO953">
        <f>IF($AK953=1,IFERROR(IF(VALUE($D953)&lt;100000000,VALUE($D953),1000000000),IFERROR(IF(VALUE(MID($D953,2,20))&lt;100000000,VALUE(MID($D953,2,20)),1000000000),1000000000))+ROW()/100000,"")</f>
        <v/>
      </c>
    </row>
    <row r="954">
      <c r="F954" s="11" t="n"/>
      <c r="N954" s="7">
        <f>IF($D954="","",M954*V954/100)</f>
        <v/>
      </c>
      <c r="O954" s="7" t="n"/>
      <c r="U954" s="7" t="n"/>
      <c r="V954" s="7" t="n"/>
      <c r="W954" s="7">
        <f>IF($D954="","",V954*AB954/100)</f>
        <v/>
      </c>
      <c r="X954" s="7">
        <f>IF($D954="","",V954-W954)</f>
        <v/>
      </c>
      <c r="Y954" s="7">
        <f>IF($D954="","",X954-N954)</f>
        <v/>
      </c>
      <c r="AB954">
        <f>IF($D954="","",IF($AN954=1,0,IF($AM954=1,Settings!$C$6,Settings!$C$7))*100)</f>
        <v/>
      </c>
      <c r="AF954" s="7" t="n"/>
      <c r="AI954" s="11" t="n"/>
      <c r="AK954">
        <f>IF($D954="","",IF(COUNTIF($D$2:$D954,$D954)=1,1,0))</f>
        <v/>
      </c>
      <c r="AL954">
        <f>IF($AK954=1,SUMPRODUCT(--($AO$2:$AO$1501&lt;$AO954))+1,"")</f>
        <v/>
      </c>
      <c r="AM954">
        <f>IF($D954="","",IF(OR($R954=TRUE(),$R954="TRUE"),1,0))</f>
        <v/>
      </c>
      <c r="AN954">
        <f>IF($D954="","",IF($AA954="Yes",1,0))</f>
        <v/>
      </c>
      <c r="AO954">
        <f>IF($AK954=1,IFERROR(IF(VALUE($D954)&lt;100000000,VALUE($D954),1000000000),IFERROR(IF(VALUE(MID($D954,2,20))&lt;100000000,VALUE(MID($D954,2,20)),1000000000),1000000000))+ROW()/100000,"")</f>
        <v/>
      </c>
    </row>
    <row r="955">
      <c r="F955" s="11" t="n"/>
      <c r="N955" s="7">
        <f>IF($D955="","",M955*V955/100)</f>
        <v/>
      </c>
      <c r="O955" s="7" t="n"/>
      <c r="U955" s="7" t="n"/>
      <c r="V955" s="7" t="n"/>
      <c r="W955" s="7">
        <f>IF($D955="","",V955*AB955/100)</f>
        <v/>
      </c>
      <c r="X955" s="7">
        <f>IF($D955="","",V955-W955)</f>
        <v/>
      </c>
      <c r="Y955" s="7">
        <f>IF($D955="","",X955-N955)</f>
        <v/>
      </c>
      <c r="AB955">
        <f>IF($D955="","",IF($AN955=1,0,IF($AM955=1,Settings!$C$6,Settings!$C$7))*100)</f>
        <v/>
      </c>
      <c r="AF955" s="7" t="n"/>
      <c r="AI955" s="11" t="n"/>
      <c r="AK955">
        <f>IF($D955="","",IF(COUNTIF($D$2:$D955,$D955)=1,1,0))</f>
        <v/>
      </c>
      <c r="AL955">
        <f>IF($AK955=1,SUMPRODUCT(--($AO$2:$AO$1501&lt;$AO955))+1,"")</f>
        <v/>
      </c>
      <c r="AM955">
        <f>IF($D955="","",IF(OR($R955=TRUE(),$R955="TRUE"),1,0))</f>
        <v/>
      </c>
      <c r="AN955">
        <f>IF($D955="","",IF($AA955="Yes",1,0))</f>
        <v/>
      </c>
      <c r="AO955">
        <f>IF($AK955=1,IFERROR(IF(VALUE($D955)&lt;100000000,VALUE($D955),1000000000),IFERROR(IF(VALUE(MID($D955,2,20))&lt;100000000,VALUE(MID($D955,2,20)),1000000000),1000000000))+ROW()/100000,"")</f>
        <v/>
      </c>
    </row>
    <row r="956">
      <c r="F956" s="11" t="n"/>
      <c r="N956" s="7">
        <f>IF($D956="","",M956*V956/100)</f>
        <v/>
      </c>
      <c r="O956" s="7" t="n"/>
      <c r="U956" s="7" t="n"/>
      <c r="V956" s="7" t="n"/>
      <c r="W956" s="7">
        <f>IF($D956="","",V956*AB956/100)</f>
        <v/>
      </c>
      <c r="X956" s="7">
        <f>IF($D956="","",V956-W956)</f>
        <v/>
      </c>
      <c r="Y956" s="7">
        <f>IF($D956="","",X956-N956)</f>
        <v/>
      </c>
      <c r="AB956">
        <f>IF($D956="","",IF($AN956=1,0,IF($AM956=1,Settings!$C$6,Settings!$C$7))*100)</f>
        <v/>
      </c>
      <c r="AF956" s="7" t="n"/>
      <c r="AI956" s="11" t="n"/>
      <c r="AK956">
        <f>IF($D956="","",IF(COUNTIF($D$2:$D956,$D956)=1,1,0))</f>
        <v/>
      </c>
      <c r="AL956">
        <f>IF($AK956=1,SUMPRODUCT(--($AO$2:$AO$1501&lt;$AO956))+1,"")</f>
        <v/>
      </c>
      <c r="AM956">
        <f>IF($D956="","",IF(OR($R956=TRUE(),$R956="TRUE"),1,0))</f>
        <v/>
      </c>
      <c r="AN956">
        <f>IF($D956="","",IF($AA956="Yes",1,0))</f>
        <v/>
      </c>
      <c r="AO956">
        <f>IF($AK956=1,IFERROR(IF(VALUE($D956)&lt;100000000,VALUE($D956),1000000000),IFERROR(IF(VALUE(MID($D956,2,20))&lt;100000000,VALUE(MID($D956,2,20)),1000000000),1000000000))+ROW()/100000,"")</f>
        <v/>
      </c>
    </row>
    <row r="957">
      <c r="F957" s="11" t="n"/>
      <c r="N957" s="7">
        <f>IF($D957="","",M957*V957/100)</f>
        <v/>
      </c>
      <c r="O957" s="7" t="n"/>
      <c r="U957" s="7" t="n"/>
      <c r="V957" s="7" t="n"/>
      <c r="W957" s="7">
        <f>IF($D957="","",V957*AB957/100)</f>
        <v/>
      </c>
      <c r="X957" s="7">
        <f>IF($D957="","",V957-W957)</f>
        <v/>
      </c>
      <c r="Y957" s="7">
        <f>IF($D957="","",X957-N957)</f>
        <v/>
      </c>
      <c r="AB957">
        <f>IF($D957="","",IF($AN957=1,0,IF($AM957=1,Settings!$C$6,Settings!$C$7))*100)</f>
        <v/>
      </c>
      <c r="AF957" s="7" t="n"/>
      <c r="AI957" s="11" t="n"/>
      <c r="AK957">
        <f>IF($D957="","",IF(COUNTIF($D$2:$D957,$D957)=1,1,0))</f>
        <v/>
      </c>
      <c r="AL957">
        <f>IF($AK957=1,SUMPRODUCT(--($AO$2:$AO$1501&lt;$AO957))+1,"")</f>
        <v/>
      </c>
      <c r="AM957">
        <f>IF($D957="","",IF(OR($R957=TRUE(),$R957="TRUE"),1,0))</f>
        <v/>
      </c>
      <c r="AN957">
        <f>IF($D957="","",IF($AA957="Yes",1,0))</f>
        <v/>
      </c>
      <c r="AO957">
        <f>IF($AK957=1,IFERROR(IF(VALUE($D957)&lt;100000000,VALUE($D957),1000000000),IFERROR(IF(VALUE(MID($D957,2,20))&lt;100000000,VALUE(MID($D957,2,20)),1000000000),1000000000))+ROW()/100000,"")</f>
        <v/>
      </c>
    </row>
    <row r="958">
      <c r="F958" s="11" t="n"/>
      <c r="N958" s="7">
        <f>IF($D958="","",M958*V958/100)</f>
        <v/>
      </c>
      <c r="O958" s="7" t="n"/>
      <c r="U958" s="7" t="n"/>
      <c r="V958" s="7" t="n"/>
      <c r="W958" s="7">
        <f>IF($D958="","",V958*AB958/100)</f>
        <v/>
      </c>
      <c r="X958" s="7">
        <f>IF($D958="","",V958-W958)</f>
        <v/>
      </c>
      <c r="Y958" s="7">
        <f>IF($D958="","",X958-N958)</f>
        <v/>
      </c>
      <c r="AB958">
        <f>IF($D958="","",IF($AN958=1,0,IF($AM958=1,Settings!$C$6,Settings!$C$7))*100)</f>
        <v/>
      </c>
      <c r="AF958" s="7" t="n"/>
      <c r="AI958" s="11" t="n"/>
      <c r="AK958">
        <f>IF($D958="","",IF(COUNTIF($D$2:$D958,$D958)=1,1,0))</f>
        <v/>
      </c>
      <c r="AL958">
        <f>IF($AK958=1,SUMPRODUCT(--($AO$2:$AO$1501&lt;$AO958))+1,"")</f>
        <v/>
      </c>
      <c r="AM958">
        <f>IF($D958="","",IF(OR($R958=TRUE(),$R958="TRUE"),1,0))</f>
        <v/>
      </c>
      <c r="AN958">
        <f>IF($D958="","",IF($AA958="Yes",1,0))</f>
        <v/>
      </c>
      <c r="AO958">
        <f>IF($AK958=1,IFERROR(IF(VALUE($D958)&lt;100000000,VALUE($D958),1000000000),IFERROR(IF(VALUE(MID($D958,2,20))&lt;100000000,VALUE(MID($D958,2,20)),1000000000),1000000000))+ROW()/100000,"")</f>
        <v/>
      </c>
    </row>
    <row r="959">
      <c r="F959" s="11" t="n"/>
      <c r="N959" s="7">
        <f>IF($D959="","",M959*V959/100)</f>
        <v/>
      </c>
      <c r="O959" s="7" t="n"/>
      <c r="U959" s="7" t="n"/>
      <c r="V959" s="7" t="n"/>
      <c r="W959" s="7">
        <f>IF($D959="","",V959*AB959/100)</f>
        <v/>
      </c>
      <c r="X959" s="7">
        <f>IF($D959="","",V959-W959)</f>
        <v/>
      </c>
      <c r="Y959" s="7">
        <f>IF($D959="","",X959-N959)</f>
        <v/>
      </c>
      <c r="AB959">
        <f>IF($D959="","",IF($AN959=1,0,IF($AM959=1,Settings!$C$6,Settings!$C$7))*100)</f>
        <v/>
      </c>
      <c r="AF959" s="7" t="n"/>
      <c r="AI959" s="11" t="n"/>
      <c r="AK959">
        <f>IF($D959="","",IF(COUNTIF($D$2:$D959,$D959)=1,1,0))</f>
        <v/>
      </c>
      <c r="AL959">
        <f>IF($AK959=1,SUMPRODUCT(--($AO$2:$AO$1501&lt;$AO959))+1,"")</f>
        <v/>
      </c>
      <c r="AM959">
        <f>IF($D959="","",IF(OR($R959=TRUE(),$R959="TRUE"),1,0))</f>
        <v/>
      </c>
      <c r="AN959">
        <f>IF($D959="","",IF($AA959="Yes",1,0))</f>
        <v/>
      </c>
      <c r="AO959">
        <f>IF($AK959=1,IFERROR(IF(VALUE($D959)&lt;100000000,VALUE($D959),1000000000),IFERROR(IF(VALUE(MID($D959,2,20))&lt;100000000,VALUE(MID($D959,2,20)),1000000000),1000000000))+ROW()/100000,"")</f>
        <v/>
      </c>
    </row>
    <row r="960">
      <c r="F960" s="11" t="n"/>
      <c r="N960" s="7">
        <f>IF($D960="","",M960*V960/100)</f>
        <v/>
      </c>
      <c r="O960" s="7" t="n"/>
      <c r="U960" s="7" t="n"/>
      <c r="V960" s="7" t="n"/>
      <c r="W960" s="7">
        <f>IF($D960="","",V960*AB960/100)</f>
        <v/>
      </c>
      <c r="X960" s="7">
        <f>IF($D960="","",V960-W960)</f>
        <v/>
      </c>
      <c r="Y960" s="7">
        <f>IF($D960="","",X960-N960)</f>
        <v/>
      </c>
      <c r="AB960">
        <f>IF($D960="","",IF($AN960=1,0,IF($AM960=1,Settings!$C$6,Settings!$C$7))*100)</f>
        <v/>
      </c>
      <c r="AF960" s="7" t="n"/>
      <c r="AI960" s="11" t="n"/>
      <c r="AK960">
        <f>IF($D960="","",IF(COUNTIF($D$2:$D960,$D960)=1,1,0))</f>
        <v/>
      </c>
      <c r="AL960">
        <f>IF($AK960=1,SUMPRODUCT(--($AO$2:$AO$1501&lt;$AO960))+1,"")</f>
        <v/>
      </c>
      <c r="AM960">
        <f>IF($D960="","",IF(OR($R960=TRUE(),$R960="TRUE"),1,0))</f>
        <v/>
      </c>
      <c r="AN960">
        <f>IF($D960="","",IF($AA960="Yes",1,0))</f>
        <v/>
      </c>
      <c r="AO960">
        <f>IF($AK960=1,IFERROR(IF(VALUE($D960)&lt;100000000,VALUE($D960),1000000000),IFERROR(IF(VALUE(MID($D960,2,20))&lt;100000000,VALUE(MID($D960,2,20)),1000000000),1000000000))+ROW()/100000,"")</f>
        <v/>
      </c>
    </row>
    <row r="961">
      <c r="F961" s="11" t="n"/>
      <c r="N961" s="7">
        <f>IF($D961="","",M961*V961/100)</f>
        <v/>
      </c>
      <c r="O961" s="7" t="n"/>
      <c r="U961" s="7" t="n"/>
      <c r="V961" s="7" t="n"/>
      <c r="W961" s="7">
        <f>IF($D961="","",V961*AB961/100)</f>
        <v/>
      </c>
      <c r="X961" s="7">
        <f>IF($D961="","",V961-W961)</f>
        <v/>
      </c>
      <c r="Y961" s="7">
        <f>IF($D961="","",X961-N961)</f>
        <v/>
      </c>
      <c r="AB961">
        <f>IF($D961="","",IF($AN961=1,0,IF($AM961=1,Settings!$C$6,Settings!$C$7))*100)</f>
        <v/>
      </c>
      <c r="AF961" s="7" t="n"/>
      <c r="AI961" s="11" t="n"/>
      <c r="AK961">
        <f>IF($D961="","",IF(COUNTIF($D$2:$D961,$D961)=1,1,0))</f>
        <v/>
      </c>
      <c r="AL961">
        <f>IF($AK961=1,SUMPRODUCT(--($AO$2:$AO$1501&lt;$AO961))+1,"")</f>
        <v/>
      </c>
      <c r="AM961">
        <f>IF($D961="","",IF(OR($R961=TRUE(),$R961="TRUE"),1,0))</f>
        <v/>
      </c>
      <c r="AN961">
        <f>IF($D961="","",IF($AA961="Yes",1,0))</f>
        <v/>
      </c>
      <c r="AO961">
        <f>IF($AK961=1,IFERROR(IF(VALUE($D961)&lt;100000000,VALUE($D961),1000000000),IFERROR(IF(VALUE(MID($D961,2,20))&lt;100000000,VALUE(MID($D961,2,20)),1000000000),1000000000))+ROW()/100000,"")</f>
        <v/>
      </c>
    </row>
    <row r="962">
      <c r="F962" s="11" t="n"/>
      <c r="N962" s="7">
        <f>IF($D962="","",M962*V962/100)</f>
        <v/>
      </c>
      <c r="O962" s="7" t="n"/>
      <c r="U962" s="7" t="n"/>
      <c r="V962" s="7" t="n"/>
      <c r="W962" s="7">
        <f>IF($D962="","",V962*AB962/100)</f>
        <v/>
      </c>
      <c r="X962" s="7">
        <f>IF($D962="","",V962-W962)</f>
        <v/>
      </c>
      <c r="Y962" s="7">
        <f>IF($D962="","",X962-N962)</f>
        <v/>
      </c>
      <c r="AB962">
        <f>IF($D962="","",IF($AN962=1,0,IF($AM962=1,Settings!$C$6,Settings!$C$7))*100)</f>
        <v/>
      </c>
      <c r="AF962" s="7" t="n"/>
      <c r="AI962" s="11" t="n"/>
      <c r="AK962">
        <f>IF($D962="","",IF(COUNTIF($D$2:$D962,$D962)=1,1,0))</f>
        <v/>
      </c>
      <c r="AL962">
        <f>IF($AK962=1,SUMPRODUCT(--($AO$2:$AO$1501&lt;$AO962))+1,"")</f>
        <v/>
      </c>
      <c r="AM962">
        <f>IF($D962="","",IF(OR($R962=TRUE(),$R962="TRUE"),1,0))</f>
        <v/>
      </c>
      <c r="AN962">
        <f>IF($D962="","",IF($AA962="Yes",1,0))</f>
        <v/>
      </c>
      <c r="AO962">
        <f>IF($AK962=1,IFERROR(IF(VALUE($D962)&lt;100000000,VALUE($D962),1000000000),IFERROR(IF(VALUE(MID($D962,2,20))&lt;100000000,VALUE(MID($D962,2,20)),1000000000),1000000000))+ROW()/100000,"")</f>
        <v/>
      </c>
    </row>
    <row r="963">
      <c r="F963" s="11" t="n"/>
      <c r="N963" s="7">
        <f>IF($D963="","",M963*V963/100)</f>
        <v/>
      </c>
      <c r="O963" s="7" t="n"/>
      <c r="U963" s="7" t="n"/>
      <c r="V963" s="7" t="n"/>
      <c r="W963" s="7">
        <f>IF($D963="","",V963*AB963/100)</f>
        <v/>
      </c>
      <c r="X963" s="7">
        <f>IF($D963="","",V963-W963)</f>
        <v/>
      </c>
      <c r="Y963" s="7">
        <f>IF($D963="","",X963-N963)</f>
        <v/>
      </c>
      <c r="AB963">
        <f>IF($D963="","",IF($AN963=1,0,IF($AM963=1,Settings!$C$6,Settings!$C$7))*100)</f>
        <v/>
      </c>
      <c r="AF963" s="7" t="n"/>
      <c r="AI963" s="11" t="n"/>
      <c r="AK963">
        <f>IF($D963="","",IF(COUNTIF($D$2:$D963,$D963)=1,1,0))</f>
        <v/>
      </c>
      <c r="AL963">
        <f>IF($AK963=1,SUMPRODUCT(--($AO$2:$AO$1501&lt;$AO963))+1,"")</f>
        <v/>
      </c>
      <c r="AM963">
        <f>IF($D963="","",IF(OR($R963=TRUE(),$R963="TRUE"),1,0))</f>
        <v/>
      </c>
      <c r="AN963">
        <f>IF($D963="","",IF($AA963="Yes",1,0))</f>
        <v/>
      </c>
      <c r="AO963">
        <f>IF($AK963=1,IFERROR(IF(VALUE($D963)&lt;100000000,VALUE($D963),1000000000),IFERROR(IF(VALUE(MID($D963,2,20))&lt;100000000,VALUE(MID($D963,2,20)),1000000000),1000000000))+ROW()/100000,"")</f>
        <v/>
      </c>
    </row>
    <row r="964">
      <c r="F964" s="11" t="n"/>
      <c r="N964" s="7">
        <f>IF($D964="","",M964*V964/100)</f>
        <v/>
      </c>
      <c r="O964" s="7" t="n"/>
      <c r="U964" s="7" t="n"/>
      <c r="V964" s="7" t="n"/>
      <c r="W964" s="7">
        <f>IF($D964="","",V964*AB964/100)</f>
        <v/>
      </c>
      <c r="X964" s="7">
        <f>IF($D964="","",V964-W964)</f>
        <v/>
      </c>
      <c r="Y964" s="7">
        <f>IF($D964="","",X964-N964)</f>
        <v/>
      </c>
      <c r="AB964">
        <f>IF($D964="","",IF($AN964=1,0,IF($AM964=1,Settings!$C$6,Settings!$C$7))*100)</f>
        <v/>
      </c>
      <c r="AF964" s="7" t="n"/>
      <c r="AI964" s="11" t="n"/>
      <c r="AK964">
        <f>IF($D964="","",IF(COUNTIF($D$2:$D964,$D964)=1,1,0))</f>
        <v/>
      </c>
      <c r="AL964">
        <f>IF($AK964=1,SUMPRODUCT(--($AO$2:$AO$1501&lt;$AO964))+1,"")</f>
        <v/>
      </c>
      <c r="AM964">
        <f>IF($D964="","",IF(OR($R964=TRUE(),$R964="TRUE"),1,0))</f>
        <v/>
      </c>
      <c r="AN964">
        <f>IF($D964="","",IF($AA964="Yes",1,0))</f>
        <v/>
      </c>
      <c r="AO964">
        <f>IF($AK964=1,IFERROR(IF(VALUE($D964)&lt;100000000,VALUE($D964),1000000000),IFERROR(IF(VALUE(MID($D964,2,20))&lt;100000000,VALUE(MID($D964,2,20)),1000000000),1000000000))+ROW()/100000,"")</f>
        <v/>
      </c>
    </row>
    <row r="965">
      <c r="F965" s="11" t="n"/>
      <c r="N965" s="7">
        <f>IF($D965="","",M965*V965/100)</f>
        <v/>
      </c>
      <c r="O965" s="7" t="n"/>
      <c r="U965" s="7" t="n"/>
      <c r="V965" s="7" t="n"/>
      <c r="W965" s="7">
        <f>IF($D965="","",V965*AB965/100)</f>
        <v/>
      </c>
      <c r="X965" s="7">
        <f>IF($D965="","",V965-W965)</f>
        <v/>
      </c>
      <c r="Y965" s="7">
        <f>IF($D965="","",X965-N965)</f>
        <v/>
      </c>
      <c r="AB965">
        <f>IF($D965="","",IF($AN965=1,0,IF($AM965=1,Settings!$C$6,Settings!$C$7))*100)</f>
        <v/>
      </c>
      <c r="AF965" s="7" t="n"/>
      <c r="AI965" s="11" t="n"/>
      <c r="AK965">
        <f>IF($D965="","",IF(COUNTIF($D$2:$D965,$D965)=1,1,0))</f>
        <v/>
      </c>
      <c r="AL965">
        <f>IF($AK965=1,SUMPRODUCT(--($AO$2:$AO$1501&lt;$AO965))+1,"")</f>
        <v/>
      </c>
      <c r="AM965">
        <f>IF($D965="","",IF(OR($R965=TRUE(),$R965="TRUE"),1,0))</f>
        <v/>
      </c>
      <c r="AN965">
        <f>IF($D965="","",IF($AA965="Yes",1,0))</f>
        <v/>
      </c>
      <c r="AO965">
        <f>IF($AK965=1,IFERROR(IF(VALUE($D965)&lt;100000000,VALUE($D965),1000000000),IFERROR(IF(VALUE(MID($D965,2,20))&lt;100000000,VALUE(MID($D965,2,20)),1000000000),1000000000))+ROW()/100000,"")</f>
        <v/>
      </c>
    </row>
    <row r="966">
      <c r="F966" s="11" t="n"/>
      <c r="N966" s="7">
        <f>IF($D966="","",M966*V966/100)</f>
        <v/>
      </c>
      <c r="O966" s="7" t="n"/>
      <c r="U966" s="7" t="n"/>
      <c r="V966" s="7" t="n"/>
      <c r="W966" s="7">
        <f>IF($D966="","",V966*AB966/100)</f>
        <v/>
      </c>
      <c r="X966" s="7">
        <f>IF($D966="","",V966-W966)</f>
        <v/>
      </c>
      <c r="Y966" s="7">
        <f>IF($D966="","",X966-N966)</f>
        <v/>
      </c>
      <c r="AB966">
        <f>IF($D966="","",IF($AN966=1,0,IF($AM966=1,Settings!$C$6,Settings!$C$7))*100)</f>
        <v/>
      </c>
      <c r="AF966" s="7" t="n"/>
      <c r="AI966" s="11" t="n"/>
      <c r="AK966">
        <f>IF($D966="","",IF(COUNTIF($D$2:$D966,$D966)=1,1,0))</f>
        <v/>
      </c>
      <c r="AL966">
        <f>IF($AK966=1,SUMPRODUCT(--($AO$2:$AO$1501&lt;$AO966))+1,"")</f>
        <v/>
      </c>
      <c r="AM966">
        <f>IF($D966="","",IF(OR($R966=TRUE(),$R966="TRUE"),1,0))</f>
        <v/>
      </c>
      <c r="AN966">
        <f>IF($D966="","",IF($AA966="Yes",1,0))</f>
        <v/>
      </c>
      <c r="AO966">
        <f>IF($AK966=1,IFERROR(IF(VALUE($D966)&lt;100000000,VALUE($D966),1000000000),IFERROR(IF(VALUE(MID($D966,2,20))&lt;100000000,VALUE(MID($D966,2,20)),1000000000),1000000000))+ROW()/100000,"")</f>
        <v/>
      </c>
    </row>
    <row r="967">
      <c r="F967" s="11" t="n"/>
      <c r="N967" s="7">
        <f>IF($D967="","",M967*V967/100)</f>
        <v/>
      </c>
      <c r="O967" s="7" t="n"/>
      <c r="U967" s="7" t="n"/>
      <c r="V967" s="7" t="n"/>
      <c r="W967" s="7">
        <f>IF($D967="","",V967*AB967/100)</f>
        <v/>
      </c>
      <c r="X967" s="7">
        <f>IF($D967="","",V967-W967)</f>
        <v/>
      </c>
      <c r="Y967" s="7">
        <f>IF($D967="","",X967-N967)</f>
        <v/>
      </c>
      <c r="AB967">
        <f>IF($D967="","",IF($AN967=1,0,IF($AM967=1,Settings!$C$6,Settings!$C$7))*100)</f>
        <v/>
      </c>
      <c r="AF967" s="7" t="n"/>
      <c r="AI967" s="11" t="n"/>
      <c r="AK967">
        <f>IF($D967="","",IF(COUNTIF($D$2:$D967,$D967)=1,1,0))</f>
        <v/>
      </c>
      <c r="AL967">
        <f>IF($AK967=1,SUMPRODUCT(--($AO$2:$AO$1501&lt;$AO967))+1,"")</f>
        <v/>
      </c>
      <c r="AM967">
        <f>IF($D967="","",IF(OR($R967=TRUE(),$R967="TRUE"),1,0))</f>
        <v/>
      </c>
      <c r="AN967">
        <f>IF($D967="","",IF($AA967="Yes",1,0))</f>
        <v/>
      </c>
      <c r="AO967">
        <f>IF($AK967=1,IFERROR(IF(VALUE($D967)&lt;100000000,VALUE($D967),1000000000),IFERROR(IF(VALUE(MID($D967,2,20))&lt;100000000,VALUE(MID($D967,2,20)),1000000000),1000000000))+ROW()/100000,"")</f>
        <v/>
      </c>
    </row>
    <row r="968">
      <c r="F968" s="11" t="n"/>
      <c r="N968" s="7">
        <f>IF($D968="","",M968*V968/100)</f>
        <v/>
      </c>
      <c r="O968" s="7" t="n"/>
      <c r="U968" s="7" t="n"/>
      <c r="V968" s="7" t="n"/>
      <c r="W968" s="7">
        <f>IF($D968="","",V968*AB968/100)</f>
        <v/>
      </c>
      <c r="X968" s="7">
        <f>IF($D968="","",V968-W968)</f>
        <v/>
      </c>
      <c r="Y968" s="7">
        <f>IF($D968="","",X968-N968)</f>
        <v/>
      </c>
      <c r="AB968">
        <f>IF($D968="","",IF($AN968=1,0,IF($AM968=1,Settings!$C$6,Settings!$C$7))*100)</f>
        <v/>
      </c>
      <c r="AF968" s="7" t="n"/>
      <c r="AI968" s="11" t="n"/>
      <c r="AK968">
        <f>IF($D968="","",IF(COUNTIF($D$2:$D968,$D968)=1,1,0))</f>
        <v/>
      </c>
      <c r="AL968">
        <f>IF($AK968=1,SUMPRODUCT(--($AO$2:$AO$1501&lt;$AO968))+1,"")</f>
        <v/>
      </c>
      <c r="AM968">
        <f>IF($D968="","",IF(OR($R968=TRUE(),$R968="TRUE"),1,0))</f>
        <v/>
      </c>
      <c r="AN968">
        <f>IF($D968="","",IF($AA968="Yes",1,0))</f>
        <v/>
      </c>
      <c r="AO968">
        <f>IF($AK968=1,IFERROR(IF(VALUE($D968)&lt;100000000,VALUE($D968),1000000000),IFERROR(IF(VALUE(MID($D968,2,20))&lt;100000000,VALUE(MID($D968,2,20)),1000000000),1000000000))+ROW()/100000,"")</f>
        <v/>
      </c>
    </row>
    <row r="969">
      <c r="F969" s="11" t="n"/>
      <c r="N969" s="7">
        <f>IF($D969="","",M969*V969/100)</f>
        <v/>
      </c>
      <c r="O969" s="7" t="n"/>
      <c r="U969" s="7" t="n"/>
      <c r="V969" s="7" t="n"/>
      <c r="W969" s="7">
        <f>IF($D969="","",V969*AB969/100)</f>
        <v/>
      </c>
      <c r="X969" s="7">
        <f>IF($D969="","",V969-W969)</f>
        <v/>
      </c>
      <c r="Y969" s="7">
        <f>IF($D969="","",X969-N969)</f>
        <v/>
      </c>
      <c r="AB969">
        <f>IF($D969="","",IF($AN969=1,0,IF($AM969=1,Settings!$C$6,Settings!$C$7))*100)</f>
        <v/>
      </c>
      <c r="AF969" s="7" t="n"/>
      <c r="AI969" s="11" t="n"/>
      <c r="AK969">
        <f>IF($D969="","",IF(COUNTIF($D$2:$D969,$D969)=1,1,0))</f>
        <v/>
      </c>
      <c r="AL969">
        <f>IF($AK969=1,SUMPRODUCT(--($AO$2:$AO$1501&lt;$AO969))+1,"")</f>
        <v/>
      </c>
      <c r="AM969">
        <f>IF($D969="","",IF(OR($R969=TRUE(),$R969="TRUE"),1,0))</f>
        <v/>
      </c>
      <c r="AN969">
        <f>IF($D969="","",IF($AA969="Yes",1,0))</f>
        <v/>
      </c>
      <c r="AO969">
        <f>IF($AK969=1,IFERROR(IF(VALUE($D969)&lt;100000000,VALUE($D969),1000000000),IFERROR(IF(VALUE(MID($D969,2,20))&lt;100000000,VALUE(MID($D969,2,20)),1000000000),1000000000))+ROW()/100000,"")</f>
        <v/>
      </c>
    </row>
    <row r="970">
      <c r="F970" s="11" t="n"/>
      <c r="N970" s="7">
        <f>IF($D970="","",M970*V970/100)</f>
        <v/>
      </c>
      <c r="O970" s="7" t="n"/>
      <c r="U970" s="7" t="n"/>
      <c r="V970" s="7" t="n"/>
      <c r="W970" s="7">
        <f>IF($D970="","",V970*AB970/100)</f>
        <v/>
      </c>
      <c r="X970" s="7">
        <f>IF($D970="","",V970-W970)</f>
        <v/>
      </c>
      <c r="Y970" s="7">
        <f>IF($D970="","",X970-N970)</f>
        <v/>
      </c>
      <c r="AB970">
        <f>IF($D970="","",IF($AN970=1,0,IF($AM970=1,Settings!$C$6,Settings!$C$7))*100)</f>
        <v/>
      </c>
      <c r="AF970" s="7" t="n"/>
      <c r="AI970" s="11" t="n"/>
      <c r="AK970">
        <f>IF($D970="","",IF(COUNTIF($D$2:$D970,$D970)=1,1,0))</f>
        <v/>
      </c>
      <c r="AL970">
        <f>IF($AK970=1,SUMPRODUCT(--($AO$2:$AO$1501&lt;$AO970))+1,"")</f>
        <v/>
      </c>
      <c r="AM970">
        <f>IF($D970="","",IF(OR($R970=TRUE(),$R970="TRUE"),1,0))</f>
        <v/>
      </c>
      <c r="AN970">
        <f>IF($D970="","",IF($AA970="Yes",1,0))</f>
        <v/>
      </c>
      <c r="AO970">
        <f>IF($AK970=1,IFERROR(IF(VALUE($D970)&lt;100000000,VALUE($D970),1000000000),IFERROR(IF(VALUE(MID($D970,2,20))&lt;100000000,VALUE(MID($D970,2,20)),1000000000),1000000000))+ROW()/100000,"")</f>
        <v/>
      </c>
    </row>
    <row r="971">
      <c r="F971" s="11" t="n"/>
      <c r="N971" s="7">
        <f>IF($D971="","",M971*V971/100)</f>
        <v/>
      </c>
      <c r="O971" s="7" t="n"/>
      <c r="U971" s="7" t="n"/>
      <c r="V971" s="7" t="n"/>
      <c r="W971" s="7">
        <f>IF($D971="","",V971*AB971/100)</f>
        <v/>
      </c>
      <c r="X971" s="7">
        <f>IF($D971="","",V971-W971)</f>
        <v/>
      </c>
      <c r="Y971" s="7">
        <f>IF($D971="","",X971-N971)</f>
        <v/>
      </c>
      <c r="AB971">
        <f>IF($D971="","",IF($AN971=1,0,IF($AM971=1,Settings!$C$6,Settings!$C$7))*100)</f>
        <v/>
      </c>
      <c r="AF971" s="7" t="n"/>
      <c r="AI971" s="11" t="n"/>
      <c r="AK971">
        <f>IF($D971="","",IF(COUNTIF($D$2:$D971,$D971)=1,1,0))</f>
        <v/>
      </c>
      <c r="AL971">
        <f>IF($AK971=1,SUMPRODUCT(--($AO$2:$AO$1501&lt;$AO971))+1,"")</f>
        <v/>
      </c>
      <c r="AM971">
        <f>IF($D971="","",IF(OR($R971=TRUE(),$R971="TRUE"),1,0))</f>
        <v/>
      </c>
      <c r="AN971">
        <f>IF($D971="","",IF($AA971="Yes",1,0))</f>
        <v/>
      </c>
      <c r="AO971">
        <f>IF($AK971=1,IFERROR(IF(VALUE($D971)&lt;100000000,VALUE($D971),1000000000),IFERROR(IF(VALUE(MID($D971,2,20))&lt;100000000,VALUE(MID($D971,2,20)),1000000000),1000000000))+ROW()/100000,"")</f>
        <v/>
      </c>
    </row>
    <row r="972">
      <c r="F972" s="11" t="n"/>
      <c r="N972" s="7">
        <f>IF($D972="","",M972*V972/100)</f>
        <v/>
      </c>
      <c r="O972" s="7" t="n"/>
      <c r="U972" s="7" t="n"/>
      <c r="V972" s="7" t="n"/>
      <c r="W972" s="7">
        <f>IF($D972="","",V972*AB972/100)</f>
        <v/>
      </c>
      <c r="X972" s="7">
        <f>IF($D972="","",V972-W972)</f>
        <v/>
      </c>
      <c r="Y972" s="7">
        <f>IF($D972="","",X972-N972)</f>
        <v/>
      </c>
      <c r="AB972">
        <f>IF($D972="","",IF($AN972=1,0,IF($AM972=1,Settings!$C$6,Settings!$C$7))*100)</f>
        <v/>
      </c>
      <c r="AF972" s="7" t="n"/>
      <c r="AI972" s="11" t="n"/>
      <c r="AK972">
        <f>IF($D972="","",IF(COUNTIF($D$2:$D972,$D972)=1,1,0))</f>
        <v/>
      </c>
      <c r="AL972">
        <f>IF($AK972=1,SUMPRODUCT(--($AO$2:$AO$1501&lt;$AO972))+1,"")</f>
        <v/>
      </c>
      <c r="AM972">
        <f>IF($D972="","",IF(OR($R972=TRUE(),$R972="TRUE"),1,0))</f>
        <v/>
      </c>
      <c r="AN972">
        <f>IF($D972="","",IF($AA972="Yes",1,0))</f>
        <v/>
      </c>
      <c r="AO972">
        <f>IF($AK972=1,IFERROR(IF(VALUE($D972)&lt;100000000,VALUE($D972),1000000000),IFERROR(IF(VALUE(MID($D972,2,20))&lt;100000000,VALUE(MID($D972,2,20)),1000000000),1000000000))+ROW()/100000,"")</f>
        <v/>
      </c>
    </row>
    <row r="973">
      <c r="F973" s="11" t="n"/>
      <c r="N973" s="7">
        <f>IF($D973="","",M973*V973/100)</f>
        <v/>
      </c>
      <c r="O973" s="7" t="n"/>
      <c r="U973" s="7" t="n"/>
      <c r="V973" s="7" t="n"/>
      <c r="W973" s="7">
        <f>IF($D973="","",V973*AB973/100)</f>
        <v/>
      </c>
      <c r="X973" s="7">
        <f>IF($D973="","",V973-W973)</f>
        <v/>
      </c>
      <c r="Y973" s="7">
        <f>IF($D973="","",X973-N973)</f>
        <v/>
      </c>
      <c r="AB973">
        <f>IF($D973="","",IF($AN973=1,0,IF($AM973=1,Settings!$C$6,Settings!$C$7))*100)</f>
        <v/>
      </c>
      <c r="AF973" s="7" t="n"/>
      <c r="AI973" s="11" t="n"/>
      <c r="AK973">
        <f>IF($D973="","",IF(COUNTIF($D$2:$D973,$D973)=1,1,0))</f>
        <v/>
      </c>
      <c r="AL973">
        <f>IF($AK973=1,SUMPRODUCT(--($AO$2:$AO$1501&lt;$AO973))+1,"")</f>
        <v/>
      </c>
      <c r="AM973">
        <f>IF($D973="","",IF(OR($R973=TRUE(),$R973="TRUE"),1,0))</f>
        <v/>
      </c>
      <c r="AN973">
        <f>IF($D973="","",IF($AA973="Yes",1,0))</f>
        <v/>
      </c>
      <c r="AO973">
        <f>IF($AK973=1,IFERROR(IF(VALUE($D973)&lt;100000000,VALUE($D973),1000000000),IFERROR(IF(VALUE(MID($D973,2,20))&lt;100000000,VALUE(MID($D973,2,20)),1000000000),1000000000))+ROW()/100000,"")</f>
        <v/>
      </c>
    </row>
    <row r="974">
      <c r="F974" s="11" t="n"/>
      <c r="N974" s="7">
        <f>IF($D974="","",M974*V974/100)</f>
        <v/>
      </c>
      <c r="O974" s="7" t="n"/>
      <c r="U974" s="7" t="n"/>
      <c r="V974" s="7" t="n"/>
      <c r="W974" s="7">
        <f>IF($D974="","",V974*AB974/100)</f>
        <v/>
      </c>
      <c r="X974" s="7">
        <f>IF($D974="","",V974-W974)</f>
        <v/>
      </c>
      <c r="Y974" s="7">
        <f>IF($D974="","",X974-N974)</f>
        <v/>
      </c>
      <c r="AB974">
        <f>IF($D974="","",IF($AN974=1,0,IF($AM974=1,Settings!$C$6,Settings!$C$7))*100)</f>
        <v/>
      </c>
      <c r="AF974" s="7" t="n"/>
      <c r="AI974" s="11" t="n"/>
      <c r="AK974">
        <f>IF($D974="","",IF(COUNTIF($D$2:$D974,$D974)=1,1,0))</f>
        <v/>
      </c>
      <c r="AL974">
        <f>IF($AK974=1,SUMPRODUCT(--($AO$2:$AO$1501&lt;$AO974))+1,"")</f>
        <v/>
      </c>
      <c r="AM974">
        <f>IF($D974="","",IF(OR($R974=TRUE(),$R974="TRUE"),1,0))</f>
        <v/>
      </c>
      <c r="AN974">
        <f>IF($D974="","",IF($AA974="Yes",1,0))</f>
        <v/>
      </c>
      <c r="AO974">
        <f>IF($AK974=1,IFERROR(IF(VALUE($D974)&lt;100000000,VALUE($D974),1000000000),IFERROR(IF(VALUE(MID($D974,2,20))&lt;100000000,VALUE(MID($D974,2,20)),1000000000),1000000000))+ROW()/100000,"")</f>
        <v/>
      </c>
    </row>
    <row r="975">
      <c r="F975" s="11" t="n"/>
      <c r="N975" s="7">
        <f>IF($D975="","",M975*V975/100)</f>
        <v/>
      </c>
      <c r="O975" s="7" t="n"/>
      <c r="U975" s="7" t="n"/>
      <c r="V975" s="7" t="n"/>
      <c r="W975" s="7">
        <f>IF($D975="","",V975*AB975/100)</f>
        <v/>
      </c>
      <c r="X975" s="7">
        <f>IF($D975="","",V975-W975)</f>
        <v/>
      </c>
      <c r="Y975" s="7">
        <f>IF($D975="","",X975-N975)</f>
        <v/>
      </c>
      <c r="AB975">
        <f>IF($D975="","",IF($AN975=1,0,IF($AM975=1,Settings!$C$6,Settings!$C$7))*100)</f>
        <v/>
      </c>
      <c r="AF975" s="7" t="n"/>
      <c r="AI975" s="11" t="n"/>
      <c r="AK975">
        <f>IF($D975="","",IF(COUNTIF($D$2:$D975,$D975)=1,1,0))</f>
        <v/>
      </c>
      <c r="AL975">
        <f>IF($AK975=1,SUMPRODUCT(--($AO$2:$AO$1501&lt;$AO975))+1,"")</f>
        <v/>
      </c>
      <c r="AM975">
        <f>IF($D975="","",IF(OR($R975=TRUE(),$R975="TRUE"),1,0))</f>
        <v/>
      </c>
      <c r="AN975">
        <f>IF($D975="","",IF($AA975="Yes",1,0))</f>
        <v/>
      </c>
      <c r="AO975">
        <f>IF($AK975=1,IFERROR(IF(VALUE($D975)&lt;100000000,VALUE($D975),1000000000),IFERROR(IF(VALUE(MID($D975,2,20))&lt;100000000,VALUE(MID($D975,2,20)),1000000000),1000000000))+ROW()/100000,"")</f>
        <v/>
      </c>
    </row>
    <row r="976">
      <c r="F976" s="11" t="n"/>
      <c r="N976" s="7">
        <f>IF($D976="","",M976*V976/100)</f>
        <v/>
      </c>
      <c r="O976" s="7" t="n"/>
      <c r="U976" s="7" t="n"/>
      <c r="V976" s="7" t="n"/>
      <c r="W976" s="7">
        <f>IF($D976="","",V976*AB976/100)</f>
        <v/>
      </c>
      <c r="X976" s="7">
        <f>IF($D976="","",V976-W976)</f>
        <v/>
      </c>
      <c r="Y976" s="7">
        <f>IF($D976="","",X976-N976)</f>
        <v/>
      </c>
      <c r="AB976">
        <f>IF($D976="","",IF($AN976=1,0,IF($AM976=1,Settings!$C$6,Settings!$C$7))*100)</f>
        <v/>
      </c>
      <c r="AF976" s="7" t="n"/>
      <c r="AI976" s="11" t="n"/>
      <c r="AK976">
        <f>IF($D976="","",IF(COUNTIF($D$2:$D976,$D976)=1,1,0))</f>
        <v/>
      </c>
      <c r="AL976">
        <f>IF($AK976=1,SUMPRODUCT(--($AO$2:$AO$1501&lt;$AO976))+1,"")</f>
        <v/>
      </c>
      <c r="AM976">
        <f>IF($D976="","",IF(OR($R976=TRUE(),$R976="TRUE"),1,0))</f>
        <v/>
      </c>
      <c r="AN976">
        <f>IF($D976="","",IF($AA976="Yes",1,0))</f>
        <v/>
      </c>
      <c r="AO976">
        <f>IF($AK976=1,IFERROR(IF(VALUE($D976)&lt;100000000,VALUE($D976),1000000000),IFERROR(IF(VALUE(MID($D976,2,20))&lt;100000000,VALUE(MID($D976,2,20)),1000000000),1000000000))+ROW()/100000,"")</f>
        <v/>
      </c>
    </row>
    <row r="977">
      <c r="F977" s="11" t="n"/>
      <c r="N977" s="7">
        <f>IF($D977="","",M977*V977/100)</f>
        <v/>
      </c>
      <c r="O977" s="7" t="n"/>
      <c r="U977" s="7" t="n"/>
      <c r="V977" s="7" t="n"/>
      <c r="W977" s="7">
        <f>IF($D977="","",V977*AB977/100)</f>
        <v/>
      </c>
      <c r="X977" s="7">
        <f>IF($D977="","",V977-W977)</f>
        <v/>
      </c>
      <c r="Y977" s="7">
        <f>IF($D977="","",X977-N977)</f>
        <v/>
      </c>
      <c r="AB977">
        <f>IF($D977="","",IF($AN977=1,0,IF($AM977=1,Settings!$C$6,Settings!$C$7))*100)</f>
        <v/>
      </c>
      <c r="AF977" s="7" t="n"/>
      <c r="AI977" s="11" t="n"/>
      <c r="AK977">
        <f>IF($D977="","",IF(COUNTIF($D$2:$D977,$D977)=1,1,0))</f>
        <v/>
      </c>
      <c r="AL977">
        <f>IF($AK977=1,SUMPRODUCT(--($AO$2:$AO$1501&lt;$AO977))+1,"")</f>
        <v/>
      </c>
      <c r="AM977">
        <f>IF($D977="","",IF(OR($R977=TRUE(),$R977="TRUE"),1,0))</f>
        <v/>
      </c>
      <c r="AN977">
        <f>IF($D977="","",IF($AA977="Yes",1,0))</f>
        <v/>
      </c>
      <c r="AO977">
        <f>IF($AK977=1,IFERROR(IF(VALUE($D977)&lt;100000000,VALUE($D977),1000000000),IFERROR(IF(VALUE(MID($D977,2,20))&lt;100000000,VALUE(MID($D977,2,20)),1000000000),1000000000))+ROW()/100000,"")</f>
        <v/>
      </c>
    </row>
    <row r="978">
      <c r="F978" s="11" t="n"/>
      <c r="N978" s="7">
        <f>IF($D978="","",M978*V978/100)</f>
        <v/>
      </c>
      <c r="O978" s="7" t="n"/>
      <c r="U978" s="7" t="n"/>
      <c r="V978" s="7" t="n"/>
      <c r="W978" s="7">
        <f>IF($D978="","",V978*AB978/100)</f>
        <v/>
      </c>
      <c r="X978" s="7">
        <f>IF($D978="","",V978-W978)</f>
        <v/>
      </c>
      <c r="Y978" s="7">
        <f>IF($D978="","",X978-N978)</f>
        <v/>
      </c>
      <c r="AB978">
        <f>IF($D978="","",IF($AN978=1,0,IF($AM978=1,Settings!$C$6,Settings!$C$7))*100)</f>
        <v/>
      </c>
      <c r="AF978" s="7" t="n"/>
      <c r="AI978" s="11" t="n"/>
      <c r="AK978">
        <f>IF($D978="","",IF(COUNTIF($D$2:$D978,$D978)=1,1,0))</f>
        <v/>
      </c>
      <c r="AL978">
        <f>IF($AK978=1,SUMPRODUCT(--($AO$2:$AO$1501&lt;$AO978))+1,"")</f>
        <v/>
      </c>
      <c r="AM978">
        <f>IF($D978="","",IF(OR($R978=TRUE(),$R978="TRUE"),1,0))</f>
        <v/>
      </c>
      <c r="AN978">
        <f>IF($D978="","",IF($AA978="Yes",1,0))</f>
        <v/>
      </c>
      <c r="AO978">
        <f>IF($AK978=1,IFERROR(IF(VALUE($D978)&lt;100000000,VALUE($D978),1000000000),IFERROR(IF(VALUE(MID($D978,2,20))&lt;100000000,VALUE(MID($D978,2,20)),1000000000),1000000000))+ROW()/100000,"")</f>
        <v/>
      </c>
    </row>
    <row r="979">
      <c r="F979" s="11" t="n"/>
      <c r="N979" s="7">
        <f>IF($D979="","",M979*V979/100)</f>
        <v/>
      </c>
      <c r="O979" s="7" t="n"/>
      <c r="U979" s="7" t="n"/>
      <c r="V979" s="7" t="n"/>
      <c r="W979" s="7">
        <f>IF($D979="","",V979*AB979/100)</f>
        <v/>
      </c>
      <c r="X979" s="7">
        <f>IF($D979="","",V979-W979)</f>
        <v/>
      </c>
      <c r="Y979" s="7">
        <f>IF($D979="","",X979-N979)</f>
        <v/>
      </c>
      <c r="AB979">
        <f>IF($D979="","",IF($AN979=1,0,IF($AM979=1,Settings!$C$6,Settings!$C$7))*100)</f>
        <v/>
      </c>
      <c r="AF979" s="7" t="n"/>
      <c r="AI979" s="11" t="n"/>
      <c r="AK979">
        <f>IF($D979="","",IF(COUNTIF($D$2:$D979,$D979)=1,1,0))</f>
        <v/>
      </c>
      <c r="AL979">
        <f>IF($AK979=1,SUMPRODUCT(--($AO$2:$AO$1501&lt;$AO979))+1,"")</f>
        <v/>
      </c>
      <c r="AM979">
        <f>IF($D979="","",IF(OR($R979=TRUE(),$R979="TRUE"),1,0))</f>
        <v/>
      </c>
      <c r="AN979">
        <f>IF($D979="","",IF($AA979="Yes",1,0))</f>
        <v/>
      </c>
      <c r="AO979">
        <f>IF($AK979=1,IFERROR(IF(VALUE($D979)&lt;100000000,VALUE($D979),1000000000),IFERROR(IF(VALUE(MID($D979,2,20))&lt;100000000,VALUE(MID($D979,2,20)),1000000000),1000000000))+ROW()/100000,"")</f>
        <v/>
      </c>
    </row>
    <row r="980">
      <c r="F980" s="11" t="n"/>
      <c r="N980" s="7">
        <f>IF($D980="","",M980*V980/100)</f>
        <v/>
      </c>
      <c r="O980" s="7" t="n"/>
      <c r="U980" s="7" t="n"/>
      <c r="V980" s="7" t="n"/>
      <c r="W980" s="7">
        <f>IF($D980="","",V980*AB980/100)</f>
        <v/>
      </c>
      <c r="X980" s="7">
        <f>IF($D980="","",V980-W980)</f>
        <v/>
      </c>
      <c r="Y980" s="7">
        <f>IF($D980="","",X980-N980)</f>
        <v/>
      </c>
      <c r="AB980">
        <f>IF($D980="","",IF($AN980=1,0,IF($AM980=1,Settings!$C$6,Settings!$C$7))*100)</f>
        <v/>
      </c>
      <c r="AF980" s="7" t="n"/>
      <c r="AI980" s="11" t="n"/>
      <c r="AK980">
        <f>IF($D980="","",IF(COUNTIF($D$2:$D980,$D980)=1,1,0))</f>
        <v/>
      </c>
      <c r="AL980">
        <f>IF($AK980=1,SUMPRODUCT(--($AO$2:$AO$1501&lt;$AO980))+1,"")</f>
        <v/>
      </c>
      <c r="AM980">
        <f>IF($D980="","",IF(OR($R980=TRUE(),$R980="TRUE"),1,0))</f>
        <v/>
      </c>
      <c r="AN980">
        <f>IF($D980="","",IF($AA980="Yes",1,0))</f>
        <v/>
      </c>
      <c r="AO980">
        <f>IF($AK980=1,IFERROR(IF(VALUE($D980)&lt;100000000,VALUE($D980),1000000000),IFERROR(IF(VALUE(MID($D980,2,20))&lt;100000000,VALUE(MID($D980,2,20)),1000000000),1000000000))+ROW()/100000,"")</f>
        <v/>
      </c>
    </row>
    <row r="981">
      <c r="F981" s="11" t="n"/>
      <c r="N981" s="7">
        <f>IF($D981="","",M981*V981/100)</f>
        <v/>
      </c>
      <c r="O981" s="7" t="n"/>
      <c r="U981" s="7" t="n"/>
      <c r="V981" s="7" t="n"/>
      <c r="W981" s="7">
        <f>IF($D981="","",V981*AB981/100)</f>
        <v/>
      </c>
      <c r="X981" s="7">
        <f>IF($D981="","",V981-W981)</f>
        <v/>
      </c>
      <c r="Y981" s="7">
        <f>IF($D981="","",X981-N981)</f>
        <v/>
      </c>
      <c r="AB981">
        <f>IF($D981="","",IF($AN981=1,0,IF($AM981=1,Settings!$C$6,Settings!$C$7))*100)</f>
        <v/>
      </c>
      <c r="AF981" s="7" t="n"/>
      <c r="AI981" s="11" t="n"/>
      <c r="AK981">
        <f>IF($D981="","",IF(COUNTIF($D$2:$D981,$D981)=1,1,0))</f>
        <v/>
      </c>
      <c r="AL981">
        <f>IF($AK981=1,SUMPRODUCT(--($AO$2:$AO$1501&lt;$AO981))+1,"")</f>
        <v/>
      </c>
      <c r="AM981">
        <f>IF($D981="","",IF(OR($R981=TRUE(),$R981="TRUE"),1,0))</f>
        <v/>
      </c>
      <c r="AN981">
        <f>IF($D981="","",IF($AA981="Yes",1,0))</f>
        <v/>
      </c>
      <c r="AO981">
        <f>IF($AK981=1,IFERROR(IF(VALUE($D981)&lt;100000000,VALUE($D981),1000000000),IFERROR(IF(VALUE(MID($D981,2,20))&lt;100000000,VALUE(MID($D981,2,20)),1000000000),1000000000))+ROW()/100000,"")</f>
        <v/>
      </c>
    </row>
    <row r="982">
      <c r="F982" s="11" t="n"/>
      <c r="N982" s="7">
        <f>IF($D982="","",M982*V982/100)</f>
        <v/>
      </c>
      <c r="O982" s="7" t="n"/>
      <c r="U982" s="7" t="n"/>
      <c r="V982" s="7" t="n"/>
      <c r="W982" s="7">
        <f>IF($D982="","",V982*AB982/100)</f>
        <v/>
      </c>
      <c r="X982" s="7">
        <f>IF($D982="","",V982-W982)</f>
        <v/>
      </c>
      <c r="Y982" s="7">
        <f>IF($D982="","",X982-N982)</f>
        <v/>
      </c>
      <c r="AB982">
        <f>IF($D982="","",IF($AN982=1,0,IF($AM982=1,Settings!$C$6,Settings!$C$7))*100)</f>
        <v/>
      </c>
      <c r="AF982" s="7" t="n"/>
      <c r="AI982" s="11" t="n"/>
      <c r="AK982">
        <f>IF($D982="","",IF(COUNTIF($D$2:$D982,$D982)=1,1,0))</f>
        <v/>
      </c>
      <c r="AL982">
        <f>IF($AK982=1,SUMPRODUCT(--($AO$2:$AO$1501&lt;$AO982))+1,"")</f>
        <v/>
      </c>
      <c r="AM982">
        <f>IF($D982="","",IF(OR($R982=TRUE(),$R982="TRUE"),1,0))</f>
        <v/>
      </c>
      <c r="AN982">
        <f>IF($D982="","",IF($AA982="Yes",1,0))</f>
        <v/>
      </c>
      <c r="AO982">
        <f>IF($AK982=1,IFERROR(IF(VALUE($D982)&lt;100000000,VALUE($D982),1000000000),IFERROR(IF(VALUE(MID($D982,2,20))&lt;100000000,VALUE(MID($D982,2,20)),1000000000),1000000000))+ROW()/100000,"")</f>
        <v/>
      </c>
    </row>
    <row r="983">
      <c r="F983" s="11" t="n"/>
      <c r="N983" s="7">
        <f>IF($D983="","",M983*V983/100)</f>
        <v/>
      </c>
      <c r="O983" s="7" t="n"/>
      <c r="U983" s="7" t="n"/>
      <c r="V983" s="7" t="n"/>
      <c r="W983" s="7">
        <f>IF($D983="","",V983*AB983/100)</f>
        <v/>
      </c>
      <c r="X983" s="7">
        <f>IF($D983="","",V983-W983)</f>
        <v/>
      </c>
      <c r="Y983" s="7">
        <f>IF($D983="","",X983-N983)</f>
        <v/>
      </c>
      <c r="AB983">
        <f>IF($D983="","",IF($AN983=1,0,IF($AM983=1,Settings!$C$6,Settings!$C$7))*100)</f>
        <v/>
      </c>
      <c r="AF983" s="7" t="n"/>
      <c r="AI983" s="11" t="n"/>
      <c r="AK983">
        <f>IF($D983="","",IF(COUNTIF($D$2:$D983,$D983)=1,1,0))</f>
        <v/>
      </c>
      <c r="AL983">
        <f>IF($AK983=1,SUMPRODUCT(--($AO$2:$AO$1501&lt;$AO983))+1,"")</f>
        <v/>
      </c>
      <c r="AM983">
        <f>IF($D983="","",IF(OR($R983=TRUE(),$R983="TRUE"),1,0))</f>
        <v/>
      </c>
      <c r="AN983">
        <f>IF($D983="","",IF($AA983="Yes",1,0))</f>
        <v/>
      </c>
      <c r="AO983">
        <f>IF($AK983=1,IFERROR(IF(VALUE($D983)&lt;100000000,VALUE($D983),1000000000),IFERROR(IF(VALUE(MID($D983,2,20))&lt;100000000,VALUE(MID($D983,2,20)),1000000000),1000000000))+ROW()/100000,"")</f>
        <v/>
      </c>
    </row>
    <row r="984">
      <c r="F984" s="11" t="n"/>
      <c r="N984" s="7">
        <f>IF($D984="","",M984*V984/100)</f>
        <v/>
      </c>
      <c r="O984" s="7" t="n"/>
      <c r="U984" s="7" t="n"/>
      <c r="V984" s="7" t="n"/>
      <c r="W984" s="7">
        <f>IF($D984="","",V984*AB984/100)</f>
        <v/>
      </c>
      <c r="X984" s="7">
        <f>IF($D984="","",V984-W984)</f>
        <v/>
      </c>
      <c r="Y984" s="7">
        <f>IF($D984="","",X984-N984)</f>
        <v/>
      </c>
      <c r="AB984">
        <f>IF($D984="","",IF($AN984=1,0,IF($AM984=1,Settings!$C$6,Settings!$C$7))*100)</f>
        <v/>
      </c>
      <c r="AF984" s="7" t="n"/>
      <c r="AI984" s="11" t="n"/>
      <c r="AK984">
        <f>IF($D984="","",IF(COUNTIF($D$2:$D984,$D984)=1,1,0))</f>
        <v/>
      </c>
      <c r="AL984">
        <f>IF($AK984=1,SUMPRODUCT(--($AO$2:$AO$1501&lt;$AO984))+1,"")</f>
        <v/>
      </c>
      <c r="AM984">
        <f>IF($D984="","",IF(OR($R984=TRUE(),$R984="TRUE"),1,0))</f>
        <v/>
      </c>
      <c r="AN984">
        <f>IF($D984="","",IF($AA984="Yes",1,0))</f>
        <v/>
      </c>
      <c r="AO984">
        <f>IF($AK984=1,IFERROR(IF(VALUE($D984)&lt;100000000,VALUE($D984),1000000000),IFERROR(IF(VALUE(MID($D984,2,20))&lt;100000000,VALUE(MID($D984,2,20)),1000000000),1000000000))+ROW()/100000,"")</f>
        <v/>
      </c>
    </row>
    <row r="985">
      <c r="F985" s="11" t="n"/>
      <c r="N985" s="7">
        <f>IF($D985="","",M985*V985/100)</f>
        <v/>
      </c>
      <c r="O985" s="7" t="n"/>
      <c r="U985" s="7" t="n"/>
      <c r="V985" s="7" t="n"/>
      <c r="W985" s="7">
        <f>IF($D985="","",V985*AB985/100)</f>
        <v/>
      </c>
      <c r="X985" s="7">
        <f>IF($D985="","",V985-W985)</f>
        <v/>
      </c>
      <c r="Y985" s="7">
        <f>IF($D985="","",X985-N985)</f>
        <v/>
      </c>
      <c r="AB985">
        <f>IF($D985="","",IF($AN985=1,0,IF($AM985=1,Settings!$C$6,Settings!$C$7))*100)</f>
        <v/>
      </c>
      <c r="AF985" s="7" t="n"/>
      <c r="AI985" s="11" t="n"/>
      <c r="AK985">
        <f>IF($D985="","",IF(COUNTIF($D$2:$D985,$D985)=1,1,0))</f>
        <v/>
      </c>
      <c r="AL985">
        <f>IF($AK985=1,SUMPRODUCT(--($AO$2:$AO$1501&lt;$AO985))+1,"")</f>
        <v/>
      </c>
      <c r="AM985">
        <f>IF($D985="","",IF(OR($R985=TRUE(),$R985="TRUE"),1,0))</f>
        <v/>
      </c>
      <c r="AN985">
        <f>IF($D985="","",IF($AA985="Yes",1,0))</f>
        <v/>
      </c>
      <c r="AO985">
        <f>IF($AK985=1,IFERROR(IF(VALUE($D985)&lt;100000000,VALUE($D985),1000000000),IFERROR(IF(VALUE(MID($D985,2,20))&lt;100000000,VALUE(MID($D985,2,20)),1000000000),1000000000))+ROW()/100000,"")</f>
        <v/>
      </c>
    </row>
    <row r="986">
      <c r="F986" s="11" t="n"/>
      <c r="N986" s="7">
        <f>IF($D986="","",M986*V986/100)</f>
        <v/>
      </c>
      <c r="O986" s="7" t="n"/>
      <c r="U986" s="7" t="n"/>
      <c r="V986" s="7" t="n"/>
      <c r="W986" s="7">
        <f>IF($D986="","",V986*AB986/100)</f>
        <v/>
      </c>
      <c r="X986" s="7">
        <f>IF($D986="","",V986-W986)</f>
        <v/>
      </c>
      <c r="Y986" s="7">
        <f>IF($D986="","",X986-N986)</f>
        <v/>
      </c>
      <c r="AB986">
        <f>IF($D986="","",IF($AN986=1,0,IF($AM986=1,Settings!$C$6,Settings!$C$7))*100)</f>
        <v/>
      </c>
      <c r="AF986" s="7" t="n"/>
      <c r="AI986" s="11" t="n"/>
      <c r="AK986">
        <f>IF($D986="","",IF(COUNTIF($D$2:$D986,$D986)=1,1,0))</f>
        <v/>
      </c>
      <c r="AL986">
        <f>IF($AK986=1,SUMPRODUCT(--($AO$2:$AO$1501&lt;$AO986))+1,"")</f>
        <v/>
      </c>
      <c r="AM986">
        <f>IF($D986="","",IF(OR($R986=TRUE(),$R986="TRUE"),1,0))</f>
        <v/>
      </c>
      <c r="AN986">
        <f>IF($D986="","",IF($AA986="Yes",1,0))</f>
        <v/>
      </c>
      <c r="AO986">
        <f>IF($AK986=1,IFERROR(IF(VALUE($D986)&lt;100000000,VALUE($D986),1000000000),IFERROR(IF(VALUE(MID($D986,2,20))&lt;100000000,VALUE(MID($D986,2,20)),1000000000),1000000000))+ROW()/100000,"")</f>
        <v/>
      </c>
    </row>
    <row r="987">
      <c r="F987" s="11" t="n"/>
      <c r="N987" s="7">
        <f>IF($D987="","",M987*V987/100)</f>
        <v/>
      </c>
      <c r="O987" s="7" t="n"/>
      <c r="U987" s="7" t="n"/>
      <c r="V987" s="7" t="n"/>
      <c r="W987" s="7">
        <f>IF($D987="","",V987*AB987/100)</f>
        <v/>
      </c>
      <c r="X987" s="7">
        <f>IF($D987="","",V987-W987)</f>
        <v/>
      </c>
      <c r="Y987" s="7">
        <f>IF($D987="","",X987-N987)</f>
        <v/>
      </c>
      <c r="AB987">
        <f>IF($D987="","",IF($AN987=1,0,IF($AM987=1,Settings!$C$6,Settings!$C$7))*100)</f>
        <v/>
      </c>
      <c r="AF987" s="7" t="n"/>
      <c r="AI987" s="11" t="n"/>
      <c r="AK987">
        <f>IF($D987="","",IF(COUNTIF($D$2:$D987,$D987)=1,1,0))</f>
        <v/>
      </c>
      <c r="AL987">
        <f>IF($AK987=1,SUMPRODUCT(--($AO$2:$AO$1501&lt;$AO987))+1,"")</f>
        <v/>
      </c>
      <c r="AM987">
        <f>IF($D987="","",IF(OR($R987=TRUE(),$R987="TRUE"),1,0))</f>
        <v/>
      </c>
      <c r="AN987">
        <f>IF($D987="","",IF($AA987="Yes",1,0))</f>
        <v/>
      </c>
      <c r="AO987">
        <f>IF($AK987=1,IFERROR(IF(VALUE($D987)&lt;100000000,VALUE($D987),1000000000),IFERROR(IF(VALUE(MID($D987,2,20))&lt;100000000,VALUE(MID($D987,2,20)),1000000000),1000000000))+ROW()/100000,"")</f>
        <v/>
      </c>
    </row>
    <row r="988">
      <c r="F988" s="11" t="n"/>
      <c r="N988" s="7">
        <f>IF($D988="","",M988*V988/100)</f>
        <v/>
      </c>
      <c r="O988" s="7" t="n"/>
      <c r="U988" s="7" t="n"/>
      <c r="V988" s="7" t="n"/>
      <c r="W988" s="7">
        <f>IF($D988="","",V988*AB988/100)</f>
        <v/>
      </c>
      <c r="X988" s="7">
        <f>IF($D988="","",V988-W988)</f>
        <v/>
      </c>
      <c r="Y988" s="7">
        <f>IF($D988="","",X988-N988)</f>
        <v/>
      </c>
      <c r="AB988">
        <f>IF($D988="","",IF($AN988=1,0,IF($AM988=1,Settings!$C$6,Settings!$C$7))*100)</f>
        <v/>
      </c>
      <c r="AF988" s="7" t="n"/>
      <c r="AI988" s="11" t="n"/>
      <c r="AK988">
        <f>IF($D988="","",IF(COUNTIF($D$2:$D988,$D988)=1,1,0))</f>
        <v/>
      </c>
      <c r="AL988">
        <f>IF($AK988=1,SUMPRODUCT(--($AO$2:$AO$1501&lt;$AO988))+1,"")</f>
        <v/>
      </c>
      <c r="AM988">
        <f>IF($D988="","",IF(OR($R988=TRUE(),$R988="TRUE"),1,0))</f>
        <v/>
      </c>
      <c r="AN988">
        <f>IF($D988="","",IF($AA988="Yes",1,0))</f>
        <v/>
      </c>
      <c r="AO988">
        <f>IF($AK988=1,IFERROR(IF(VALUE($D988)&lt;100000000,VALUE($D988),1000000000),IFERROR(IF(VALUE(MID($D988,2,20))&lt;100000000,VALUE(MID($D988,2,20)),1000000000),1000000000))+ROW()/100000,"")</f>
        <v/>
      </c>
    </row>
    <row r="989">
      <c r="F989" s="11" t="n"/>
      <c r="N989" s="7">
        <f>IF($D989="","",M989*V989/100)</f>
        <v/>
      </c>
      <c r="O989" s="7" t="n"/>
      <c r="U989" s="7" t="n"/>
      <c r="V989" s="7" t="n"/>
      <c r="W989" s="7">
        <f>IF($D989="","",V989*AB989/100)</f>
        <v/>
      </c>
      <c r="X989" s="7">
        <f>IF($D989="","",V989-W989)</f>
        <v/>
      </c>
      <c r="Y989" s="7">
        <f>IF($D989="","",X989-N989)</f>
        <v/>
      </c>
      <c r="AB989">
        <f>IF($D989="","",IF($AN989=1,0,IF($AM989=1,Settings!$C$6,Settings!$C$7))*100)</f>
        <v/>
      </c>
      <c r="AF989" s="7" t="n"/>
      <c r="AI989" s="11" t="n"/>
      <c r="AK989">
        <f>IF($D989="","",IF(COUNTIF($D$2:$D989,$D989)=1,1,0))</f>
        <v/>
      </c>
      <c r="AL989">
        <f>IF($AK989=1,SUMPRODUCT(--($AO$2:$AO$1501&lt;$AO989))+1,"")</f>
        <v/>
      </c>
      <c r="AM989">
        <f>IF($D989="","",IF(OR($R989=TRUE(),$R989="TRUE"),1,0))</f>
        <v/>
      </c>
      <c r="AN989">
        <f>IF($D989="","",IF($AA989="Yes",1,0))</f>
        <v/>
      </c>
      <c r="AO989">
        <f>IF($AK989=1,IFERROR(IF(VALUE($D989)&lt;100000000,VALUE($D989),1000000000),IFERROR(IF(VALUE(MID($D989,2,20))&lt;100000000,VALUE(MID($D989,2,20)),1000000000),1000000000))+ROW()/100000,"")</f>
        <v/>
      </c>
    </row>
    <row r="990">
      <c r="F990" s="11" t="n"/>
      <c r="N990" s="7">
        <f>IF($D990="","",M990*V990/100)</f>
        <v/>
      </c>
      <c r="O990" s="7" t="n"/>
      <c r="U990" s="7" t="n"/>
      <c r="V990" s="7" t="n"/>
      <c r="W990" s="7">
        <f>IF($D990="","",V990*AB990/100)</f>
        <v/>
      </c>
      <c r="X990" s="7">
        <f>IF($D990="","",V990-W990)</f>
        <v/>
      </c>
      <c r="Y990" s="7">
        <f>IF($D990="","",X990-N990)</f>
        <v/>
      </c>
      <c r="AB990">
        <f>IF($D990="","",IF($AN990=1,0,IF($AM990=1,Settings!$C$6,Settings!$C$7))*100)</f>
        <v/>
      </c>
      <c r="AF990" s="7" t="n"/>
      <c r="AI990" s="11" t="n"/>
      <c r="AK990">
        <f>IF($D990="","",IF(COUNTIF($D$2:$D990,$D990)=1,1,0))</f>
        <v/>
      </c>
      <c r="AL990">
        <f>IF($AK990=1,SUMPRODUCT(--($AO$2:$AO$1501&lt;$AO990))+1,"")</f>
        <v/>
      </c>
      <c r="AM990">
        <f>IF($D990="","",IF(OR($R990=TRUE(),$R990="TRUE"),1,0))</f>
        <v/>
      </c>
      <c r="AN990">
        <f>IF($D990="","",IF($AA990="Yes",1,0))</f>
        <v/>
      </c>
      <c r="AO990">
        <f>IF($AK990=1,IFERROR(IF(VALUE($D990)&lt;100000000,VALUE($D990),1000000000),IFERROR(IF(VALUE(MID($D990,2,20))&lt;100000000,VALUE(MID($D990,2,20)),1000000000),1000000000))+ROW()/100000,"")</f>
        <v/>
      </c>
    </row>
    <row r="991">
      <c r="F991" s="11" t="n"/>
      <c r="N991" s="7">
        <f>IF($D991="","",M991*V991/100)</f>
        <v/>
      </c>
      <c r="O991" s="7" t="n"/>
      <c r="U991" s="7" t="n"/>
      <c r="V991" s="7" t="n"/>
      <c r="W991" s="7">
        <f>IF($D991="","",V991*AB991/100)</f>
        <v/>
      </c>
      <c r="X991" s="7">
        <f>IF($D991="","",V991-W991)</f>
        <v/>
      </c>
      <c r="Y991" s="7">
        <f>IF($D991="","",X991-N991)</f>
        <v/>
      </c>
      <c r="AB991">
        <f>IF($D991="","",IF($AN991=1,0,IF($AM991=1,Settings!$C$6,Settings!$C$7))*100)</f>
        <v/>
      </c>
      <c r="AF991" s="7" t="n"/>
      <c r="AI991" s="11" t="n"/>
      <c r="AK991">
        <f>IF($D991="","",IF(COUNTIF($D$2:$D991,$D991)=1,1,0))</f>
        <v/>
      </c>
      <c r="AL991">
        <f>IF($AK991=1,SUMPRODUCT(--($AO$2:$AO$1501&lt;$AO991))+1,"")</f>
        <v/>
      </c>
      <c r="AM991">
        <f>IF($D991="","",IF(OR($R991=TRUE(),$R991="TRUE"),1,0))</f>
        <v/>
      </c>
      <c r="AN991">
        <f>IF($D991="","",IF($AA991="Yes",1,0))</f>
        <v/>
      </c>
      <c r="AO991">
        <f>IF($AK991=1,IFERROR(IF(VALUE($D991)&lt;100000000,VALUE($D991),1000000000),IFERROR(IF(VALUE(MID($D991,2,20))&lt;100000000,VALUE(MID($D991,2,20)),1000000000),1000000000))+ROW()/100000,"")</f>
        <v/>
      </c>
    </row>
    <row r="992">
      <c r="F992" s="11" t="n"/>
      <c r="N992" s="7">
        <f>IF($D992="","",M992*V992/100)</f>
        <v/>
      </c>
      <c r="O992" s="7" t="n"/>
      <c r="U992" s="7" t="n"/>
      <c r="V992" s="7" t="n"/>
      <c r="W992" s="7">
        <f>IF($D992="","",V992*AB992/100)</f>
        <v/>
      </c>
      <c r="X992" s="7">
        <f>IF($D992="","",V992-W992)</f>
        <v/>
      </c>
      <c r="Y992" s="7">
        <f>IF($D992="","",X992-N992)</f>
        <v/>
      </c>
      <c r="AB992">
        <f>IF($D992="","",IF($AN992=1,0,IF($AM992=1,Settings!$C$6,Settings!$C$7))*100)</f>
        <v/>
      </c>
      <c r="AF992" s="7" t="n"/>
      <c r="AI992" s="11" t="n"/>
      <c r="AK992">
        <f>IF($D992="","",IF(COUNTIF($D$2:$D992,$D992)=1,1,0))</f>
        <v/>
      </c>
      <c r="AL992">
        <f>IF($AK992=1,SUMPRODUCT(--($AO$2:$AO$1501&lt;$AO992))+1,"")</f>
        <v/>
      </c>
      <c r="AM992">
        <f>IF($D992="","",IF(OR($R992=TRUE(),$R992="TRUE"),1,0))</f>
        <v/>
      </c>
      <c r="AN992">
        <f>IF($D992="","",IF($AA992="Yes",1,0))</f>
        <v/>
      </c>
      <c r="AO992">
        <f>IF($AK992=1,IFERROR(IF(VALUE($D992)&lt;100000000,VALUE($D992),1000000000),IFERROR(IF(VALUE(MID($D992,2,20))&lt;100000000,VALUE(MID($D992,2,20)),1000000000),1000000000))+ROW()/100000,"")</f>
        <v/>
      </c>
    </row>
    <row r="993">
      <c r="F993" s="11" t="n"/>
      <c r="N993" s="7">
        <f>IF($D993="","",M993*V993/100)</f>
        <v/>
      </c>
      <c r="O993" s="7" t="n"/>
      <c r="U993" s="7" t="n"/>
      <c r="V993" s="7" t="n"/>
      <c r="W993" s="7">
        <f>IF($D993="","",V993*AB993/100)</f>
        <v/>
      </c>
      <c r="X993" s="7">
        <f>IF($D993="","",V993-W993)</f>
        <v/>
      </c>
      <c r="Y993" s="7">
        <f>IF($D993="","",X993-N993)</f>
        <v/>
      </c>
      <c r="AB993">
        <f>IF($D993="","",IF($AN993=1,0,IF($AM993=1,Settings!$C$6,Settings!$C$7))*100)</f>
        <v/>
      </c>
      <c r="AF993" s="7" t="n"/>
      <c r="AI993" s="11" t="n"/>
      <c r="AK993">
        <f>IF($D993="","",IF(COUNTIF($D$2:$D993,$D993)=1,1,0))</f>
        <v/>
      </c>
      <c r="AL993">
        <f>IF($AK993=1,SUMPRODUCT(--($AO$2:$AO$1501&lt;$AO993))+1,"")</f>
        <v/>
      </c>
      <c r="AM993">
        <f>IF($D993="","",IF(OR($R993=TRUE(),$R993="TRUE"),1,0))</f>
        <v/>
      </c>
      <c r="AN993">
        <f>IF($D993="","",IF($AA993="Yes",1,0))</f>
        <v/>
      </c>
      <c r="AO993">
        <f>IF($AK993=1,IFERROR(IF(VALUE($D993)&lt;100000000,VALUE($D993),1000000000),IFERROR(IF(VALUE(MID($D993,2,20))&lt;100000000,VALUE(MID($D993,2,20)),1000000000),1000000000))+ROW()/100000,"")</f>
        <v/>
      </c>
    </row>
    <row r="994">
      <c r="F994" s="11" t="n"/>
      <c r="N994" s="7">
        <f>IF($D994="","",M994*V994/100)</f>
        <v/>
      </c>
      <c r="O994" s="7" t="n"/>
      <c r="U994" s="7" t="n"/>
      <c r="V994" s="7" t="n"/>
      <c r="W994" s="7">
        <f>IF($D994="","",V994*AB994/100)</f>
        <v/>
      </c>
      <c r="X994" s="7">
        <f>IF($D994="","",V994-W994)</f>
        <v/>
      </c>
      <c r="Y994" s="7">
        <f>IF($D994="","",X994-N994)</f>
        <v/>
      </c>
      <c r="AB994">
        <f>IF($D994="","",IF($AN994=1,0,IF($AM994=1,Settings!$C$6,Settings!$C$7))*100)</f>
        <v/>
      </c>
      <c r="AF994" s="7" t="n"/>
      <c r="AI994" s="11" t="n"/>
      <c r="AK994">
        <f>IF($D994="","",IF(COUNTIF($D$2:$D994,$D994)=1,1,0))</f>
        <v/>
      </c>
      <c r="AL994">
        <f>IF($AK994=1,SUMPRODUCT(--($AO$2:$AO$1501&lt;$AO994))+1,"")</f>
        <v/>
      </c>
      <c r="AM994">
        <f>IF($D994="","",IF(OR($R994=TRUE(),$R994="TRUE"),1,0))</f>
        <v/>
      </c>
      <c r="AN994">
        <f>IF($D994="","",IF($AA994="Yes",1,0))</f>
        <v/>
      </c>
      <c r="AO994">
        <f>IF($AK994=1,IFERROR(IF(VALUE($D994)&lt;100000000,VALUE($D994),1000000000),IFERROR(IF(VALUE(MID($D994,2,20))&lt;100000000,VALUE(MID($D994,2,20)),1000000000),1000000000))+ROW()/100000,"")</f>
        <v/>
      </c>
    </row>
    <row r="995">
      <c r="F995" s="11" t="n"/>
      <c r="N995" s="7">
        <f>IF($D995="","",M995*V995/100)</f>
        <v/>
      </c>
      <c r="O995" s="7" t="n"/>
      <c r="U995" s="7" t="n"/>
      <c r="V995" s="7" t="n"/>
      <c r="W995" s="7">
        <f>IF($D995="","",V995*AB995/100)</f>
        <v/>
      </c>
      <c r="X995" s="7">
        <f>IF($D995="","",V995-W995)</f>
        <v/>
      </c>
      <c r="Y995" s="7">
        <f>IF($D995="","",X995-N995)</f>
        <v/>
      </c>
      <c r="AB995">
        <f>IF($D995="","",IF($AN995=1,0,IF($AM995=1,Settings!$C$6,Settings!$C$7))*100)</f>
        <v/>
      </c>
      <c r="AF995" s="7" t="n"/>
      <c r="AI995" s="11" t="n"/>
      <c r="AK995">
        <f>IF($D995="","",IF(COUNTIF($D$2:$D995,$D995)=1,1,0))</f>
        <v/>
      </c>
      <c r="AL995">
        <f>IF($AK995=1,SUMPRODUCT(--($AO$2:$AO$1501&lt;$AO995))+1,"")</f>
        <v/>
      </c>
      <c r="AM995">
        <f>IF($D995="","",IF(OR($R995=TRUE(),$R995="TRUE"),1,0))</f>
        <v/>
      </c>
      <c r="AN995">
        <f>IF($D995="","",IF($AA995="Yes",1,0))</f>
        <v/>
      </c>
      <c r="AO995">
        <f>IF($AK995=1,IFERROR(IF(VALUE($D995)&lt;100000000,VALUE($D995),1000000000),IFERROR(IF(VALUE(MID($D995,2,20))&lt;100000000,VALUE(MID($D995,2,20)),1000000000),1000000000))+ROW()/100000,"")</f>
        <v/>
      </c>
    </row>
    <row r="996">
      <c r="F996" s="11" t="n"/>
      <c r="N996" s="7">
        <f>IF($D996="","",M996*V996/100)</f>
        <v/>
      </c>
      <c r="O996" s="7" t="n"/>
      <c r="U996" s="7" t="n"/>
      <c r="V996" s="7" t="n"/>
      <c r="W996" s="7">
        <f>IF($D996="","",V996*AB996/100)</f>
        <v/>
      </c>
      <c r="X996" s="7">
        <f>IF($D996="","",V996-W996)</f>
        <v/>
      </c>
      <c r="Y996" s="7">
        <f>IF($D996="","",X996-N996)</f>
        <v/>
      </c>
      <c r="AB996">
        <f>IF($D996="","",IF($AN996=1,0,IF($AM996=1,Settings!$C$6,Settings!$C$7))*100)</f>
        <v/>
      </c>
      <c r="AF996" s="7" t="n"/>
      <c r="AI996" s="11" t="n"/>
      <c r="AK996">
        <f>IF($D996="","",IF(COUNTIF($D$2:$D996,$D996)=1,1,0))</f>
        <v/>
      </c>
      <c r="AL996">
        <f>IF($AK996=1,SUMPRODUCT(--($AO$2:$AO$1501&lt;$AO996))+1,"")</f>
        <v/>
      </c>
      <c r="AM996">
        <f>IF($D996="","",IF(OR($R996=TRUE(),$R996="TRUE"),1,0))</f>
        <v/>
      </c>
      <c r="AN996">
        <f>IF($D996="","",IF($AA996="Yes",1,0))</f>
        <v/>
      </c>
      <c r="AO996">
        <f>IF($AK996=1,IFERROR(IF(VALUE($D996)&lt;100000000,VALUE($D996),1000000000),IFERROR(IF(VALUE(MID($D996,2,20))&lt;100000000,VALUE(MID($D996,2,20)),1000000000),1000000000))+ROW()/100000,"")</f>
        <v/>
      </c>
    </row>
    <row r="997">
      <c r="F997" s="11" t="n"/>
      <c r="N997" s="7">
        <f>IF($D997="","",M997*V997/100)</f>
        <v/>
      </c>
      <c r="O997" s="7" t="n"/>
      <c r="U997" s="7" t="n"/>
      <c r="V997" s="7" t="n"/>
      <c r="W997" s="7">
        <f>IF($D997="","",V997*AB997/100)</f>
        <v/>
      </c>
      <c r="X997" s="7">
        <f>IF($D997="","",V997-W997)</f>
        <v/>
      </c>
      <c r="Y997" s="7">
        <f>IF($D997="","",X997-N997)</f>
        <v/>
      </c>
      <c r="AB997">
        <f>IF($D997="","",IF($AN997=1,0,IF($AM997=1,Settings!$C$6,Settings!$C$7))*100)</f>
        <v/>
      </c>
      <c r="AF997" s="7" t="n"/>
      <c r="AI997" s="11" t="n"/>
      <c r="AK997">
        <f>IF($D997="","",IF(COUNTIF($D$2:$D997,$D997)=1,1,0))</f>
        <v/>
      </c>
      <c r="AL997">
        <f>IF($AK997=1,SUMPRODUCT(--($AO$2:$AO$1501&lt;$AO997))+1,"")</f>
        <v/>
      </c>
      <c r="AM997">
        <f>IF($D997="","",IF(OR($R997=TRUE(),$R997="TRUE"),1,0))</f>
        <v/>
      </c>
      <c r="AN997">
        <f>IF($D997="","",IF($AA997="Yes",1,0))</f>
        <v/>
      </c>
      <c r="AO997">
        <f>IF($AK997=1,IFERROR(IF(VALUE($D997)&lt;100000000,VALUE($D997),1000000000),IFERROR(IF(VALUE(MID($D997,2,20))&lt;100000000,VALUE(MID($D997,2,20)),1000000000),1000000000))+ROW()/100000,"")</f>
        <v/>
      </c>
    </row>
    <row r="998">
      <c r="F998" s="11" t="n"/>
      <c r="N998" s="7">
        <f>IF($D998="","",M998*V998/100)</f>
        <v/>
      </c>
      <c r="O998" s="7" t="n"/>
      <c r="U998" s="7" t="n"/>
      <c r="V998" s="7" t="n"/>
      <c r="W998" s="7">
        <f>IF($D998="","",V998*AB998/100)</f>
        <v/>
      </c>
      <c r="X998" s="7">
        <f>IF($D998="","",V998-W998)</f>
        <v/>
      </c>
      <c r="Y998" s="7">
        <f>IF($D998="","",X998-N998)</f>
        <v/>
      </c>
      <c r="AB998">
        <f>IF($D998="","",IF($AN998=1,0,IF($AM998=1,Settings!$C$6,Settings!$C$7))*100)</f>
        <v/>
      </c>
      <c r="AF998" s="7" t="n"/>
      <c r="AI998" s="11" t="n"/>
      <c r="AK998">
        <f>IF($D998="","",IF(COUNTIF($D$2:$D998,$D998)=1,1,0))</f>
        <v/>
      </c>
      <c r="AL998">
        <f>IF($AK998=1,SUMPRODUCT(--($AO$2:$AO$1501&lt;$AO998))+1,"")</f>
        <v/>
      </c>
      <c r="AM998">
        <f>IF($D998="","",IF(OR($R998=TRUE(),$R998="TRUE"),1,0))</f>
        <v/>
      </c>
      <c r="AN998">
        <f>IF($D998="","",IF($AA998="Yes",1,0))</f>
        <v/>
      </c>
      <c r="AO998">
        <f>IF($AK998=1,IFERROR(IF(VALUE($D998)&lt;100000000,VALUE($D998),1000000000),IFERROR(IF(VALUE(MID($D998,2,20))&lt;100000000,VALUE(MID($D998,2,20)),1000000000),1000000000))+ROW()/100000,"")</f>
        <v/>
      </c>
    </row>
    <row r="999">
      <c r="F999" s="11" t="n"/>
      <c r="N999" s="7">
        <f>IF($D999="","",M999*V999/100)</f>
        <v/>
      </c>
      <c r="O999" s="7" t="n"/>
      <c r="U999" s="7" t="n"/>
      <c r="V999" s="7" t="n"/>
      <c r="W999" s="7">
        <f>IF($D999="","",V999*AB999/100)</f>
        <v/>
      </c>
      <c r="X999" s="7">
        <f>IF($D999="","",V999-W999)</f>
        <v/>
      </c>
      <c r="Y999" s="7">
        <f>IF($D999="","",X999-N999)</f>
        <v/>
      </c>
      <c r="AB999">
        <f>IF($D999="","",IF($AN999=1,0,IF($AM999=1,Settings!$C$6,Settings!$C$7))*100)</f>
        <v/>
      </c>
      <c r="AF999" s="7" t="n"/>
      <c r="AI999" s="11" t="n"/>
      <c r="AK999">
        <f>IF($D999="","",IF(COUNTIF($D$2:$D999,$D999)=1,1,0))</f>
        <v/>
      </c>
      <c r="AL999">
        <f>IF($AK999=1,SUMPRODUCT(--($AO$2:$AO$1501&lt;$AO999))+1,"")</f>
        <v/>
      </c>
      <c r="AM999">
        <f>IF($D999="","",IF(OR($R999=TRUE(),$R999="TRUE"),1,0))</f>
        <v/>
      </c>
      <c r="AN999">
        <f>IF($D999="","",IF($AA999="Yes",1,0))</f>
        <v/>
      </c>
      <c r="AO999">
        <f>IF($AK999=1,IFERROR(IF(VALUE($D999)&lt;100000000,VALUE($D999),1000000000),IFERROR(IF(VALUE(MID($D999,2,20))&lt;100000000,VALUE(MID($D999,2,20)),1000000000),1000000000))+ROW()/100000,"")</f>
        <v/>
      </c>
    </row>
    <row r="1000">
      <c r="F1000" s="11" t="n"/>
      <c r="N1000" s="7">
        <f>IF($D1000="","",M1000*V1000/100)</f>
        <v/>
      </c>
      <c r="O1000" s="7" t="n"/>
      <c r="U1000" s="7" t="n"/>
      <c r="V1000" s="7" t="n"/>
      <c r="W1000" s="7">
        <f>IF($D1000="","",V1000*AB1000/100)</f>
        <v/>
      </c>
      <c r="X1000" s="7">
        <f>IF($D1000="","",V1000-W1000)</f>
        <v/>
      </c>
      <c r="Y1000" s="7">
        <f>IF($D1000="","",X1000-N1000)</f>
        <v/>
      </c>
      <c r="AB1000">
        <f>IF($D1000="","",IF($AN1000=1,0,IF($AM1000=1,Settings!$C$6,Settings!$C$7))*100)</f>
        <v/>
      </c>
      <c r="AF1000" s="7" t="n"/>
      <c r="AI1000" s="11" t="n"/>
      <c r="AK1000">
        <f>IF($D1000="","",IF(COUNTIF($D$2:$D1000,$D1000)=1,1,0))</f>
        <v/>
      </c>
      <c r="AL1000">
        <f>IF($AK1000=1,SUMPRODUCT(--($AO$2:$AO$1501&lt;$AO1000))+1,"")</f>
        <v/>
      </c>
      <c r="AM1000">
        <f>IF($D1000="","",IF(OR($R1000=TRUE(),$R1000="TRUE"),1,0))</f>
        <v/>
      </c>
      <c r="AN1000">
        <f>IF($D1000="","",IF($AA1000="Yes",1,0))</f>
        <v/>
      </c>
      <c r="AO1000">
        <f>IF($AK1000=1,IFERROR(IF(VALUE($D1000)&lt;100000000,VALUE($D1000),1000000000),IFERROR(IF(VALUE(MID($D1000,2,20))&lt;100000000,VALUE(MID($D1000,2,20)),1000000000),1000000000))+ROW()/100000,"")</f>
        <v/>
      </c>
    </row>
    <row r="1001">
      <c r="F1001" s="11" t="n"/>
      <c r="N1001" s="7">
        <f>IF($D1001="","",M1001*V1001/100)</f>
        <v/>
      </c>
      <c r="O1001" s="7" t="n"/>
      <c r="U1001" s="7" t="n"/>
      <c r="V1001" s="7" t="n"/>
      <c r="W1001" s="7">
        <f>IF($D1001="","",V1001*AB1001/100)</f>
        <v/>
      </c>
      <c r="X1001" s="7">
        <f>IF($D1001="","",V1001-W1001)</f>
        <v/>
      </c>
      <c r="Y1001" s="7">
        <f>IF($D1001="","",X1001-N1001)</f>
        <v/>
      </c>
      <c r="AB1001">
        <f>IF($D1001="","",IF($AN1001=1,0,IF($AM1001=1,Settings!$C$6,Settings!$C$7))*100)</f>
        <v/>
      </c>
      <c r="AF1001" s="7" t="n"/>
      <c r="AI1001" s="11" t="n"/>
      <c r="AK1001">
        <f>IF($D1001="","",IF(COUNTIF($D$2:$D1001,$D1001)=1,1,0))</f>
        <v/>
      </c>
      <c r="AL1001">
        <f>IF($AK1001=1,SUMPRODUCT(--($AO$2:$AO$1501&lt;$AO1001))+1,"")</f>
        <v/>
      </c>
      <c r="AM1001">
        <f>IF($D1001="","",IF(OR($R1001=TRUE(),$R1001="TRUE"),1,0))</f>
        <v/>
      </c>
      <c r="AN1001">
        <f>IF($D1001="","",IF($AA1001="Yes",1,0))</f>
        <v/>
      </c>
      <c r="AO1001">
        <f>IF($AK1001=1,IFERROR(IF(VALUE($D1001)&lt;100000000,VALUE($D1001),1000000000),IFERROR(IF(VALUE(MID($D1001,2,20))&lt;100000000,VALUE(MID($D1001,2,20)),1000000000),1000000000))+ROW()/100000,"")</f>
        <v/>
      </c>
    </row>
    <row r="1002">
      <c r="F1002" s="11" t="n"/>
      <c r="N1002" s="7">
        <f>IF($D1002="","",M1002*V1002/100)</f>
        <v/>
      </c>
      <c r="O1002" s="7" t="n"/>
      <c r="U1002" s="7" t="n"/>
      <c r="V1002" s="7" t="n"/>
      <c r="W1002" s="7">
        <f>IF($D1002="","",V1002*AB1002/100)</f>
        <v/>
      </c>
      <c r="X1002" s="7">
        <f>IF($D1002="","",V1002-W1002)</f>
        <v/>
      </c>
      <c r="Y1002" s="7">
        <f>IF($D1002="","",X1002-N1002)</f>
        <v/>
      </c>
      <c r="AB1002">
        <f>IF($D1002="","",IF($AN1002=1,0,IF($AM1002=1,Settings!$C$6,Settings!$C$7))*100)</f>
        <v/>
      </c>
      <c r="AF1002" s="7" t="n"/>
      <c r="AI1002" s="11" t="n"/>
      <c r="AK1002">
        <f>IF($D1002="","",IF(COUNTIF($D$2:$D1002,$D1002)=1,1,0))</f>
        <v/>
      </c>
      <c r="AL1002">
        <f>IF($AK1002=1,SUMPRODUCT(--($AO$2:$AO$1501&lt;$AO1002))+1,"")</f>
        <v/>
      </c>
      <c r="AM1002">
        <f>IF($D1002="","",IF(OR($R1002=TRUE(),$R1002="TRUE"),1,0))</f>
        <v/>
      </c>
      <c r="AN1002">
        <f>IF($D1002="","",IF($AA1002="Yes",1,0))</f>
        <v/>
      </c>
      <c r="AO1002">
        <f>IF($AK1002=1,IFERROR(IF(VALUE($D1002)&lt;100000000,VALUE($D1002),1000000000),IFERROR(IF(VALUE(MID($D1002,2,20))&lt;100000000,VALUE(MID($D1002,2,20)),1000000000),1000000000))+ROW()/100000,"")</f>
        <v/>
      </c>
    </row>
    <row r="1003">
      <c r="F1003" s="11" t="n"/>
      <c r="N1003" s="7">
        <f>IF($D1003="","",M1003*V1003/100)</f>
        <v/>
      </c>
      <c r="O1003" s="7" t="n"/>
      <c r="U1003" s="7" t="n"/>
      <c r="V1003" s="7" t="n"/>
      <c r="W1003" s="7">
        <f>IF($D1003="","",V1003*AB1003/100)</f>
        <v/>
      </c>
      <c r="X1003" s="7">
        <f>IF($D1003="","",V1003-W1003)</f>
        <v/>
      </c>
      <c r="Y1003" s="7">
        <f>IF($D1003="","",X1003-N1003)</f>
        <v/>
      </c>
      <c r="AB1003">
        <f>IF($D1003="","",IF($AN1003=1,0,IF($AM1003=1,Settings!$C$6,Settings!$C$7))*100)</f>
        <v/>
      </c>
      <c r="AF1003" s="7" t="n"/>
      <c r="AI1003" s="11" t="n"/>
      <c r="AK1003">
        <f>IF($D1003="","",IF(COUNTIF($D$2:$D1003,$D1003)=1,1,0))</f>
        <v/>
      </c>
      <c r="AL1003">
        <f>IF($AK1003=1,SUMPRODUCT(--($AO$2:$AO$1501&lt;$AO1003))+1,"")</f>
        <v/>
      </c>
      <c r="AM1003">
        <f>IF($D1003="","",IF(OR($R1003=TRUE(),$R1003="TRUE"),1,0))</f>
        <v/>
      </c>
      <c r="AN1003">
        <f>IF($D1003="","",IF($AA1003="Yes",1,0))</f>
        <v/>
      </c>
      <c r="AO1003">
        <f>IF($AK1003=1,IFERROR(IF(VALUE($D1003)&lt;100000000,VALUE($D1003),1000000000),IFERROR(IF(VALUE(MID($D1003,2,20))&lt;100000000,VALUE(MID($D1003,2,20)),1000000000),1000000000))+ROW()/100000,"")</f>
        <v/>
      </c>
    </row>
    <row r="1004">
      <c r="F1004" s="11" t="n"/>
      <c r="N1004" s="7">
        <f>IF($D1004="","",M1004*V1004/100)</f>
        <v/>
      </c>
      <c r="O1004" s="7" t="n"/>
      <c r="U1004" s="7" t="n"/>
      <c r="V1004" s="7" t="n"/>
      <c r="W1004" s="7">
        <f>IF($D1004="","",V1004*AB1004/100)</f>
        <v/>
      </c>
      <c r="X1004" s="7">
        <f>IF($D1004="","",V1004-W1004)</f>
        <v/>
      </c>
      <c r="Y1004" s="7">
        <f>IF($D1004="","",X1004-N1004)</f>
        <v/>
      </c>
      <c r="AB1004">
        <f>IF($D1004="","",IF($AN1004=1,0,IF($AM1004=1,Settings!$C$6,Settings!$C$7))*100)</f>
        <v/>
      </c>
      <c r="AF1004" s="7" t="n"/>
      <c r="AI1004" s="11" t="n"/>
      <c r="AK1004">
        <f>IF($D1004="","",IF(COUNTIF($D$2:$D1004,$D1004)=1,1,0))</f>
        <v/>
      </c>
      <c r="AL1004">
        <f>IF($AK1004=1,SUMPRODUCT(--($AO$2:$AO$1501&lt;$AO1004))+1,"")</f>
        <v/>
      </c>
      <c r="AM1004">
        <f>IF($D1004="","",IF(OR($R1004=TRUE(),$R1004="TRUE"),1,0))</f>
        <v/>
      </c>
      <c r="AN1004">
        <f>IF($D1004="","",IF($AA1004="Yes",1,0))</f>
        <v/>
      </c>
      <c r="AO1004">
        <f>IF($AK1004=1,IFERROR(IF(VALUE($D1004)&lt;100000000,VALUE($D1004),1000000000),IFERROR(IF(VALUE(MID($D1004,2,20))&lt;100000000,VALUE(MID($D1004,2,20)),1000000000),1000000000))+ROW()/100000,"")</f>
        <v/>
      </c>
    </row>
    <row r="1005">
      <c r="F1005" s="11" t="n"/>
      <c r="N1005" s="7">
        <f>IF($D1005="","",M1005*V1005/100)</f>
        <v/>
      </c>
      <c r="O1005" s="7" t="n"/>
      <c r="U1005" s="7" t="n"/>
      <c r="V1005" s="7" t="n"/>
      <c r="W1005" s="7">
        <f>IF($D1005="","",V1005*AB1005/100)</f>
        <v/>
      </c>
      <c r="X1005" s="7">
        <f>IF($D1005="","",V1005-W1005)</f>
        <v/>
      </c>
      <c r="Y1005" s="7">
        <f>IF($D1005="","",X1005-N1005)</f>
        <v/>
      </c>
      <c r="AB1005">
        <f>IF($D1005="","",IF($AN1005=1,0,IF($AM1005=1,Settings!$C$6,Settings!$C$7))*100)</f>
        <v/>
      </c>
      <c r="AF1005" s="7" t="n"/>
      <c r="AI1005" s="11" t="n"/>
      <c r="AK1005">
        <f>IF($D1005="","",IF(COUNTIF($D$2:$D1005,$D1005)=1,1,0))</f>
        <v/>
      </c>
      <c r="AL1005">
        <f>IF($AK1005=1,SUMPRODUCT(--($AO$2:$AO$1501&lt;$AO1005))+1,"")</f>
        <v/>
      </c>
      <c r="AM1005">
        <f>IF($D1005="","",IF(OR($R1005=TRUE(),$R1005="TRUE"),1,0))</f>
        <v/>
      </c>
      <c r="AN1005">
        <f>IF($D1005="","",IF($AA1005="Yes",1,0))</f>
        <v/>
      </c>
      <c r="AO1005">
        <f>IF($AK1005=1,IFERROR(IF(VALUE($D1005)&lt;100000000,VALUE($D1005),1000000000),IFERROR(IF(VALUE(MID($D1005,2,20))&lt;100000000,VALUE(MID($D1005,2,20)),1000000000),1000000000))+ROW()/100000,"")</f>
        <v/>
      </c>
    </row>
    <row r="1006">
      <c r="F1006" s="11" t="n"/>
      <c r="N1006" s="7">
        <f>IF($D1006="","",M1006*V1006/100)</f>
        <v/>
      </c>
      <c r="O1006" s="7" t="n"/>
      <c r="U1006" s="7" t="n"/>
      <c r="V1006" s="7" t="n"/>
      <c r="W1006" s="7">
        <f>IF($D1006="","",V1006*AB1006/100)</f>
        <v/>
      </c>
      <c r="X1006" s="7">
        <f>IF($D1006="","",V1006-W1006)</f>
        <v/>
      </c>
      <c r="Y1006" s="7">
        <f>IF($D1006="","",X1006-N1006)</f>
        <v/>
      </c>
      <c r="AB1006">
        <f>IF($D1006="","",IF($AN1006=1,0,IF($AM1006=1,Settings!$C$6,Settings!$C$7))*100)</f>
        <v/>
      </c>
      <c r="AF1006" s="7" t="n"/>
      <c r="AI1006" s="11" t="n"/>
      <c r="AK1006">
        <f>IF($D1006="","",IF(COUNTIF($D$2:$D1006,$D1006)=1,1,0))</f>
        <v/>
      </c>
      <c r="AL1006">
        <f>IF($AK1006=1,SUMPRODUCT(--($AO$2:$AO$1501&lt;$AO1006))+1,"")</f>
        <v/>
      </c>
      <c r="AM1006">
        <f>IF($D1006="","",IF(OR($R1006=TRUE(),$R1006="TRUE"),1,0))</f>
        <v/>
      </c>
      <c r="AN1006">
        <f>IF($D1006="","",IF($AA1006="Yes",1,0))</f>
        <v/>
      </c>
      <c r="AO1006">
        <f>IF($AK1006=1,IFERROR(IF(VALUE($D1006)&lt;100000000,VALUE($D1006),1000000000),IFERROR(IF(VALUE(MID($D1006,2,20))&lt;100000000,VALUE(MID($D1006,2,20)),1000000000),1000000000))+ROW()/100000,"")</f>
        <v/>
      </c>
    </row>
    <row r="1007">
      <c r="F1007" s="11" t="n"/>
      <c r="N1007" s="7">
        <f>IF($D1007="","",M1007*V1007/100)</f>
        <v/>
      </c>
      <c r="O1007" s="7" t="n"/>
      <c r="U1007" s="7" t="n"/>
      <c r="V1007" s="7" t="n"/>
      <c r="W1007" s="7">
        <f>IF($D1007="","",V1007*AB1007/100)</f>
        <v/>
      </c>
      <c r="X1007" s="7">
        <f>IF($D1007="","",V1007-W1007)</f>
        <v/>
      </c>
      <c r="Y1007" s="7">
        <f>IF($D1007="","",X1007-N1007)</f>
        <v/>
      </c>
      <c r="AB1007">
        <f>IF($D1007="","",IF($AN1007=1,0,IF($AM1007=1,Settings!$C$6,Settings!$C$7))*100)</f>
        <v/>
      </c>
      <c r="AF1007" s="7" t="n"/>
      <c r="AI1007" s="11" t="n"/>
      <c r="AK1007">
        <f>IF($D1007="","",IF(COUNTIF($D$2:$D1007,$D1007)=1,1,0))</f>
        <v/>
      </c>
      <c r="AL1007">
        <f>IF($AK1007=1,SUMPRODUCT(--($AO$2:$AO$1501&lt;$AO1007))+1,"")</f>
        <v/>
      </c>
      <c r="AM1007">
        <f>IF($D1007="","",IF(OR($R1007=TRUE(),$R1007="TRUE"),1,0))</f>
        <v/>
      </c>
      <c r="AN1007">
        <f>IF($D1007="","",IF($AA1007="Yes",1,0))</f>
        <v/>
      </c>
      <c r="AO1007">
        <f>IF($AK1007=1,IFERROR(IF(VALUE($D1007)&lt;100000000,VALUE($D1007),1000000000),IFERROR(IF(VALUE(MID($D1007,2,20))&lt;100000000,VALUE(MID($D1007,2,20)),1000000000),1000000000))+ROW()/100000,"")</f>
        <v/>
      </c>
    </row>
    <row r="1008">
      <c r="F1008" s="11" t="n"/>
      <c r="N1008" s="7">
        <f>IF($D1008="","",M1008*V1008/100)</f>
        <v/>
      </c>
      <c r="O1008" s="7" t="n"/>
      <c r="U1008" s="7" t="n"/>
      <c r="V1008" s="7" t="n"/>
      <c r="W1008" s="7">
        <f>IF($D1008="","",V1008*AB1008/100)</f>
        <v/>
      </c>
      <c r="X1008" s="7">
        <f>IF($D1008="","",V1008-W1008)</f>
        <v/>
      </c>
      <c r="Y1008" s="7">
        <f>IF($D1008="","",X1008-N1008)</f>
        <v/>
      </c>
      <c r="AB1008">
        <f>IF($D1008="","",IF($AN1008=1,0,IF($AM1008=1,Settings!$C$6,Settings!$C$7))*100)</f>
        <v/>
      </c>
      <c r="AF1008" s="7" t="n"/>
      <c r="AI1008" s="11" t="n"/>
      <c r="AK1008">
        <f>IF($D1008="","",IF(COUNTIF($D$2:$D1008,$D1008)=1,1,0))</f>
        <v/>
      </c>
      <c r="AL1008">
        <f>IF($AK1008=1,SUMPRODUCT(--($AO$2:$AO$1501&lt;$AO1008))+1,"")</f>
        <v/>
      </c>
      <c r="AM1008">
        <f>IF($D1008="","",IF(OR($R1008=TRUE(),$R1008="TRUE"),1,0))</f>
        <v/>
      </c>
      <c r="AN1008">
        <f>IF($D1008="","",IF($AA1008="Yes",1,0))</f>
        <v/>
      </c>
      <c r="AO1008">
        <f>IF($AK1008=1,IFERROR(IF(VALUE($D1008)&lt;100000000,VALUE($D1008),1000000000),IFERROR(IF(VALUE(MID($D1008,2,20))&lt;100000000,VALUE(MID($D1008,2,20)),1000000000),1000000000))+ROW()/100000,"")</f>
        <v/>
      </c>
    </row>
    <row r="1009">
      <c r="F1009" s="11" t="n"/>
      <c r="N1009" s="7">
        <f>IF($D1009="","",M1009*V1009/100)</f>
        <v/>
      </c>
      <c r="O1009" s="7" t="n"/>
      <c r="U1009" s="7" t="n"/>
      <c r="V1009" s="7" t="n"/>
      <c r="W1009" s="7">
        <f>IF($D1009="","",V1009*AB1009/100)</f>
        <v/>
      </c>
      <c r="X1009" s="7">
        <f>IF($D1009="","",V1009-W1009)</f>
        <v/>
      </c>
      <c r="Y1009" s="7">
        <f>IF($D1009="","",X1009-N1009)</f>
        <v/>
      </c>
      <c r="AB1009">
        <f>IF($D1009="","",IF($AN1009=1,0,IF($AM1009=1,Settings!$C$6,Settings!$C$7))*100)</f>
        <v/>
      </c>
      <c r="AF1009" s="7" t="n"/>
      <c r="AI1009" s="11" t="n"/>
      <c r="AK1009">
        <f>IF($D1009="","",IF(COUNTIF($D$2:$D1009,$D1009)=1,1,0))</f>
        <v/>
      </c>
      <c r="AL1009">
        <f>IF($AK1009=1,SUMPRODUCT(--($AO$2:$AO$1501&lt;$AO1009))+1,"")</f>
        <v/>
      </c>
      <c r="AM1009">
        <f>IF($D1009="","",IF(OR($R1009=TRUE(),$R1009="TRUE"),1,0))</f>
        <v/>
      </c>
      <c r="AN1009">
        <f>IF($D1009="","",IF($AA1009="Yes",1,0))</f>
        <v/>
      </c>
      <c r="AO1009">
        <f>IF($AK1009=1,IFERROR(IF(VALUE($D1009)&lt;100000000,VALUE($D1009),1000000000),IFERROR(IF(VALUE(MID($D1009,2,20))&lt;100000000,VALUE(MID($D1009,2,20)),1000000000),1000000000))+ROW()/100000,"")</f>
        <v/>
      </c>
    </row>
    <row r="1010">
      <c r="F1010" s="11" t="n"/>
      <c r="N1010" s="7">
        <f>IF($D1010="","",M1010*V1010/100)</f>
        <v/>
      </c>
      <c r="O1010" s="7" t="n"/>
      <c r="U1010" s="7" t="n"/>
      <c r="V1010" s="7" t="n"/>
      <c r="W1010" s="7">
        <f>IF($D1010="","",V1010*AB1010/100)</f>
        <v/>
      </c>
      <c r="X1010" s="7">
        <f>IF($D1010="","",V1010-W1010)</f>
        <v/>
      </c>
      <c r="Y1010" s="7">
        <f>IF($D1010="","",X1010-N1010)</f>
        <v/>
      </c>
      <c r="AB1010">
        <f>IF($D1010="","",IF($AN1010=1,0,IF($AM1010=1,Settings!$C$6,Settings!$C$7))*100)</f>
        <v/>
      </c>
      <c r="AF1010" s="7" t="n"/>
      <c r="AI1010" s="11" t="n"/>
      <c r="AK1010">
        <f>IF($D1010="","",IF(COUNTIF($D$2:$D1010,$D1010)=1,1,0))</f>
        <v/>
      </c>
      <c r="AL1010">
        <f>IF($AK1010=1,SUMPRODUCT(--($AO$2:$AO$1501&lt;$AO1010))+1,"")</f>
        <v/>
      </c>
      <c r="AM1010">
        <f>IF($D1010="","",IF(OR($R1010=TRUE(),$R1010="TRUE"),1,0))</f>
        <v/>
      </c>
      <c r="AN1010">
        <f>IF($D1010="","",IF($AA1010="Yes",1,0))</f>
        <v/>
      </c>
      <c r="AO1010">
        <f>IF($AK1010=1,IFERROR(IF(VALUE($D1010)&lt;100000000,VALUE($D1010),1000000000),IFERROR(IF(VALUE(MID($D1010,2,20))&lt;100000000,VALUE(MID($D1010,2,20)),1000000000),1000000000))+ROW()/100000,"")</f>
        <v/>
      </c>
    </row>
    <row r="1011">
      <c r="F1011" s="11" t="n"/>
      <c r="N1011" s="7">
        <f>IF($D1011="","",M1011*V1011/100)</f>
        <v/>
      </c>
      <c r="O1011" s="7" t="n"/>
      <c r="U1011" s="7" t="n"/>
      <c r="V1011" s="7" t="n"/>
      <c r="W1011" s="7">
        <f>IF($D1011="","",V1011*AB1011/100)</f>
        <v/>
      </c>
      <c r="X1011" s="7">
        <f>IF($D1011="","",V1011-W1011)</f>
        <v/>
      </c>
      <c r="Y1011" s="7">
        <f>IF($D1011="","",X1011-N1011)</f>
        <v/>
      </c>
      <c r="AB1011">
        <f>IF($D1011="","",IF($AN1011=1,0,IF($AM1011=1,Settings!$C$6,Settings!$C$7))*100)</f>
        <v/>
      </c>
      <c r="AF1011" s="7" t="n"/>
      <c r="AI1011" s="11" t="n"/>
      <c r="AK1011">
        <f>IF($D1011="","",IF(COUNTIF($D$2:$D1011,$D1011)=1,1,0))</f>
        <v/>
      </c>
      <c r="AL1011">
        <f>IF($AK1011=1,SUMPRODUCT(--($AO$2:$AO$1501&lt;$AO1011))+1,"")</f>
        <v/>
      </c>
      <c r="AM1011">
        <f>IF($D1011="","",IF(OR($R1011=TRUE(),$R1011="TRUE"),1,0))</f>
        <v/>
      </c>
      <c r="AN1011">
        <f>IF($D1011="","",IF($AA1011="Yes",1,0))</f>
        <v/>
      </c>
      <c r="AO1011">
        <f>IF($AK1011=1,IFERROR(IF(VALUE($D1011)&lt;100000000,VALUE($D1011),1000000000),IFERROR(IF(VALUE(MID($D1011,2,20))&lt;100000000,VALUE(MID($D1011,2,20)),1000000000),1000000000))+ROW()/100000,"")</f>
        <v/>
      </c>
    </row>
    <row r="1012">
      <c r="F1012" s="11" t="n"/>
      <c r="N1012" s="7">
        <f>IF($D1012="","",M1012*V1012/100)</f>
        <v/>
      </c>
      <c r="O1012" s="7" t="n"/>
      <c r="U1012" s="7" t="n"/>
      <c r="V1012" s="7" t="n"/>
      <c r="W1012" s="7">
        <f>IF($D1012="","",V1012*AB1012/100)</f>
        <v/>
      </c>
      <c r="X1012" s="7">
        <f>IF($D1012="","",V1012-W1012)</f>
        <v/>
      </c>
      <c r="Y1012" s="7">
        <f>IF($D1012="","",X1012-N1012)</f>
        <v/>
      </c>
      <c r="AB1012">
        <f>IF($D1012="","",IF($AN1012=1,0,IF($AM1012=1,Settings!$C$6,Settings!$C$7))*100)</f>
        <v/>
      </c>
      <c r="AF1012" s="7" t="n"/>
      <c r="AI1012" s="11" t="n"/>
      <c r="AK1012">
        <f>IF($D1012="","",IF(COUNTIF($D$2:$D1012,$D1012)=1,1,0))</f>
        <v/>
      </c>
      <c r="AL1012">
        <f>IF($AK1012=1,SUMPRODUCT(--($AO$2:$AO$1501&lt;$AO1012))+1,"")</f>
        <v/>
      </c>
      <c r="AM1012">
        <f>IF($D1012="","",IF(OR($R1012=TRUE(),$R1012="TRUE"),1,0))</f>
        <v/>
      </c>
      <c r="AN1012">
        <f>IF($D1012="","",IF($AA1012="Yes",1,0))</f>
        <v/>
      </c>
      <c r="AO1012">
        <f>IF($AK1012=1,IFERROR(IF(VALUE($D1012)&lt;100000000,VALUE($D1012),1000000000),IFERROR(IF(VALUE(MID($D1012,2,20))&lt;100000000,VALUE(MID($D1012,2,20)),1000000000),1000000000))+ROW()/100000,"")</f>
        <v/>
      </c>
    </row>
    <row r="1013">
      <c r="F1013" s="11" t="n"/>
      <c r="N1013" s="7">
        <f>IF($D1013="","",M1013*V1013/100)</f>
        <v/>
      </c>
      <c r="O1013" s="7" t="n"/>
      <c r="U1013" s="7" t="n"/>
      <c r="V1013" s="7" t="n"/>
      <c r="W1013" s="7">
        <f>IF($D1013="","",V1013*AB1013/100)</f>
        <v/>
      </c>
      <c r="X1013" s="7">
        <f>IF($D1013="","",V1013-W1013)</f>
        <v/>
      </c>
      <c r="Y1013" s="7">
        <f>IF($D1013="","",X1013-N1013)</f>
        <v/>
      </c>
      <c r="AB1013">
        <f>IF($D1013="","",IF($AN1013=1,0,IF($AM1013=1,Settings!$C$6,Settings!$C$7))*100)</f>
        <v/>
      </c>
      <c r="AF1013" s="7" t="n"/>
      <c r="AI1013" s="11" t="n"/>
      <c r="AK1013">
        <f>IF($D1013="","",IF(COUNTIF($D$2:$D1013,$D1013)=1,1,0))</f>
        <v/>
      </c>
      <c r="AL1013">
        <f>IF($AK1013=1,SUMPRODUCT(--($AO$2:$AO$1501&lt;$AO1013))+1,"")</f>
        <v/>
      </c>
      <c r="AM1013">
        <f>IF($D1013="","",IF(OR($R1013=TRUE(),$R1013="TRUE"),1,0))</f>
        <v/>
      </c>
      <c r="AN1013">
        <f>IF($D1013="","",IF($AA1013="Yes",1,0))</f>
        <v/>
      </c>
      <c r="AO1013">
        <f>IF($AK1013=1,IFERROR(IF(VALUE($D1013)&lt;100000000,VALUE($D1013),1000000000),IFERROR(IF(VALUE(MID($D1013,2,20))&lt;100000000,VALUE(MID($D1013,2,20)),1000000000),1000000000))+ROW()/100000,"")</f>
        <v/>
      </c>
    </row>
    <row r="1014">
      <c r="F1014" s="11" t="n"/>
      <c r="N1014" s="7">
        <f>IF($D1014="","",M1014*V1014/100)</f>
        <v/>
      </c>
      <c r="O1014" s="7" t="n"/>
      <c r="U1014" s="7" t="n"/>
      <c r="V1014" s="7" t="n"/>
      <c r="W1014" s="7">
        <f>IF($D1014="","",V1014*AB1014/100)</f>
        <v/>
      </c>
      <c r="X1014" s="7">
        <f>IF($D1014="","",V1014-W1014)</f>
        <v/>
      </c>
      <c r="Y1014" s="7">
        <f>IF($D1014="","",X1014-N1014)</f>
        <v/>
      </c>
      <c r="AB1014">
        <f>IF($D1014="","",IF($AN1014=1,0,IF($AM1014=1,Settings!$C$6,Settings!$C$7))*100)</f>
        <v/>
      </c>
      <c r="AF1014" s="7" t="n"/>
      <c r="AI1014" s="11" t="n"/>
      <c r="AK1014">
        <f>IF($D1014="","",IF(COUNTIF($D$2:$D1014,$D1014)=1,1,0))</f>
        <v/>
      </c>
      <c r="AL1014">
        <f>IF($AK1014=1,SUMPRODUCT(--($AO$2:$AO$1501&lt;$AO1014))+1,"")</f>
        <v/>
      </c>
      <c r="AM1014">
        <f>IF($D1014="","",IF(OR($R1014=TRUE(),$R1014="TRUE"),1,0))</f>
        <v/>
      </c>
      <c r="AN1014">
        <f>IF($D1014="","",IF($AA1014="Yes",1,0))</f>
        <v/>
      </c>
      <c r="AO1014">
        <f>IF($AK1014=1,IFERROR(IF(VALUE($D1014)&lt;100000000,VALUE($D1014),1000000000),IFERROR(IF(VALUE(MID($D1014,2,20))&lt;100000000,VALUE(MID($D1014,2,20)),1000000000),1000000000))+ROW()/100000,"")</f>
        <v/>
      </c>
    </row>
    <row r="1015">
      <c r="F1015" s="11" t="n"/>
      <c r="N1015" s="7">
        <f>IF($D1015="","",M1015*V1015/100)</f>
        <v/>
      </c>
      <c r="O1015" s="7" t="n"/>
      <c r="U1015" s="7" t="n"/>
      <c r="V1015" s="7" t="n"/>
      <c r="W1015" s="7">
        <f>IF($D1015="","",V1015*AB1015/100)</f>
        <v/>
      </c>
      <c r="X1015" s="7">
        <f>IF($D1015="","",V1015-W1015)</f>
        <v/>
      </c>
      <c r="Y1015" s="7">
        <f>IF($D1015="","",X1015-N1015)</f>
        <v/>
      </c>
      <c r="AB1015">
        <f>IF($D1015="","",IF($AN1015=1,0,IF($AM1015=1,Settings!$C$6,Settings!$C$7))*100)</f>
        <v/>
      </c>
      <c r="AF1015" s="7" t="n"/>
      <c r="AI1015" s="11" t="n"/>
      <c r="AK1015">
        <f>IF($D1015="","",IF(COUNTIF($D$2:$D1015,$D1015)=1,1,0))</f>
        <v/>
      </c>
      <c r="AL1015">
        <f>IF($AK1015=1,SUMPRODUCT(--($AO$2:$AO$1501&lt;$AO1015))+1,"")</f>
        <v/>
      </c>
      <c r="AM1015">
        <f>IF($D1015="","",IF(OR($R1015=TRUE(),$R1015="TRUE"),1,0))</f>
        <v/>
      </c>
      <c r="AN1015">
        <f>IF($D1015="","",IF($AA1015="Yes",1,0))</f>
        <v/>
      </c>
      <c r="AO1015">
        <f>IF($AK1015=1,IFERROR(IF(VALUE($D1015)&lt;100000000,VALUE($D1015),1000000000),IFERROR(IF(VALUE(MID($D1015,2,20))&lt;100000000,VALUE(MID($D1015,2,20)),1000000000),1000000000))+ROW()/100000,"")</f>
        <v/>
      </c>
    </row>
    <row r="1016">
      <c r="F1016" s="11" t="n"/>
      <c r="N1016" s="7">
        <f>IF($D1016="","",M1016*V1016/100)</f>
        <v/>
      </c>
      <c r="O1016" s="7" t="n"/>
      <c r="U1016" s="7" t="n"/>
      <c r="V1016" s="7" t="n"/>
      <c r="W1016" s="7">
        <f>IF($D1016="","",V1016*AB1016/100)</f>
        <v/>
      </c>
      <c r="X1016" s="7">
        <f>IF($D1016="","",V1016-W1016)</f>
        <v/>
      </c>
      <c r="Y1016" s="7">
        <f>IF($D1016="","",X1016-N1016)</f>
        <v/>
      </c>
      <c r="AB1016">
        <f>IF($D1016="","",IF($AN1016=1,0,IF($AM1016=1,Settings!$C$6,Settings!$C$7))*100)</f>
        <v/>
      </c>
      <c r="AF1016" s="7" t="n"/>
      <c r="AI1016" s="11" t="n"/>
      <c r="AK1016">
        <f>IF($D1016="","",IF(COUNTIF($D$2:$D1016,$D1016)=1,1,0))</f>
        <v/>
      </c>
      <c r="AL1016">
        <f>IF($AK1016=1,SUMPRODUCT(--($AO$2:$AO$1501&lt;$AO1016))+1,"")</f>
        <v/>
      </c>
      <c r="AM1016">
        <f>IF($D1016="","",IF(OR($R1016=TRUE(),$R1016="TRUE"),1,0))</f>
        <v/>
      </c>
      <c r="AN1016">
        <f>IF($D1016="","",IF($AA1016="Yes",1,0))</f>
        <v/>
      </c>
      <c r="AO1016">
        <f>IF($AK1016=1,IFERROR(IF(VALUE($D1016)&lt;100000000,VALUE($D1016),1000000000),IFERROR(IF(VALUE(MID($D1016,2,20))&lt;100000000,VALUE(MID($D1016,2,20)),1000000000),1000000000))+ROW()/100000,"")</f>
        <v/>
      </c>
    </row>
    <row r="1017">
      <c r="F1017" s="11" t="n"/>
      <c r="N1017" s="7">
        <f>IF($D1017="","",M1017*V1017/100)</f>
        <v/>
      </c>
      <c r="O1017" s="7" t="n"/>
      <c r="U1017" s="7" t="n"/>
      <c r="V1017" s="7" t="n"/>
      <c r="W1017" s="7">
        <f>IF($D1017="","",V1017*AB1017/100)</f>
        <v/>
      </c>
      <c r="X1017" s="7">
        <f>IF($D1017="","",V1017-W1017)</f>
        <v/>
      </c>
      <c r="Y1017" s="7">
        <f>IF($D1017="","",X1017-N1017)</f>
        <v/>
      </c>
      <c r="AB1017">
        <f>IF($D1017="","",IF($AN1017=1,0,IF($AM1017=1,Settings!$C$6,Settings!$C$7))*100)</f>
        <v/>
      </c>
      <c r="AF1017" s="7" t="n"/>
      <c r="AI1017" s="11" t="n"/>
      <c r="AK1017">
        <f>IF($D1017="","",IF(COUNTIF($D$2:$D1017,$D1017)=1,1,0))</f>
        <v/>
      </c>
      <c r="AL1017">
        <f>IF($AK1017=1,SUMPRODUCT(--($AO$2:$AO$1501&lt;$AO1017))+1,"")</f>
        <v/>
      </c>
      <c r="AM1017">
        <f>IF($D1017="","",IF(OR($R1017=TRUE(),$R1017="TRUE"),1,0))</f>
        <v/>
      </c>
      <c r="AN1017">
        <f>IF($D1017="","",IF($AA1017="Yes",1,0))</f>
        <v/>
      </c>
      <c r="AO1017">
        <f>IF($AK1017=1,IFERROR(IF(VALUE($D1017)&lt;100000000,VALUE($D1017),1000000000),IFERROR(IF(VALUE(MID($D1017,2,20))&lt;100000000,VALUE(MID($D1017,2,20)),1000000000),1000000000))+ROW()/100000,"")</f>
        <v/>
      </c>
    </row>
    <row r="1018">
      <c r="F1018" s="11" t="n"/>
      <c r="N1018" s="7">
        <f>IF($D1018="","",M1018*V1018/100)</f>
        <v/>
      </c>
      <c r="O1018" s="7" t="n"/>
      <c r="U1018" s="7" t="n"/>
      <c r="V1018" s="7" t="n"/>
      <c r="W1018" s="7">
        <f>IF($D1018="","",V1018*AB1018/100)</f>
        <v/>
      </c>
      <c r="X1018" s="7">
        <f>IF($D1018="","",V1018-W1018)</f>
        <v/>
      </c>
      <c r="Y1018" s="7">
        <f>IF($D1018="","",X1018-N1018)</f>
        <v/>
      </c>
      <c r="AB1018">
        <f>IF($D1018="","",IF($AN1018=1,0,IF($AM1018=1,Settings!$C$6,Settings!$C$7))*100)</f>
        <v/>
      </c>
      <c r="AF1018" s="7" t="n"/>
      <c r="AI1018" s="11" t="n"/>
      <c r="AK1018">
        <f>IF($D1018="","",IF(COUNTIF($D$2:$D1018,$D1018)=1,1,0))</f>
        <v/>
      </c>
      <c r="AL1018">
        <f>IF($AK1018=1,SUMPRODUCT(--($AO$2:$AO$1501&lt;$AO1018))+1,"")</f>
        <v/>
      </c>
      <c r="AM1018">
        <f>IF($D1018="","",IF(OR($R1018=TRUE(),$R1018="TRUE"),1,0))</f>
        <v/>
      </c>
      <c r="AN1018">
        <f>IF($D1018="","",IF($AA1018="Yes",1,0))</f>
        <v/>
      </c>
      <c r="AO1018">
        <f>IF($AK1018=1,IFERROR(IF(VALUE($D1018)&lt;100000000,VALUE($D1018),1000000000),IFERROR(IF(VALUE(MID($D1018,2,20))&lt;100000000,VALUE(MID($D1018,2,20)),1000000000),1000000000))+ROW()/100000,"")</f>
        <v/>
      </c>
    </row>
    <row r="1019">
      <c r="F1019" s="11" t="n"/>
      <c r="N1019" s="7">
        <f>IF($D1019="","",M1019*V1019/100)</f>
        <v/>
      </c>
      <c r="O1019" s="7" t="n"/>
      <c r="U1019" s="7" t="n"/>
      <c r="V1019" s="7" t="n"/>
      <c r="W1019" s="7">
        <f>IF($D1019="","",V1019*AB1019/100)</f>
        <v/>
      </c>
      <c r="X1019" s="7">
        <f>IF($D1019="","",V1019-W1019)</f>
        <v/>
      </c>
      <c r="Y1019" s="7">
        <f>IF($D1019="","",X1019-N1019)</f>
        <v/>
      </c>
      <c r="AB1019">
        <f>IF($D1019="","",IF($AN1019=1,0,IF($AM1019=1,Settings!$C$6,Settings!$C$7))*100)</f>
        <v/>
      </c>
      <c r="AF1019" s="7" t="n"/>
      <c r="AI1019" s="11" t="n"/>
      <c r="AK1019">
        <f>IF($D1019="","",IF(COUNTIF($D$2:$D1019,$D1019)=1,1,0))</f>
        <v/>
      </c>
      <c r="AL1019">
        <f>IF($AK1019=1,SUMPRODUCT(--($AO$2:$AO$1501&lt;$AO1019))+1,"")</f>
        <v/>
      </c>
      <c r="AM1019">
        <f>IF($D1019="","",IF(OR($R1019=TRUE(),$R1019="TRUE"),1,0))</f>
        <v/>
      </c>
      <c r="AN1019">
        <f>IF($D1019="","",IF($AA1019="Yes",1,0))</f>
        <v/>
      </c>
      <c r="AO1019">
        <f>IF($AK1019=1,IFERROR(IF(VALUE($D1019)&lt;100000000,VALUE($D1019),1000000000),IFERROR(IF(VALUE(MID($D1019,2,20))&lt;100000000,VALUE(MID($D1019,2,20)),1000000000),1000000000))+ROW()/100000,"")</f>
        <v/>
      </c>
    </row>
    <row r="1020">
      <c r="F1020" s="11" t="n"/>
      <c r="N1020" s="7">
        <f>IF($D1020="","",M1020*V1020/100)</f>
        <v/>
      </c>
      <c r="O1020" s="7" t="n"/>
      <c r="U1020" s="7" t="n"/>
      <c r="V1020" s="7" t="n"/>
      <c r="W1020" s="7">
        <f>IF($D1020="","",V1020*AB1020/100)</f>
        <v/>
      </c>
      <c r="X1020" s="7">
        <f>IF($D1020="","",V1020-W1020)</f>
        <v/>
      </c>
      <c r="Y1020" s="7">
        <f>IF($D1020="","",X1020-N1020)</f>
        <v/>
      </c>
      <c r="AB1020">
        <f>IF($D1020="","",IF($AN1020=1,0,IF($AM1020=1,Settings!$C$6,Settings!$C$7))*100)</f>
        <v/>
      </c>
      <c r="AF1020" s="7" t="n"/>
      <c r="AI1020" s="11" t="n"/>
      <c r="AK1020">
        <f>IF($D1020="","",IF(COUNTIF($D$2:$D1020,$D1020)=1,1,0))</f>
        <v/>
      </c>
      <c r="AL1020">
        <f>IF($AK1020=1,SUMPRODUCT(--($AO$2:$AO$1501&lt;$AO1020))+1,"")</f>
        <v/>
      </c>
      <c r="AM1020">
        <f>IF($D1020="","",IF(OR($R1020=TRUE(),$R1020="TRUE"),1,0))</f>
        <v/>
      </c>
      <c r="AN1020">
        <f>IF($D1020="","",IF($AA1020="Yes",1,0))</f>
        <v/>
      </c>
      <c r="AO1020">
        <f>IF($AK1020=1,IFERROR(IF(VALUE($D1020)&lt;100000000,VALUE($D1020),1000000000),IFERROR(IF(VALUE(MID($D1020,2,20))&lt;100000000,VALUE(MID($D1020,2,20)),1000000000),1000000000))+ROW()/100000,"")</f>
        <v/>
      </c>
    </row>
    <row r="1021">
      <c r="F1021" s="11" t="n"/>
      <c r="N1021" s="7">
        <f>IF($D1021="","",M1021*V1021/100)</f>
        <v/>
      </c>
      <c r="O1021" s="7" t="n"/>
      <c r="U1021" s="7" t="n"/>
      <c r="V1021" s="7" t="n"/>
      <c r="W1021" s="7">
        <f>IF($D1021="","",V1021*AB1021/100)</f>
        <v/>
      </c>
      <c r="X1021" s="7">
        <f>IF($D1021="","",V1021-W1021)</f>
        <v/>
      </c>
      <c r="Y1021" s="7">
        <f>IF($D1021="","",X1021-N1021)</f>
        <v/>
      </c>
      <c r="AB1021">
        <f>IF($D1021="","",IF($AN1021=1,0,IF($AM1021=1,Settings!$C$6,Settings!$C$7))*100)</f>
        <v/>
      </c>
      <c r="AF1021" s="7" t="n"/>
      <c r="AI1021" s="11" t="n"/>
      <c r="AK1021">
        <f>IF($D1021="","",IF(COUNTIF($D$2:$D1021,$D1021)=1,1,0))</f>
        <v/>
      </c>
      <c r="AL1021">
        <f>IF($AK1021=1,SUMPRODUCT(--($AO$2:$AO$1501&lt;$AO1021))+1,"")</f>
        <v/>
      </c>
      <c r="AM1021">
        <f>IF($D1021="","",IF(OR($R1021=TRUE(),$R1021="TRUE"),1,0))</f>
        <v/>
      </c>
      <c r="AN1021">
        <f>IF($D1021="","",IF($AA1021="Yes",1,0))</f>
        <v/>
      </c>
      <c r="AO1021">
        <f>IF($AK1021=1,IFERROR(IF(VALUE($D1021)&lt;100000000,VALUE($D1021),1000000000),IFERROR(IF(VALUE(MID($D1021,2,20))&lt;100000000,VALUE(MID($D1021,2,20)),1000000000),1000000000))+ROW()/100000,"")</f>
        <v/>
      </c>
    </row>
    <row r="1022">
      <c r="F1022" s="11" t="n"/>
      <c r="N1022" s="7">
        <f>IF($D1022="","",M1022*V1022/100)</f>
        <v/>
      </c>
      <c r="O1022" s="7" t="n"/>
      <c r="U1022" s="7" t="n"/>
      <c r="V1022" s="7" t="n"/>
      <c r="W1022" s="7">
        <f>IF($D1022="","",V1022*AB1022/100)</f>
        <v/>
      </c>
      <c r="X1022" s="7">
        <f>IF($D1022="","",V1022-W1022)</f>
        <v/>
      </c>
      <c r="Y1022" s="7">
        <f>IF($D1022="","",X1022-N1022)</f>
        <v/>
      </c>
      <c r="AB1022">
        <f>IF($D1022="","",IF($AN1022=1,0,IF($AM1022=1,Settings!$C$6,Settings!$C$7))*100)</f>
        <v/>
      </c>
      <c r="AF1022" s="7" t="n"/>
      <c r="AI1022" s="11" t="n"/>
      <c r="AK1022">
        <f>IF($D1022="","",IF(COUNTIF($D$2:$D1022,$D1022)=1,1,0))</f>
        <v/>
      </c>
      <c r="AL1022">
        <f>IF($AK1022=1,SUMPRODUCT(--($AO$2:$AO$1501&lt;$AO1022))+1,"")</f>
        <v/>
      </c>
      <c r="AM1022">
        <f>IF($D1022="","",IF(OR($R1022=TRUE(),$R1022="TRUE"),1,0))</f>
        <v/>
      </c>
      <c r="AN1022">
        <f>IF($D1022="","",IF($AA1022="Yes",1,0))</f>
        <v/>
      </c>
      <c r="AO1022">
        <f>IF($AK1022=1,IFERROR(IF(VALUE($D1022)&lt;100000000,VALUE($D1022),1000000000),IFERROR(IF(VALUE(MID($D1022,2,20))&lt;100000000,VALUE(MID($D1022,2,20)),1000000000),1000000000))+ROW()/100000,"")</f>
        <v/>
      </c>
    </row>
    <row r="1023">
      <c r="F1023" s="11" t="n"/>
      <c r="N1023" s="7">
        <f>IF($D1023="","",M1023*V1023/100)</f>
        <v/>
      </c>
      <c r="O1023" s="7" t="n"/>
      <c r="U1023" s="7" t="n"/>
      <c r="V1023" s="7" t="n"/>
      <c r="W1023" s="7">
        <f>IF($D1023="","",V1023*AB1023/100)</f>
        <v/>
      </c>
      <c r="X1023" s="7">
        <f>IF($D1023="","",V1023-W1023)</f>
        <v/>
      </c>
      <c r="Y1023" s="7">
        <f>IF($D1023="","",X1023-N1023)</f>
        <v/>
      </c>
      <c r="AB1023">
        <f>IF($D1023="","",IF($AN1023=1,0,IF($AM1023=1,Settings!$C$6,Settings!$C$7))*100)</f>
        <v/>
      </c>
      <c r="AF1023" s="7" t="n"/>
      <c r="AI1023" s="11" t="n"/>
      <c r="AK1023">
        <f>IF($D1023="","",IF(COUNTIF($D$2:$D1023,$D1023)=1,1,0))</f>
        <v/>
      </c>
      <c r="AL1023">
        <f>IF($AK1023=1,SUMPRODUCT(--($AO$2:$AO$1501&lt;$AO1023))+1,"")</f>
        <v/>
      </c>
      <c r="AM1023">
        <f>IF($D1023="","",IF(OR($R1023=TRUE(),$R1023="TRUE"),1,0))</f>
        <v/>
      </c>
      <c r="AN1023">
        <f>IF($D1023="","",IF($AA1023="Yes",1,0))</f>
        <v/>
      </c>
      <c r="AO1023">
        <f>IF($AK1023=1,IFERROR(IF(VALUE($D1023)&lt;100000000,VALUE($D1023),1000000000),IFERROR(IF(VALUE(MID($D1023,2,20))&lt;100000000,VALUE(MID($D1023,2,20)),1000000000),1000000000))+ROW()/100000,"")</f>
        <v/>
      </c>
    </row>
    <row r="1024">
      <c r="F1024" s="11" t="n"/>
      <c r="N1024" s="7">
        <f>IF($D1024="","",M1024*V1024/100)</f>
        <v/>
      </c>
      <c r="O1024" s="7" t="n"/>
      <c r="U1024" s="7" t="n"/>
      <c r="V1024" s="7" t="n"/>
      <c r="W1024" s="7">
        <f>IF($D1024="","",V1024*AB1024/100)</f>
        <v/>
      </c>
      <c r="X1024" s="7">
        <f>IF($D1024="","",V1024-W1024)</f>
        <v/>
      </c>
      <c r="Y1024" s="7">
        <f>IF($D1024="","",X1024-N1024)</f>
        <v/>
      </c>
      <c r="AB1024">
        <f>IF($D1024="","",IF($AN1024=1,0,IF($AM1024=1,Settings!$C$6,Settings!$C$7))*100)</f>
        <v/>
      </c>
      <c r="AF1024" s="7" t="n"/>
      <c r="AI1024" s="11" t="n"/>
      <c r="AK1024">
        <f>IF($D1024="","",IF(COUNTIF($D$2:$D1024,$D1024)=1,1,0))</f>
        <v/>
      </c>
      <c r="AL1024">
        <f>IF($AK1024=1,SUMPRODUCT(--($AO$2:$AO$1501&lt;$AO1024))+1,"")</f>
        <v/>
      </c>
      <c r="AM1024">
        <f>IF($D1024="","",IF(OR($R1024=TRUE(),$R1024="TRUE"),1,0))</f>
        <v/>
      </c>
      <c r="AN1024">
        <f>IF($D1024="","",IF($AA1024="Yes",1,0))</f>
        <v/>
      </c>
      <c r="AO1024">
        <f>IF($AK1024=1,IFERROR(IF(VALUE($D1024)&lt;100000000,VALUE($D1024),1000000000),IFERROR(IF(VALUE(MID($D1024,2,20))&lt;100000000,VALUE(MID($D1024,2,20)),1000000000),1000000000))+ROW()/100000,"")</f>
        <v/>
      </c>
    </row>
    <row r="1025">
      <c r="F1025" s="11" t="n"/>
      <c r="N1025" s="7">
        <f>IF($D1025="","",M1025*V1025/100)</f>
        <v/>
      </c>
      <c r="O1025" s="7" t="n"/>
      <c r="U1025" s="7" t="n"/>
      <c r="V1025" s="7" t="n"/>
      <c r="W1025" s="7">
        <f>IF($D1025="","",V1025*AB1025/100)</f>
        <v/>
      </c>
      <c r="X1025" s="7">
        <f>IF($D1025="","",V1025-W1025)</f>
        <v/>
      </c>
      <c r="Y1025" s="7">
        <f>IF($D1025="","",X1025-N1025)</f>
        <v/>
      </c>
      <c r="AB1025">
        <f>IF($D1025="","",IF($AN1025=1,0,IF($AM1025=1,Settings!$C$6,Settings!$C$7))*100)</f>
        <v/>
      </c>
      <c r="AF1025" s="7" t="n"/>
      <c r="AI1025" s="11" t="n"/>
      <c r="AK1025">
        <f>IF($D1025="","",IF(COUNTIF($D$2:$D1025,$D1025)=1,1,0))</f>
        <v/>
      </c>
      <c r="AL1025">
        <f>IF($AK1025=1,SUMPRODUCT(--($AO$2:$AO$1501&lt;$AO1025))+1,"")</f>
        <v/>
      </c>
      <c r="AM1025">
        <f>IF($D1025="","",IF(OR($R1025=TRUE(),$R1025="TRUE"),1,0))</f>
        <v/>
      </c>
      <c r="AN1025">
        <f>IF($D1025="","",IF($AA1025="Yes",1,0))</f>
        <v/>
      </c>
      <c r="AO1025">
        <f>IF($AK1025=1,IFERROR(IF(VALUE($D1025)&lt;100000000,VALUE($D1025),1000000000),IFERROR(IF(VALUE(MID($D1025,2,20))&lt;100000000,VALUE(MID($D1025,2,20)),1000000000),1000000000))+ROW()/100000,"")</f>
        <v/>
      </c>
    </row>
    <row r="1026">
      <c r="F1026" s="11" t="n"/>
      <c r="N1026" s="7">
        <f>IF($D1026="","",M1026*V1026/100)</f>
        <v/>
      </c>
      <c r="O1026" s="7" t="n"/>
      <c r="U1026" s="7" t="n"/>
      <c r="V1026" s="7" t="n"/>
      <c r="W1026" s="7">
        <f>IF($D1026="","",V1026*AB1026/100)</f>
        <v/>
      </c>
      <c r="X1026" s="7">
        <f>IF($D1026="","",V1026-W1026)</f>
        <v/>
      </c>
      <c r="Y1026" s="7">
        <f>IF($D1026="","",X1026-N1026)</f>
        <v/>
      </c>
      <c r="AB1026">
        <f>IF($D1026="","",IF($AN1026=1,0,IF($AM1026=1,Settings!$C$6,Settings!$C$7))*100)</f>
        <v/>
      </c>
      <c r="AF1026" s="7" t="n"/>
      <c r="AI1026" s="11" t="n"/>
      <c r="AK1026">
        <f>IF($D1026="","",IF(COUNTIF($D$2:$D1026,$D1026)=1,1,0))</f>
        <v/>
      </c>
      <c r="AL1026">
        <f>IF($AK1026=1,SUMPRODUCT(--($AO$2:$AO$1501&lt;$AO1026))+1,"")</f>
        <v/>
      </c>
      <c r="AM1026">
        <f>IF($D1026="","",IF(OR($R1026=TRUE(),$R1026="TRUE"),1,0))</f>
        <v/>
      </c>
      <c r="AN1026">
        <f>IF($D1026="","",IF($AA1026="Yes",1,0))</f>
        <v/>
      </c>
      <c r="AO1026">
        <f>IF($AK1026=1,IFERROR(IF(VALUE($D1026)&lt;100000000,VALUE($D1026),1000000000),IFERROR(IF(VALUE(MID($D1026,2,20))&lt;100000000,VALUE(MID($D1026,2,20)),1000000000),1000000000))+ROW()/100000,"")</f>
        <v/>
      </c>
    </row>
    <row r="1027">
      <c r="F1027" s="11" t="n"/>
      <c r="N1027" s="7">
        <f>IF($D1027="","",M1027*V1027/100)</f>
        <v/>
      </c>
      <c r="O1027" s="7" t="n"/>
      <c r="U1027" s="7" t="n"/>
      <c r="V1027" s="7" t="n"/>
      <c r="W1027" s="7">
        <f>IF($D1027="","",V1027*AB1027/100)</f>
        <v/>
      </c>
      <c r="X1027" s="7">
        <f>IF($D1027="","",V1027-W1027)</f>
        <v/>
      </c>
      <c r="Y1027" s="7">
        <f>IF($D1027="","",X1027-N1027)</f>
        <v/>
      </c>
      <c r="AB1027">
        <f>IF($D1027="","",IF($AN1027=1,0,IF($AM1027=1,Settings!$C$6,Settings!$C$7))*100)</f>
        <v/>
      </c>
      <c r="AF1027" s="7" t="n"/>
      <c r="AI1027" s="11" t="n"/>
      <c r="AK1027">
        <f>IF($D1027="","",IF(COUNTIF($D$2:$D1027,$D1027)=1,1,0))</f>
        <v/>
      </c>
      <c r="AL1027">
        <f>IF($AK1027=1,SUMPRODUCT(--($AO$2:$AO$1501&lt;$AO1027))+1,"")</f>
        <v/>
      </c>
      <c r="AM1027">
        <f>IF($D1027="","",IF(OR($R1027=TRUE(),$R1027="TRUE"),1,0))</f>
        <v/>
      </c>
      <c r="AN1027">
        <f>IF($D1027="","",IF($AA1027="Yes",1,0))</f>
        <v/>
      </c>
      <c r="AO1027">
        <f>IF($AK1027=1,IFERROR(IF(VALUE($D1027)&lt;100000000,VALUE($D1027),1000000000),IFERROR(IF(VALUE(MID($D1027,2,20))&lt;100000000,VALUE(MID($D1027,2,20)),1000000000),1000000000))+ROW()/100000,"")</f>
        <v/>
      </c>
    </row>
    <row r="1028">
      <c r="F1028" s="11" t="n"/>
      <c r="N1028" s="7">
        <f>IF($D1028="","",M1028*V1028/100)</f>
        <v/>
      </c>
      <c r="O1028" s="7" t="n"/>
      <c r="U1028" s="7" t="n"/>
      <c r="V1028" s="7" t="n"/>
      <c r="W1028" s="7">
        <f>IF($D1028="","",V1028*AB1028/100)</f>
        <v/>
      </c>
      <c r="X1028" s="7">
        <f>IF($D1028="","",V1028-W1028)</f>
        <v/>
      </c>
      <c r="Y1028" s="7">
        <f>IF($D1028="","",X1028-N1028)</f>
        <v/>
      </c>
      <c r="AB1028">
        <f>IF($D1028="","",IF($AN1028=1,0,IF($AM1028=1,Settings!$C$6,Settings!$C$7))*100)</f>
        <v/>
      </c>
      <c r="AF1028" s="7" t="n"/>
      <c r="AI1028" s="11" t="n"/>
      <c r="AK1028">
        <f>IF($D1028="","",IF(COUNTIF($D$2:$D1028,$D1028)=1,1,0))</f>
        <v/>
      </c>
      <c r="AL1028">
        <f>IF($AK1028=1,SUMPRODUCT(--($AO$2:$AO$1501&lt;$AO1028))+1,"")</f>
        <v/>
      </c>
      <c r="AM1028">
        <f>IF($D1028="","",IF(OR($R1028=TRUE(),$R1028="TRUE"),1,0))</f>
        <v/>
      </c>
      <c r="AN1028">
        <f>IF($D1028="","",IF($AA1028="Yes",1,0))</f>
        <v/>
      </c>
      <c r="AO1028">
        <f>IF($AK1028=1,IFERROR(IF(VALUE($D1028)&lt;100000000,VALUE($D1028),1000000000),IFERROR(IF(VALUE(MID($D1028,2,20))&lt;100000000,VALUE(MID($D1028,2,20)),1000000000),1000000000))+ROW()/100000,"")</f>
        <v/>
      </c>
    </row>
    <row r="1029">
      <c r="F1029" s="11" t="n"/>
      <c r="N1029" s="7">
        <f>IF($D1029="","",M1029*V1029/100)</f>
        <v/>
      </c>
      <c r="O1029" s="7" t="n"/>
      <c r="U1029" s="7" t="n"/>
      <c r="V1029" s="7" t="n"/>
      <c r="W1029" s="7">
        <f>IF($D1029="","",V1029*AB1029/100)</f>
        <v/>
      </c>
      <c r="X1029" s="7">
        <f>IF($D1029="","",V1029-W1029)</f>
        <v/>
      </c>
      <c r="Y1029" s="7">
        <f>IF($D1029="","",X1029-N1029)</f>
        <v/>
      </c>
      <c r="AB1029">
        <f>IF($D1029="","",IF($AN1029=1,0,IF($AM1029=1,Settings!$C$6,Settings!$C$7))*100)</f>
        <v/>
      </c>
      <c r="AF1029" s="7" t="n"/>
      <c r="AI1029" s="11" t="n"/>
      <c r="AK1029">
        <f>IF($D1029="","",IF(COUNTIF($D$2:$D1029,$D1029)=1,1,0))</f>
        <v/>
      </c>
      <c r="AL1029">
        <f>IF($AK1029=1,SUMPRODUCT(--($AO$2:$AO$1501&lt;$AO1029))+1,"")</f>
        <v/>
      </c>
      <c r="AM1029">
        <f>IF($D1029="","",IF(OR($R1029=TRUE(),$R1029="TRUE"),1,0))</f>
        <v/>
      </c>
      <c r="AN1029">
        <f>IF($D1029="","",IF($AA1029="Yes",1,0))</f>
        <v/>
      </c>
      <c r="AO1029">
        <f>IF($AK1029=1,IFERROR(IF(VALUE($D1029)&lt;100000000,VALUE($D1029),1000000000),IFERROR(IF(VALUE(MID($D1029,2,20))&lt;100000000,VALUE(MID($D1029,2,20)),1000000000),1000000000))+ROW()/100000,"")</f>
        <v/>
      </c>
    </row>
    <row r="1030">
      <c r="F1030" s="11" t="n"/>
      <c r="N1030" s="7">
        <f>IF($D1030="","",M1030*V1030/100)</f>
        <v/>
      </c>
      <c r="O1030" s="7" t="n"/>
      <c r="U1030" s="7" t="n"/>
      <c r="V1030" s="7" t="n"/>
      <c r="W1030" s="7">
        <f>IF($D1030="","",V1030*AB1030/100)</f>
        <v/>
      </c>
      <c r="X1030" s="7">
        <f>IF($D1030="","",V1030-W1030)</f>
        <v/>
      </c>
      <c r="Y1030" s="7">
        <f>IF($D1030="","",X1030-N1030)</f>
        <v/>
      </c>
      <c r="AB1030">
        <f>IF($D1030="","",IF($AN1030=1,0,IF($AM1030=1,Settings!$C$6,Settings!$C$7))*100)</f>
        <v/>
      </c>
      <c r="AF1030" s="7" t="n"/>
      <c r="AI1030" s="11" t="n"/>
      <c r="AK1030">
        <f>IF($D1030="","",IF(COUNTIF($D$2:$D1030,$D1030)=1,1,0))</f>
        <v/>
      </c>
      <c r="AL1030">
        <f>IF($AK1030=1,SUMPRODUCT(--($AO$2:$AO$1501&lt;$AO1030))+1,"")</f>
        <v/>
      </c>
      <c r="AM1030">
        <f>IF($D1030="","",IF(OR($R1030=TRUE(),$R1030="TRUE"),1,0))</f>
        <v/>
      </c>
      <c r="AN1030">
        <f>IF($D1030="","",IF($AA1030="Yes",1,0))</f>
        <v/>
      </c>
      <c r="AO1030">
        <f>IF($AK1030=1,IFERROR(IF(VALUE($D1030)&lt;100000000,VALUE($D1030),1000000000),IFERROR(IF(VALUE(MID($D1030,2,20))&lt;100000000,VALUE(MID($D1030,2,20)),1000000000),1000000000))+ROW()/100000,"")</f>
        <v/>
      </c>
    </row>
    <row r="1031">
      <c r="F1031" s="11" t="n"/>
      <c r="N1031" s="7">
        <f>IF($D1031="","",M1031*V1031/100)</f>
        <v/>
      </c>
      <c r="O1031" s="7" t="n"/>
      <c r="U1031" s="7" t="n"/>
      <c r="V1031" s="7" t="n"/>
      <c r="W1031" s="7">
        <f>IF($D1031="","",V1031*AB1031/100)</f>
        <v/>
      </c>
      <c r="X1031" s="7">
        <f>IF($D1031="","",V1031-W1031)</f>
        <v/>
      </c>
      <c r="Y1031" s="7">
        <f>IF($D1031="","",X1031-N1031)</f>
        <v/>
      </c>
      <c r="AB1031">
        <f>IF($D1031="","",IF($AN1031=1,0,IF($AM1031=1,Settings!$C$6,Settings!$C$7))*100)</f>
        <v/>
      </c>
      <c r="AF1031" s="7" t="n"/>
      <c r="AI1031" s="11" t="n"/>
      <c r="AK1031">
        <f>IF($D1031="","",IF(COUNTIF($D$2:$D1031,$D1031)=1,1,0))</f>
        <v/>
      </c>
      <c r="AL1031">
        <f>IF($AK1031=1,SUMPRODUCT(--($AO$2:$AO$1501&lt;$AO1031))+1,"")</f>
        <v/>
      </c>
      <c r="AM1031">
        <f>IF($D1031="","",IF(OR($R1031=TRUE(),$R1031="TRUE"),1,0))</f>
        <v/>
      </c>
      <c r="AN1031">
        <f>IF($D1031="","",IF($AA1031="Yes",1,0))</f>
        <v/>
      </c>
      <c r="AO1031">
        <f>IF($AK1031=1,IFERROR(IF(VALUE($D1031)&lt;100000000,VALUE($D1031),1000000000),IFERROR(IF(VALUE(MID($D1031,2,20))&lt;100000000,VALUE(MID($D1031,2,20)),1000000000),1000000000))+ROW()/100000,"")</f>
        <v/>
      </c>
    </row>
    <row r="1032">
      <c r="F1032" s="11" t="n"/>
      <c r="N1032" s="7">
        <f>IF($D1032="","",M1032*V1032/100)</f>
        <v/>
      </c>
      <c r="O1032" s="7" t="n"/>
      <c r="U1032" s="7" t="n"/>
      <c r="V1032" s="7" t="n"/>
      <c r="W1032" s="7">
        <f>IF($D1032="","",V1032*AB1032/100)</f>
        <v/>
      </c>
      <c r="X1032" s="7">
        <f>IF($D1032="","",V1032-W1032)</f>
        <v/>
      </c>
      <c r="Y1032" s="7">
        <f>IF($D1032="","",X1032-N1032)</f>
        <v/>
      </c>
      <c r="AB1032">
        <f>IF($D1032="","",IF($AN1032=1,0,IF($AM1032=1,Settings!$C$6,Settings!$C$7))*100)</f>
        <v/>
      </c>
      <c r="AF1032" s="7" t="n"/>
      <c r="AI1032" s="11" t="n"/>
      <c r="AK1032">
        <f>IF($D1032="","",IF(COUNTIF($D$2:$D1032,$D1032)=1,1,0))</f>
        <v/>
      </c>
      <c r="AL1032">
        <f>IF($AK1032=1,SUMPRODUCT(--($AO$2:$AO$1501&lt;$AO1032))+1,"")</f>
        <v/>
      </c>
      <c r="AM1032">
        <f>IF($D1032="","",IF(OR($R1032=TRUE(),$R1032="TRUE"),1,0))</f>
        <v/>
      </c>
      <c r="AN1032">
        <f>IF($D1032="","",IF($AA1032="Yes",1,0))</f>
        <v/>
      </c>
      <c r="AO1032">
        <f>IF($AK1032=1,IFERROR(IF(VALUE($D1032)&lt;100000000,VALUE($D1032),1000000000),IFERROR(IF(VALUE(MID($D1032,2,20))&lt;100000000,VALUE(MID($D1032,2,20)),1000000000),1000000000))+ROW()/100000,"")</f>
        <v/>
      </c>
    </row>
    <row r="1033">
      <c r="F1033" s="11" t="n"/>
      <c r="N1033" s="7">
        <f>IF($D1033="","",M1033*V1033/100)</f>
        <v/>
      </c>
      <c r="O1033" s="7" t="n"/>
      <c r="U1033" s="7" t="n"/>
      <c r="V1033" s="7" t="n"/>
      <c r="W1033" s="7">
        <f>IF($D1033="","",V1033*AB1033/100)</f>
        <v/>
      </c>
      <c r="X1033" s="7">
        <f>IF($D1033="","",V1033-W1033)</f>
        <v/>
      </c>
      <c r="Y1033" s="7">
        <f>IF($D1033="","",X1033-N1033)</f>
        <v/>
      </c>
      <c r="AB1033">
        <f>IF($D1033="","",IF($AN1033=1,0,IF($AM1033=1,Settings!$C$6,Settings!$C$7))*100)</f>
        <v/>
      </c>
      <c r="AF1033" s="7" t="n"/>
      <c r="AI1033" s="11" t="n"/>
      <c r="AK1033">
        <f>IF($D1033="","",IF(COUNTIF($D$2:$D1033,$D1033)=1,1,0))</f>
        <v/>
      </c>
      <c r="AL1033">
        <f>IF($AK1033=1,SUMPRODUCT(--($AO$2:$AO$1501&lt;$AO1033))+1,"")</f>
        <v/>
      </c>
      <c r="AM1033">
        <f>IF($D1033="","",IF(OR($R1033=TRUE(),$R1033="TRUE"),1,0))</f>
        <v/>
      </c>
      <c r="AN1033">
        <f>IF($D1033="","",IF($AA1033="Yes",1,0))</f>
        <v/>
      </c>
      <c r="AO1033">
        <f>IF($AK1033=1,IFERROR(IF(VALUE($D1033)&lt;100000000,VALUE($D1033),1000000000),IFERROR(IF(VALUE(MID($D1033,2,20))&lt;100000000,VALUE(MID($D1033,2,20)),1000000000),1000000000))+ROW()/100000,"")</f>
        <v/>
      </c>
    </row>
    <row r="1034">
      <c r="F1034" s="11" t="n"/>
      <c r="N1034" s="7">
        <f>IF($D1034="","",M1034*V1034/100)</f>
        <v/>
      </c>
      <c r="O1034" s="7" t="n"/>
      <c r="U1034" s="7" t="n"/>
      <c r="V1034" s="7" t="n"/>
      <c r="W1034" s="7">
        <f>IF($D1034="","",V1034*AB1034/100)</f>
        <v/>
      </c>
      <c r="X1034" s="7">
        <f>IF($D1034="","",V1034-W1034)</f>
        <v/>
      </c>
      <c r="Y1034" s="7">
        <f>IF($D1034="","",X1034-N1034)</f>
        <v/>
      </c>
      <c r="AB1034">
        <f>IF($D1034="","",IF($AN1034=1,0,IF($AM1034=1,Settings!$C$6,Settings!$C$7))*100)</f>
        <v/>
      </c>
      <c r="AF1034" s="7" t="n"/>
      <c r="AI1034" s="11" t="n"/>
      <c r="AK1034">
        <f>IF($D1034="","",IF(COUNTIF($D$2:$D1034,$D1034)=1,1,0))</f>
        <v/>
      </c>
      <c r="AL1034">
        <f>IF($AK1034=1,SUMPRODUCT(--($AO$2:$AO$1501&lt;$AO1034))+1,"")</f>
        <v/>
      </c>
      <c r="AM1034">
        <f>IF($D1034="","",IF(OR($R1034=TRUE(),$R1034="TRUE"),1,0))</f>
        <v/>
      </c>
      <c r="AN1034">
        <f>IF($D1034="","",IF($AA1034="Yes",1,0))</f>
        <v/>
      </c>
      <c r="AO1034">
        <f>IF($AK1034=1,IFERROR(IF(VALUE($D1034)&lt;100000000,VALUE($D1034),1000000000),IFERROR(IF(VALUE(MID($D1034,2,20))&lt;100000000,VALUE(MID($D1034,2,20)),1000000000),1000000000))+ROW()/100000,"")</f>
        <v/>
      </c>
    </row>
    <row r="1035">
      <c r="F1035" s="11" t="n"/>
      <c r="N1035" s="7">
        <f>IF($D1035="","",M1035*V1035/100)</f>
        <v/>
      </c>
      <c r="O1035" s="7" t="n"/>
      <c r="U1035" s="7" t="n"/>
      <c r="V1035" s="7" t="n"/>
      <c r="W1035" s="7">
        <f>IF($D1035="","",V1035*AB1035/100)</f>
        <v/>
      </c>
      <c r="X1035" s="7">
        <f>IF($D1035="","",V1035-W1035)</f>
        <v/>
      </c>
      <c r="Y1035" s="7">
        <f>IF($D1035="","",X1035-N1035)</f>
        <v/>
      </c>
      <c r="AB1035">
        <f>IF($D1035="","",IF($AN1035=1,0,IF($AM1035=1,Settings!$C$6,Settings!$C$7))*100)</f>
        <v/>
      </c>
      <c r="AF1035" s="7" t="n"/>
      <c r="AI1035" s="11" t="n"/>
      <c r="AK1035">
        <f>IF($D1035="","",IF(COUNTIF($D$2:$D1035,$D1035)=1,1,0))</f>
        <v/>
      </c>
      <c r="AL1035">
        <f>IF($AK1035=1,SUMPRODUCT(--($AO$2:$AO$1501&lt;$AO1035))+1,"")</f>
        <v/>
      </c>
      <c r="AM1035">
        <f>IF($D1035="","",IF(OR($R1035=TRUE(),$R1035="TRUE"),1,0))</f>
        <v/>
      </c>
      <c r="AN1035">
        <f>IF($D1035="","",IF($AA1035="Yes",1,0))</f>
        <v/>
      </c>
      <c r="AO1035">
        <f>IF($AK1035=1,IFERROR(IF(VALUE($D1035)&lt;100000000,VALUE($D1035),1000000000),IFERROR(IF(VALUE(MID($D1035,2,20))&lt;100000000,VALUE(MID($D1035,2,20)),1000000000),1000000000))+ROW()/100000,"")</f>
        <v/>
      </c>
    </row>
    <row r="1036">
      <c r="F1036" s="11" t="n"/>
      <c r="N1036" s="7">
        <f>IF($D1036="","",M1036*V1036/100)</f>
        <v/>
      </c>
      <c r="O1036" s="7" t="n"/>
      <c r="U1036" s="7" t="n"/>
      <c r="V1036" s="7" t="n"/>
      <c r="W1036" s="7">
        <f>IF($D1036="","",V1036*AB1036/100)</f>
        <v/>
      </c>
      <c r="X1036" s="7">
        <f>IF($D1036="","",V1036-W1036)</f>
        <v/>
      </c>
      <c r="Y1036" s="7">
        <f>IF($D1036="","",X1036-N1036)</f>
        <v/>
      </c>
      <c r="AB1036">
        <f>IF($D1036="","",IF($AN1036=1,0,IF($AM1036=1,Settings!$C$6,Settings!$C$7))*100)</f>
        <v/>
      </c>
      <c r="AF1036" s="7" t="n"/>
      <c r="AI1036" s="11" t="n"/>
      <c r="AK1036">
        <f>IF($D1036="","",IF(COUNTIF($D$2:$D1036,$D1036)=1,1,0))</f>
        <v/>
      </c>
      <c r="AL1036">
        <f>IF($AK1036=1,SUMPRODUCT(--($AO$2:$AO$1501&lt;$AO1036))+1,"")</f>
        <v/>
      </c>
      <c r="AM1036">
        <f>IF($D1036="","",IF(OR($R1036=TRUE(),$R1036="TRUE"),1,0))</f>
        <v/>
      </c>
      <c r="AN1036">
        <f>IF($D1036="","",IF($AA1036="Yes",1,0))</f>
        <v/>
      </c>
      <c r="AO1036">
        <f>IF($AK1036=1,IFERROR(IF(VALUE($D1036)&lt;100000000,VALUE($D1036),1000000000),IFERROR(IF(VALUE(MID($D1036,2,20))&lt;100000000,VALUE(MID($D1036,2,20)),1000000000),1000000000))+ROW()/100000,"")</f>
        <v/>
      </c>
    </row>
    <row r="1037">
      <c r="F1037" s="11" t="n"/>
      <c r="N1037" s="7">
        <f>IF($D1037="","",M1037*V1037/100)</f>
        <v/>
      </c>
      <c r="O1037" s="7" t="n"/>
      <c r="U1037" s="7" t="n"/>
      <c r="V1037" s="7" t="n"/>
      <c r="W1037" s="7">
        <f>IF($D1037="","",V1037*AB1037/100)</f>
        <v/>
      </c>
      <c r="X1037" s="7">
        <f>IF($D1037="","",V1037-W1037)</f>
        <v/>
      </c>
      <c r="Y1037" s="7">
        <f>IF($D1037="","",X1037-N1037)</f>
        <v/>
      </c>
      <c r="AB1037">
        <f>IF($D1037="","",IF($AN1037=1,0,IF($AM1037=1,Settings!$C$6,Settings!$C$7))*100)</f>
        <v/>
      </c>
      <c r="AF1037" s="7" t="n"/>
      <c r="AI1037" s="11" t="n"/>
      <c r="AK1037">
        <f>IF($D1037="","",IF(COUNTIF($D$2:$D1037,$D1037)=1,1,0))</f>
        <v/>
      </c>
      <c r="AL1037">
        <f>IF($AK1037=1,SUMPRODUCT(--($AO$2:$AO$1501&lt;$AO1037))+1,"")</f>
        <v/>
      </c>
      <c r="AM1037">
        <f>IF($D1037="","",IF(OR($R1037=TRUE(),$R1037="TRUE"),1,0))</f>
        <v/>
      </c>
      <c r="AN1037">
        <f>IF($D1037="","",IF($AA1037="Yes",1,0))</f>
        <v/>
      </c>
      <c r="AO1037">
        <f>IF($AK1037=1,IFERROR(IF(VALUE($D1037)&lt;100000000,VALUE($D1037),1000000000),IFERROR(IF(VALUE(MID($D1037,2,20))&lt;100000000,VALUE(MID($D1037,2,20)),1000000000),1000000000))+ROW()/100000,"")</f>
        <v/>
      </c>
    </row>
    <row r="1038">
      <c r="F1038" s="11" t="n"/>
      <c r="N1038" s="7">
        <f>IF($D1038="","",M1038*V1038/100)</f>
        <v/>
      </c>
      <c r="O1038" s="7" t="n"/>
      <c r="U1038" s="7" t="n"/>
      <c r="V1038" s="7" t="n"/>
      <c r="W1038" s="7">
        <f>IF($D1038="","",V1038*AB1038/100)</f>
        <v/>
      </c>
      <c r="X1038" s="7">
        <f>IF($D1038="","",V1038-W1038)</f>
        <v/>
      </c>
      <c r="Y1038" s="7">
        <f>IF($D1038="","",X1038-N1038)</f>
        <v/>
      </c>
      <c r="AB1038">
        <f>IF($D1038="","",IF($AN1038=1,0,IF($AM1038=1,Settings!$C$6,Settings!$C$7))*100)</f>
        <v/>
      </c>
      <c r="AF1038" s="7" t="n"/>
      <c r="AI1038" s="11" t="n"/>
      <c r="AK1038">
        <f>IF($D1038="","",IF(COUNTIF($D$2:$D1038,$D1038)=1,1,0))</f>
        <v/>
      </c>
      <c r="AL1038">
        <f>IF($AK1038=1,SUMPRODUCT(--($AO$2:$AO$1501&lt;$AO1038))+1,"")</f>
        <v/>
      </c>
      <c r="AM1038">
        <f>IF($D1038="","",IF(OR($R1038=TRUE(),$R1038="TRUE"),1,0))</f>
        <v/>
      </c>
      <c r="AN1038">
        <f>IF($D1038="","",IF($AA1038="Yes",1,0))</f>
        <v/>
      </c>
      <c r="AO1038">
        <f>IF($AK1038=1,IFERROR(IF(VALUE($D1038)&lt;100000000,VALUE($D1038),1000000000),IFERROR(IF(VALUE(MID($D1038,2,20))&lt;100000000,VALUE(MID($D1038,2,20)),1000000000),1000000000))+ROW()/100000,"")</f>
        <v/>
      </c>
    </row>
    <row r="1039">
      <c r="F1039" s="11" t="n"/>
      <c r="N1039" s="7">
        <f>IF($D1039="","",M1039*V1039/100)</f>
        <v/>
      </c>
      <c r="O1039" s="7" t="n"/>
      <c r="U1039" s="7" t="n"/>
      <c r="V1039" s="7" t="n"/>
      <c r="W1039" s="7">
        <f>IF($D1039="","",V1039*AB1039/100)</f>
        <v/>
      </c>
      <c r="X1039" s="7">
        <f>IF($D1039="","",V1039-W1039)</f>
        <v/>
      </c>
      <c r="Y1039" s="7">
        <f>IF($D1039="","",X1039-N1039)</f>
        <v/>
      </c>
      <c r="AB1039">
        <f>IF($D1039="","",IF($AN1039=1,0,IF($AM1039=1,Settings!$C$6,Settings!$C$7))*100)</f>
        <v/>
      </c>
      <c r="AF1039" s="7" t="n"/>
      <c r="AI1039" s="11" t="n"/>
      <c r="AK1039">
        <f>IF($D1039="","",IF(COUNTIF($D$2:$D1039,$D1039)=1,1,0))</f>
        <v/>
      </c>
      <c r="AL1039">
        <f>IF($AK1039=1,SUMPRODUCT(--($AO$2:$AO$1501&lt;$AO1039))+1,"")</f>
        <v/>
      </c>
      <c r="AM1039">
        <f>IF($D1039="","",IF(OR($R1039=TRUE(),$R1039="TRUE"),1,0))</f>
        <v/>
      </c>
      <c r="AN1039">
        <f>IF($D1039="","",IF($AA1039="Yes",1,0))</f>
        <v/>
      </c>
      <c r="AO1039">
        <f>IF($AK1039=1,IFERROR(IF(VALUE($D1039)&lt;100000000,VALUE($D1039),1000000000),IFERROR(IF(VALUE(MID($D1039,2,20))&lt;100000000,VALUE(MID($D1039,2,20)),1000000000),1000000000))+ROW()/100000,"")</f>
        <v/>
      </c>
    </row>
    <row r="1040">
      <c r="F1040" s="11" t="n"/>
      <c r="N1040" s="7">
        <f>IF($D1040="","",M1040*V1040/100)</f>
        <v/>
      </c>
      <c r="O1040" s="7" t="n"/>
      <c r="U1040" s="7" t="n"/>
      <c r="V1040" s="7" t="n"/>
      <c r="W1040" s="7">
        <f>IF($D1040="","",V1040*AB1040/100)</f>
        <v/>
      </c>
      <c r="X1040" s="7">
        <f>IF($D1040="","",V1040-W1040)</f>
        <v/>
      </c>
      <c r="Y1040" s="7">
        <f>IF($D1040="","",X1040-N1040)</f>
        <v/>
      </c>
      <c r="AB1040">
        <f>IF($D1040="","",IF($AN1040=1,0,IF($AM1040=1,Settings!$C$6,Settings!$C$7))*100)</f>
        <v/>
      </c>
      <c r="AF1040" s="7" t="n"/>
      <c r="AI1040" s="11" t="n"/>
      <c r="AK1040">
        <f>IF($D1040="","",IF(COUNTIF($D$2:$D1040,$D1040)=1,1,0))</f>
        <v/>
      </c>
      <c r="AL1040">
        <f>IF($AK1040=1,SUMPRODUCT(--($AO$2:$AO$1501&lt;$AO1040))+1,"")</f>
        <v/>
      </c>
      <c r="AM1040">
        <f>IF($D1040="","",IF(OR($R1040=TRUE(),$R1040="TRUE"),1,0))</f>
        <v/>
      </c>
      <c r="AN1040">
        <f>IF($D1040="","",IF($AA1040="Yes",1,0))</f>
        <v/>
      </c>
      <c r="AO1040">
        <f>IF($AK1040=1,IFERROR(IF(VALUE($D1040)&lt;100000000,VALUE($D1040),1000000000),IFERROR(IF(VALUE(MID($D1040,2,20))&lt;100000000,VALUE(MID($D1040,2,20)),1000000000),1000000000))+ROW()/100000,"")</f>
        <v/>
      </c>
    </row>
    <row r="1041">
      <c r="F1041" s="11" t="n"/>
      <c r="N1041" s="7">
        <f>IF($D1041="","",M1041*V1041/100)</f>
        <v/>
      </c>
      <c r="O1041" s="7" t="n"/>
      <c r="U1041" s="7" t="n"/>
      <c r="V1041" s="7" t="n"/>
      <c r="W1041" s="7">
        <f>IF($D1041="","",V1041*AB1041/100)</f>
        <v/>
      </c>
      <c r="X1041" s="7">
        <f>IF($D1041="","",V1041-W1041)</f>
        <v/>
      </c>
      <c r="Y1041" s="7">
        <f>IF($D1041="","",X1041-N1041)</f>
        <v/>
      </c>
      <c r="AB1041">
        <f>IF($D1041="","",IF($AN1041=1,0,IF($AM1041=1,Settings!$C$6,Settings!$C$7))*100)</f>
        <v/>
      </c>
      <c r="AF1041" s="7" t="n"/>
      <c r="AI1041" s="11" t="n"/>
      <c r="AK1041">
        <f>IF($D1041="","",IF(COUNTIF($D$2:$D1041,$D1041)=1,1,0))</f>
        <v/>
      </c>
      <c r="AL1041">
        <f>IF($AK1041=1,SUMPRODUCT(--($AO$2:$AO$1501&lt;$AO1041))+1,"")</f>
        <v/>
      </c>
      <c r="AM1041">
        <f>IF($D1041="","",IF(OR($R1041=TRUE(),$R1041="TRUE"),1,0))</f>
        <v/>
      </c>
      <c r="AN1041">
        <f>IF($D1041="","",IF($AA1041="Yes",1,0))</f>
        <v/>
      </c>
      <c r="AO1041">
        <f>IF($AK1041=1,IFERROR(IF(VALUE($D1041)&lt;100000000,VALUE($D1041),1000000000),IFERROR(IF(VALUE(MID($D1041,2,20))&lt;100000000,VALUE(MID($D1041,2,20)),1000000000),1000000000))+ROW()/100000,"")</f>
        <v/>
      </c>
    </row>
    <row r="1042">
      <c r="F1042" s="11" t="n"/>
      <c r="N1042" s="7">
        <f>IF($D1042="","",M1042*V1042/100)</f>
        <v/>
      </c>
      <c r="O1042" s="7" t="n"/>
      <c r="U1042" s="7" t="n"/>
      <c r="V1042" s="7" t="n"/>
      <c r="W1042" s="7">
        <f>IF($D1042="","",V1042*AB1042/100)</f>
        <v/>
      </c>
      <c r="X1042" s="7">
        <f>IF($D1042="","",V1042-W1042)</f>
        <v/>
      </c>
      <c r="Y1042" s="7">
        <f>IF($D1042="","",X1042-N1042)</f>
        <v/>
      </c>
      <c r="AB1042">
        <f>IF($D1042="","",IF($AN1042=1,0,IF($AM1042=1,Settings!$C$6,Settings!$C$7))*100)</f>
        <v/>
      </c>
      <c r="AF1042" s="7" t="n"/>
      <c r="AI1042" s="11" t="n"/>
      <c r="AK1042">
        <f>IF($D1042="","",IF(COUNTIF($D$2:$D1042,$D1042)=1,1,0))</f>
        <v/>
      </c>
      <c r="AL1042">
        <f>IF($AK1042=1,SUMPRODUCT(--($AO$2:$AO$1501&lt;$AO1042))+1,"")</f>
        <v/>
      </c>
      <c r="AM1042">
        <f>IF($D1042="","",IF(OR($R1042=TRUE(),$R1042="TRUE"),1,0))</f>
        <v/>
      </c>
      <c r="AN1042">
        <f>IF($D1042="","",IF($AA1042="Yes",1,0))</f>
        <v/>
      </c>
      <c r="AO1042">
        <f>IF($AK1042=1,IFERROR(IF(VALUE($D1042)&lt;100000000,VALUE($D1042),1000000000),IFERROR(IF(VALUE(MID($D1042,2,20))&lt;100000000,VALUE(MID($D1042,2,20)),1000000000),1000000000))+ROW()/100000,"")</f>
        <v/>
      </c>
    </row>
    <row r="1043">
      <c r="F1043" s="11" t="n"/>
      <c r="N1043" s="7">
        <f>IF($D1043="","",M1043*V1043/100)</f>
        <v/>
      </c>
      <c r="O1043" s="7" t="n"/>
      <c r="U1043" s="7" t="n"/>
      <c r="V1043" s="7" t="n"/>
      <c r="W1043" s="7">
        <f>IF($D1043="","",V1043*AB1043/100)</f>
        <v/>
      </c>
      <c r="X1043" s="7">
        <f>IF($D1043="","",V1043-W1043)</f>
        <v/>
      </c>
      <c r="Y1043" s="7">
        <f>IF($D1043="","",X1043-N1043)</f>
        <v/>
      </c>
      <c r="AB1043">
        <f>IF($D1043="","",IF($AN1043=1,0,IF($AM1043=1,Settings!$C$6,Settings!$C$7))*100)</f>
        <v/>
      </c>
      <c r="AF1043" s="7" t="n"/>
      <c r="AI1043" s="11" t="n"/>
      <c r="AK1043">
        <f>IF($D1043="","",IF(COUNTIF($D$2:$D1043,$D1043)=1,1,0))</f>
        <v/>
      </c>
      <c r="AL1043">
        <f>IF($AK1043=1,SUMPRODUCT(--($AO$2:$AO$1501&lt;$AO1043))+1,"")</f>
        <v/>
      </c>
      <c r="AM1043">
        <f>IF($D1043="","",IF(OR($R1043=TRUE(),$R1043="TRUE"),1,0))</f>
        <v/>
      </c>
      <c r="AN1043">
        <f>IF($D1043="","",IF($AA1043="Yes",1,0))</f>
        <v/>
      </c>
      <c r="AO1043">
        <f>IF($AK1043=1,IFERROR(IF(VALUE($D1043)&lt;100000000,VALUE($D1043),1000000000),IFERROR(IF(VALUE(MID($D1043,2,20))&lt;100000000,VALUE(MID($D1043,2,20)),1000000000),1000000000))+ROW()/100000,"")</f>
        <v/>
      </c>
    </row>
    <row r="1044">
      <c r="F1044" s="11" t="n"/>
      <c r="N1044" s="7">
        <f>IF($D1044="","",M1044*V1044/100)</f>
        <v/>
      </c>
      <c r="O1044" s="7" t="n"/>
      <c r="U1044" s="7" t="n"/>
      <c r="V1044" s="7" t="n"/>
      <c r="W1044" s="7">
        <f>IF($D1044="","",V1044*AB1044/100)</f>
        <v/>
      </c>
      <c r="X1044" s="7">
        <f>IF($D1044="","",V1044-W1044)</f>
        <v/>
      </c>
      <c r="Y1044" s="7">
        <f>IF($D1044="","",X1044-N1044)</f>
        <v/>
      </c>
      <c r="AB1044">
        <f>IF($D1044="","",IF($AN1044=1,0,IF($AM1044=1,Settings!$C$6,Settings!$C$7))*100)</f>
        <v/>
      </c>
      <c r="AF1044" s="7" t="n"/>
      <c r="AI1044" s="11" t="n"/>
      <c r="AK1044">
        <f>IF($D1044="","",IF(COUNTIF($D$2:$D1044,$D1044)=1,1,0))</f>
        <v/>
      </c>
      <c r="AL1044">
        <f>IF($AK1044=1,SUMPRODUCT(--($AO$2:$AO$1501&lt;$AO1044))+1,"")</f>
        <v/>
      </c>
      <c r="AM1044">
        <f>IF($D1044="","",IF(OR($R1044=TRUE(),$R1044="TRUE"),1,0))</f>
        <v/>
      </c>
      <c r="AN1044">
        <f>IF($D1044="","",IF($AA1044="Yes",1,0))</f>
        <v/>
      </c>
      <c r="AO1044">
        <f>IF($AK1044=1,IFERROR(IF(VALUE($D1044)&lt;100000000,VALUE($D1044),1000000000),IFERROR(IF(VALUE(MID($D1044,2,20))&lt;100000000,VALUE(MID($D1044,2,20)),1000000000),1000000000))+ROW()/100000,"")</f>
        <v/>
      </c>
    </row>
    <row r="1045">
      <c r="F1045" s="11" t="n"/>
      <c r="N1045" s="7">
        <f>IF($D1045="","",M1045*V1045/100)</f>
        <v/>
      </c>
      <c r="O1045" s="7" t="n"/>
      <c r="U1045" s="7" t="n"/>
      <c r="V1045" s="7" t="n"/>
      <c r="W1045" s="7">
        <f>IF($D1045="","",V1045*AB1045/100)</f>
        <v/>
      </c>
      <c r="X1045" s="7">
        <f>IF($D1045="","",V1045-W1045)</f>
        <v/>
      </c>
      <c r="Y1045" s="7">
        <f>IF($D1045="","",X1045-N1045)</f>
        <v/>
      </c>
      <c r="AB1045">
        <f>IF($D1045="","",IF($AN1045=1,0,IF($AM1045=1,Settings!$C$6,Settings!$C$7))*100)</f>
        <v/>
      </c>
      <c r="AF1045" s="7" t="n"/>
      <c r="AI1045" s="11" t="n"/>
      <c r="AK1045">
        <f>IF($D1045="","",IF(COUNTIF($D$2:$D1045,$D1045)=1,1,0))</f>
        <v/>
      </c>
      <c r="AL1045">
        <f>IF($AK1045=1,SUMPRODUCT(--($AO$2:$AO$1501&lt;$AO1045))+1,"")</f>
        <v/>
      </c>
      <c r="AM1045">
        <f>IF($D1045="","",IF(OR($R1045=TRUE(),$R1045="TRUE"),1,0))</f>
        <v/>
      </c>
      <c r="AN1045">
        <f>IF($D1045="","",IF($AA1045="Yes",1,0))</f>
        <v/>
      </c>
      <c r="AO1045">
        <f>IF($AK1045=1,IFERROR(IF(VALUE($D1045)&lt;100000000,VALUE($D1045),1000000000),IFERROR(IF(VALUE(MID($D1045,2,20))&lt;100000000,VALUE(MID($D1045,2,20)),1000000000),1000000000))+ROW()/100000,"")</f>
        <v/>
      </c>
    </row>
    <row r="1046">
      <c r="F1046" s="11" t="n"/>
      <c r="N1046" s="7">
        <f>IF($D1046="","",M1046*V1046/100)</f>
        <v/>
      </c>
      <c r="O1046" s="7" t="n"/>
      <c r="U1046" s="7" t="n"/>
      <c r="V1046" s="7" t="n"/>
      <c r="W1046" s="7">
        <f>IF($D1046="","",V1046*AB1046/100)</f>
        <v/>
      </c>
      <c r="X1046" s="7">
        <f>IF($D1046="","",V1046-W1046)</f>
        <v/>
      </c>
      <c r="Y1046" s="7">
        <f>IF($D1046="","",X1046-N1046)</f>
        <v/>
      </c>
      <c r="AB1046">
        <f>IF($D1046="","",IF($AN1046=1,0,IF($AM1046=1,Settings!$C$6,Settings!$C$7))*100)</f>
        <v/>
      </c>
      <c r="AF1046" s="7" t="n"/>
      <c r="AI1046" s="11" t="n"/>
      <c r="AK1046">
        <f>IF($D1046="","",IF(COUNTIF($D$2:$D1046,$D1046)=1,1,0))</f>
        <v/>
      </c>
      <c r="AL1046">
        <f>IF($AK1046=1,SUMPRODUCT(--($AO$2:$AO$1501&lt;$AO1046))+1,"")</f>
        <v/>
      </c>
      <c r="AM1046">
        <f>IF($D1046="","",IF(OR($R1046=TRUE(),$R1046="TRUE"),1,0))</f>
        <v/>
      </c>
      <c r="AN1046">
        <f>IF($D1046="","",IF($AA1046="Yes",1,0))</f>
        <v/>
      </c>
      <c r="AO1046">
        <f>IF($AK1046=1,IFERROR(IF(VALUE($D1046)&lt;100000000,VALUE($D1046),1000000000),IFERROR(IF(VALUE(MID($D1046,2,20))&lt;100000000,VALUE(MID($D1046,2,20)),1000000000),1000000000))+ROW()/100000,"")</f>
        <v/>
      </c>
    </row>
    <row r="1047">
      <c r="F1047" s="11" t="n"/>
      <c r="N1047" s="7">
        <f>IF($D1047="","",M1047*V1047/100)</f>
        <v/>
      </c>
      <c r="O1047" s="7" t="n"/>
      <c r="U1047" s="7" t="n"/>
      <c r="V1047" s="7" t="n"/>
      <c r="W1047" s="7">
        <f>IF($D1047="","",V1047*AB1047/100)</f>
        <v/>
      </c>
      <c r="X1047" s="7">
        <f>IF($D1047="","",V1047-W1047)</f>
        <v/>
      </c>
      <c r="Y1047" s="7">
        <f>IF($D1047="","",X1047-N1047)</f>
        <v/>
      </c>
      <c r="AB1047">
        <f>IF($D1047="","",IF($AN1047=1,0,IF($AM1047=1,Settings!$C$6,Settings!$C$7))*100)</f>
        <v/>
      </c>
      <c r="AF1047" s="7" t="n"/>
      <c r="AI1047" s="11" t="n"/>
      <c r="AK1047">
        <f>IF($D1047="","",IF(COUNTIF($D$2:$D1047,$D1047)=1,1,0))</f>
        <v/>
      </c>
      <c r="AL1047">
        <f>IF($AK1047=1,SUMPRODUCT(--($AO$2:$AO$1501&lt;$AO1047))+1,"")</f>
        <v/>
      </c>
      <c r="AM1047">
        <f>IF($D1047="","",IF(OR($R1047=TRUE(),$R1047="TRUE"),1,0))</f>
        <v/>
      </c>
      <c r="AN1047">
        <f>IF($D1047="","",IF($AA1047="Yes",1,0))</f>
        <v/>
      </c>
      <c r="AO1047">
        <f>IF($AK1047=1,IFERROR(IF(VALUE($D1047)&lt;100000000,VALUE($D1047),1000000000),IFERROR(IF(VALUE(MID($D1047,2,20))&lt;100000000,VALUE(MID($D1047,2,20)),1000000000),1000000000))+ROW()/100000,"")</f>
        <v/>
      </c>
    </row>
    <row r="1048">
      <c r="F1048" s="11" t="n"/>
      <c r="N1048" s="7">
        <f>IF($D1048="","",M1048*V1048/100)</f>
        <v/>
      </c>
      <c r="O1048" s="7" t="n"/>
      <c r="U1048" s="7" t="n"/>
      <c r="V1048" s="7" t="n"/>
      <c r="W1048" s="7">
        <f>IF($D1048="","",V1048*AB1048/100)</f>
        <v/>
      </c>
      <c r="X1048" s="7">
        <f>IF($D1048="","",V1048-W1048)</f>
        <v/>
      </c>
      <c r="Y1048" s="7">
        <f>IF($D1048="","",X1048-N1048)</f>
        <v/>
      </c>
      <c r="AB1048">
        <f>IF($D1048="","",IF($AN1048=1,0,IF($AM1048=1,Settings!$C$6,Settings!$C$7))*100)</f>
        <v/>
      </c>
      <c r="AF1048" s="7" t="n"/>
      <c r="AI1048" s="11" t="n"/>
      <c r="AK1048">
        <f>IF($D1048="","",IF(COUNTIF($D$2:$D1048,$D1048)=1,1,0))</f>
        <v/>
      </c>
      <c r="AL1048">
        <f>IF($AK1048=1,SUMPRODUCT(--($AO$2:$AO$1501&lt;$AO1048))+1,"")</f>
        <v/>
      </c>
      <c r="AM1048">
        <f>IF($D1048="","",IF(OR($R1048=TRUE(),$R1048="TRUE"),1,0))</f>
        <v/>
      </c>
      <c r="AN1048">
        <f>IF($D1048="","",IF($AA1048="Yes",1,0))</f>
        <v/>
      </c>
      <c r="AO1048">
        <f>IF($AK1048=1,IFERROR(IF(VALUE($D1048)&lt;100000000,VALUE($D1048),1000000000),IFERROR(IF(VALUE(MID($D1048,2,20))&lt;100000000,VALUE(MID($D1048,2,20)),1000000000),1000000000))+ROW()/100000,"")</f>
        <v/>
      </c>
    </row>
    <row r="1049">
      <c r="F1049" s="11" t="n"/>
      <c r="N1049" s="7">
        <f>IF($D1049="","",M1049*V1049/100)</f>
        <v/>
      </c>
      <c r="O1049" s="7" t="n"/>
      <c r="U1049" s="7" t="n"/>
      <c r="V1049" s="7" t="n"/>
      <c r="W1049" s="7">
        <f>IF($D1049="","",V1049*AB1049/100)</f>
        <v/>
      </c>
      <c r="X1049" s="7">
        <f>IF($D1049="","",V1049-W1049)</f>
        <v/>
      </c>
      <c r="Y1049" s="7">
        <f>IF($D1049="","",X1049-N1049)</f>
        <v/>
      </c>
      <c r="AB1049">
        <f>IF($D1049="","",IF($AN1049=1,0,IF($AM1049=1,Settings!$C$6,Settings!$C$7))*100)</f>
        <v/>
      </c>
      <c r="AF1049" s="7" t="n"/>
      <c r="AI1049" s="11" t="n"/>
      <c r="AK1049">
        <f>IF($D1049="","",IF(COUNTIF($D$2:$D1049,$D1049)=1,1,0))</f>
        <v/>
      </c>
      <c r="AL1049">
        <f>IF($AK1049=1,SUMPRODUCT(--($AO$2:$AO$1501&lt;$AO1049))+1,"")</f>
        <v/>
      </c>
      <c r="AM1049">
        <f>IF($D1049="","",IF(OR($R1049=TRUE(),$R1049="TRUE"),1,0))</f>
        <v/>
      </c>
      <c r="AN1049">
        <f>IF($D1049="","",IF($AA1049="Yes",1,0))</f>
        <v/>
      </c>
      <c r="AO1049">
        <f>IF($AK1049=1,IFERROR(IF(VALUE($D1049)&lt;100000000,VALUE($D1049),1000000000),IFERROR(IF(VALUE(MID($D1049,2,20))&lt;100000000,VALUE(MID($D1049,2,20)),1000000000),1000000000))+ROW()/100000,"")</f>
        <v/>
      </c>
    </row>
    <row r="1050">
      <c r="F1050" s="11" t="n"/>
      <c r="N1050" s="7">
        <f>IF($D1050="","",M1050*V1050/100)</f>
        <v/>
      </c>
      <c r="O1050" s="7" t="n"/>
      <c r="U1050" s="7" t="n"/>
      <c r="V1050" s="7" t="n"/>
      <c r="W1050" s="7">
        <f>IF($D1050="","",V1050*AB1050/100)</f>
        <v/>
      </c>
      <c r="X1050" s="7">
        <f>IF($D1050="","",V1050-W1050)</f>
        <v/>
      </c>
      <c r="Y1050" s="7">
        <f>IF($D1050="","",X1050-N1050)</f>
        <v/>
      </c>
      <c r="AB1050">
        <f>IF($D1050="","",IF($AN1050=1,0,IF($AM1050=1,Settings!$C$6,Settings!$C$7))*100)</f>
        <v/>
      </c>
      <c r="AF1050" s="7" t="n"/>
      <c r="AI1050" s="11" t="n"/>
      <c r="AK1050">
        <f>IF($D1050="","",IF(COUNTIF($D$2:$D1050,$D1050)=1,1,0))</f>
        <v/>
      </c>
      <c r="AL1050">
        <f>IF($AK1050=1,SUMPRODUCT(--($AO$2:$AO$1501&lt;$AO1050))+1,"")</f>
        <v/>
      </c>
      <c r="AM1050">
        <f>IF($D1050="","",IF(OR($R1050=TRUE(),$R1050="TRUE"),1,0))</f>
        <v/>
      </c>
      <c r="AN1050">
        <f>IF($D1050="","",IF($AA1050="Yes",1,0))</f>
        <v/>
      </c>
      <c r="AO1050">
        <f>IF($AK1050=1,IFERROR(IF(VALUE($D1050)&lt;100000000,VALUE($D1050),1000000000),IFERROR(IF(VALUE(MID($D1050,2,20))&lt;100000000,VALUE(MID($D1050,2,20)),1000000000),1000000000))+ROW()/100000,"")</f>
        <v/>
      </c>
    </row>
    <row r="1051">
      <c r="F1051" s="11" t="n"/>
      <c r="N1051" s="7">
        <f>IF($D1051="","",M1051*V1051/100)</f>
        <v/>
      </c>
      <c r="O1051" s="7" t="n"/>
      <c r="U1051" s="7" t="n"/>
      <c r="V1051" s="7" t="n"/>
      <c r="W1051" s="7">
        <f>IF($D1051="","",V1051*AB1051/100)</f>
        <v/>
      </c>
      <c r="X1051" s="7">
        <f>IF($D1051="","",V1051-W1051)</f>
        <v/>
      </c>
      <c r="Y1051" s="7">
        <f>IF($D1051="","",X1051-N1051)</f>
        <v/>
      </c>
      <c r="AB1051">
        <f>IF($D1051="","",IF($AN1051=1,0,IF($AM1051=1,Settings!$C$6,Settings!$C$7))*100)</f>
        <v/>
      </c>
      <c r="AF1051" s="7" t="n"/>
      <c r="AI1051" s="11" t="n"/>
      <c r="AK1051">
        <f>IF($D1051="","",IF(COUNTIF($D$2:$D1051,$D1051)=1,1,0))</f>
        <v/>
      </c>
      <c r="AL1051">
        <f>IF($AK1051=1,SUMPRODUCT(--($AO$2:$AO$1501&lt;$AO1051))+1,"")</f>
        <v/>
      </c>
      <c r="AM1051">
        <f>IF($D1051="","",IF(OR($R1051=TRUE(),$R1051="TRUE"),1,0))</f>
        <v/>
      </c>
      <c r="AN1051">
        <f>IF($D1051="","",IF($AA1051="Yes",1,0))</f>
        <v/>
      </c>
      <c r="AO1051">
        <f>IF($AK1051=1,IFERROR(IF(VALUE($D1051)&lt;100000000,VALUE($D1051),1000000000),IFERROR(IF(VALUE(MID($D1051,2,20))&lt;100000000,VALUE(MID($D1051,2,20)),1000000000),1000000000))+ROW()/100000,"")</f>
        <v/>
      </c>
    </row>
    <row r="1052">
      <c r="F1052" s="11" t="n"/>
      <c r="N1052" s="7">
        <f>IF($D1052="","",M1052*V1052/100)</f>
        <v/>
      </c>
      <c r="O1052" s="7" t="n"/>
      <c r="U1052" s="7" t="n"/>
      <c r="V1052" s="7" t="n"/>
      <c r="W1052" s="7">
        <f>IF($D1052="","",V1052*AB1052/100)</f>
        <v/>
      </c>
      <c r="X1052" s="7">
        <f>IF($D1052="","",V1052-W1052)</f>
        <v/>
      </c>
      <c r="Y1052" s="7">
        <f>IF($D1052="","",X1052-N1052)</f>
        <v/>
      </c>
      <c r="AB1052">
        <f>IF($D1052="","",IF($AN1052=1,0,IF($AM1052=1,Settings!$C$6,Settings!$C$7))*100)</f>
        <v/>
      </c>
      <c r="AF1052" s="7" t="n"/>
      <c r="AI1052" s="11" t="n"/>
      <c r="AK1052">
        <f>IF($D1052="","",IF(COUNTIF($D$2:$D1052,$D1052)=1,1,0))</f>
        <v/>
      </c>
      <c r="AL1052">
        <f>IF($AK1052=1,SUMPRODUCT(--($AO$2:$AO$1501&lt;$AO1052))+1,"")</f>
        <v/>
      </c>
      <c r="AM1052">
        <f>IF($D1052="","",IF(OR($R1052=TRUE(),$R1052="TRUE"),1,0))</f>
        <v/>
      </c>
      <c r="AN1052">
        <f>IF($D1052="","",IF($AA1052="Yes",1,0))</f>
        <v/>
      </c>
      <c r="AO1052">
        <f>IF($AK1052=1,IFERROR(IF(VALUE($D1052)&lt;100000000,VALUE($D1052),1000000000),IFERROR(IF(VALUE(MID($D1052,2,20))&lt;100000000,VALUE(MID($D1052,2,20)),1000000000),1000000000))+ROW()/100000,"")</f>
        <v/>
      </c>
    </row>
    <row r="1053">
      <c r="F1053" s="11" t="n"/>
      <c r="N1053" s="7">
        <f>IF($D1053="","",M1053*V1053/100)</f>
        <v/>
      </c>
      <c r="O1053" s="7" t="n"/>
      <c r="U1053" s="7" t="n"/>
      <c r="V1053" s="7" t="n"/>
      <c r="W1053" s="7">
        <f>IF($D1053="","",V1053*AB1053/100)</f>
        <v/>
      </c>
      <c r="X1053" s="7">
        <f>IF($D1053="","",V1053-W1053)</f>
        <v/>
      </c>
      <c r="Y1053" s="7">
        <f>IF($D1053="","",X1053-N1053)</f>
        <v/>
      </c>
      <c r="AB1053">
        <f>IF($D1053="","",IF($AN1053=1,0,IF($AM1053=1,Settings!$C$6,Settings!$C$7))*100)</f>
        <v/>
      </c>
      <c r="AF1053" s="7" t="n"/>
      <c r="AI1053" s="11" t="n"/>
      <c r="AK1053">
        <f>IF($D1053="","",IF(COUNTIF($D$2:$D1053,$D1053)=1,1,0))</f>
        <v/>
      </c>
      <c r="AL1053">
        <f>IF($AK1053=1,SUMPRODUCT(--($AO$2:$AO$1501&lt;$AO1053))+1,"")</f>
        <v/>
      </c>
      <c r="AM1053">
        <f>IF($D1053="","",IF(OR($R1053=TRUE(),$R1053="TRUE"),1,0))</f>
        <v/>
      </c>
      <c r="AN1053">
        <f>IF($D1053="","",IF($AA1053="Yes",1,0))</f>
        <v/>
      </c>
      <c r="AO1053">
        <f>IF($AK1053=1,IFERROR(IF(VALUE($D1053)&lt;100000000,VALUE($D1053),1000000000),IFERROR(IF(VALUE(MID($D1053,2,20))&lt;100000000,VALUE(MID($D1053,2,20)),1000000000),1000000000))+ROW()/100000,"")</f>
        <v/>
      </c>
    </row>
    <row r="1054">
      <c r="F1054" s="11" t="n"/>
      <c r="N1054" s="7">
        <f>IF($D1054="","",M1054*V1054/100)</f>
        <v/>
      </c>
      <c r="O1054" s="7" t="n"/>
      <c r="U1054" s="7" t="n"/>
      <c r="V1054" s="7" t="n"/>
      <c r="W1054" s="7">
        <f>IF($D1054="","",V1054*AB1054/100)</f>
        <v/>
      </c>
      <c r="X1054" s="7">
        <f>IF($D1054="","",V1054-W1054)</f>
        <v/>
      </c>
      <c r="Y1054" s="7">
        <f>IF($D1054="","",X1054-N1054)</f>
        <v/>
      </c>
      <c r="AB1054">
        <f>IF($D1054="","",IF($AN1054=1,0,IF($AM1054=1,Settings!$C$6,Settings!$C$7))*100)</f>
        <v/>
      </c>
      <c r="AF1054" s="7" t="n"/>
      <c r="AI1054" s="11" t="n"/>
      <c r="AK1054">
        <f>IF($D1054="","",IF(COUNTIF($D$2:$D1054,$D1054)=1,1,0))</f>
        <v/>
      </c>
      <c r="AL1054">
        <f>IF($AK1054=1,SUMPRODUCT(--($AO$2:$AO$1501&lt;$AO1054))+1,"")</f>
        <v/>
      </c>
      <c r="AM1054">
        <f>IF($D1054="","",IF(OR($R1054=TRUE(),$R1054="TRUE"),1,0))</f>
        <v/>
      </c>
      <c r="AN1054">
        <f>IF($D1054="","",IF($AA1054="Yes",1,0))</f>
        <v/>
      </c>
      <c r="AO1054">
        <f>IF($AK1054=1,IFERROR(IF(VALUE($D1054)&lt;100000000,VALUE($D1054),1000000000),IFERROR(IF(VALUE(MID($D1054,2,20))&lt;100000000,VALUE(MID($D1054,2,20)),1000000000),1000000000))+ROW()/100000,"")</f>
        <v/>
      </c>
    </row>
    <row r="1055">
      <c r="F1055" s="11" t="n"/>
      <c r="N1055" s="7">
        <f>IF($D1055="","",M1055*V1055/100)</f>
        <v/>
      </c>
      <c r="O1055" s="7" t="n"/>
      <c r="U1055" s="7" t="n"/>
      <c r="V1055" s="7" t="n"/>
      <c r="W1055" s="7">
        <f>IF($D1055="","",V1055*AB1055/100)</f>
        <v/>
      </c>
      <c r="X1055" s="7">
        <f>IF($D1055="","",V1055-W1055)</f>
        <v/>
      </c>
      <c r="Y1055" s="7">
        <f>IF($D1055="","",X1055-N1055)</f>
        <v/>
      </c>
      <c r="AB1055">
        <f>IF($D1055="","",IF($AN1055=1,0,IF($AM1055=1,Settings!$C$6,Settings!$C$7))*100)</f>
        <v/>
      </c>
      <c r="AF1055" s="7" t="n"/>
      <c r="AI1055" s="11" t="n"/>
      <c r="AK1055">
        <f>IF($D1055="","",IF(COUNTIF($D$2:$D1055,$D1055)=1,1,0))</f>
        <v/>
      </c>
      <c r="AL1055">
        <f>IF($AK1055=1,SUMPRODUCT(--($AO$2:$AO$1501&lt;$AO1055))+1,"")</f>
        <v/>
      </c>
      <c r="AM1055">
        <f>IF($D1055="","",IF(OR($R1055=TRUE(),$R1055="TRUE"),1,0))</f>
        <v/>
      </c>
      <c r="AN1055">
        <f>IF($D1055="","",IF($AA1055="Yes",1,0))</f>
        <v/>
      </c>
      <c r="AO1055">
        <f>IF($AK1055=1,IFERROR(IF(VALUE($D1055)&lt;100000000,VALUE($D1055),1000000000),IFERROR(IF(VALUE(MID($D1055,2,20))&lt;100000000,VALUE(MID($D1055,2,20)),1000000000),1000000000))+ROW()/100000,"")</f>
        <v/>
      </c>
    </row>
    <row r="1056">
      <c r="F1056" s="11" t="n"/>
      <c r="N1056" s="7">
        <f>IF($D1056="","",M1056*V1056/100)</f>
        <v/>
      </c>
      <c r="O1056" s="7" t="n"/>
      <c r="U1056" s="7" t="n"/>
      <c r="V1056" s="7" t="n"/>
      <c r="W1056" s="7">
        <f>IF($D1056="","",V1056*AB1056/100)</f>
        <v/>
      </c>
      <c r="X1056" s="7">
        <f>IF($D1056="","",V1056-W1056)</f>
        <v/>
      </c>
      <c r="Y1056" s="7">
        <f>IF($D1056="","",X1056-N1056)</f>
        <v/>
      </c>
      <c r="AB1056">
        <f>IF($D1056="","",IF($AN1056=1,0,IF($AM1056=1,Settings!$C$6,Settings!$C$7))*100)</f>
        <v/>
      </c>
      <c r="AF1056" s="7" t="n"/>
      <c r="AI1056" s="11" t="n"/>
      <c r="AK1056">
        <f>IF($D1056="","",IF(COUNTIF($D$2:$D1056,$D1056)=1,1,0))</f>
        <v/>
      </c>
      <c r="AL1056">
        <f>IF($AK1056=1,SUMPRODUCT(--($AO$2:$AO$1501&lt;$AO1056))+1,"")</f>
        <v/>
      </c>
      <c r="AM1056">
        <f>IF($D1056="","",IF(OR($R1056=TRUE(),$R1056="TRUE"),1,0))</f>
        <v/>
      </c>
      <c r="AN1056">
        <f>IF($D1056="","",IF($AA1056="Yes",1,0))</f>
        <v/>
      </c>
      <c r="AO1056">
        <f>IF($AK1056=1,IFERROR(IF(VALUE($D1056)&lt;100000000,VALUE($D1056),1000000000),IFERROR(IF(VALUE(MID($D1056,2,20))&lt;100000000,VALUE(MID($D1056,2,20)),1000000000),1000000000))+ROW()/100000,"")</f>
        <v/>
      </c>
    </row>
    <row r="1057">
      <c r="F1057" s="11" t="n"/>
      <c r="N1057" s="7">
        <f>IF($D1057="","",M1057*V1057/100)</f>
        <v/>
      </c>
      <c r="O1057" s="7" t="n"/>
      <c r="U1057" s="7" t="n"/>
      <c r="V1057" s="7" t="n"/>
      <c r="W1057" s="7">
        <f>IF($D1057="","",V1057*AB1057/100)</f>
        <v/>
      </c>
      <c r="X1057" s="7">
        <f>IF($D1057="","",V1057-W1057)</f>
        <v/>
      </c>
      <c r="Y1057" s="7">
        <f>IF($D1057="","",X1057-N1057)</f>
        <v/>
      </c>
      <c r="AB1057">
        <f>IF($D1057="","",IF($AN1057=1,0,IF($AM1057=1,Settings!$C$6,Settings!$C$7))*100)</f>
        <v/>
      </c>
      <c r="AF1057" s="7" t="n"/>
      <c r="AI1057" s="11" t="n"/>
      <c r="AK1057">
        <f>IF($D1057="","",IF(COUNTIF($D$2:$D1057,$D1057)=1,1,0))</f>
        <v/>
      </c>
      <c r="AL1057">
        <f>IF($AK1057=1,SUMPRODUCT(--($AO$2:$AO$1501&lt;$AO1057))+1,"")</f>
        <v/>
      </c>
      <c r="AM1057">
        <f>IF($D1057="","",IF(OR($R1057=TRUE(),$R1057="TRUE"),1,0))</f>
        <v/>
      </c>
      <c r="AN1057">
        <f>IF($D1057="","",IF($AA1057="Yes",1,0))</f>
        <v/>
      </c>
      <c r="AO1057">
        <f>IF($AK1057=1,IFERROR(IF(VALUE($D1057)&lt;100000000,VALUE($D1057),1000000000),IFERROR(IF(VALUE(MID($D1057,2,20))&lt;100000000,VALUE(MID($D1057,2,20)),1000000000),1000000000))+ROW()/100000,"")</f>
        <v/>
      </c>
    </row>
    <row r="1058">
      <c r="F1058" s="11" t="n"/>
      <c r="N1058" s="7">
        <f>IF($D1058="","",M1058*V1058/100)</f>
        <v/>
      </c>
      <c r="O1058" s="7" t="n"/>
      <c r="U1058" s="7" t="n"/>
      <c r="V1058" s="7" t="n"/>
      <c r="W1058" s="7">
        <f>IF($D1058="","",V1058*AB1058/100)</f>
        <v/>
      </c>
      <c r="X1058" s="7">
        <f>IF($D1058="","",V1058-W1058)</f>
        <v/>
      </c>
      <c r="Y1058" s="7">
        <f>IF($D1058="","",X1058-N1058)</f>
        <v/>
      </c>
      <c r="AB1058">
        <f>IF($D1058="","",IF($AN1058=1,0,IF($AM1058=1,Settings!$C$6,Settings!$C$7))*100)</f>
        <v/>
      </c>
      <c r="AF1058" s="7" t="n"/>
      <c r="AI1058" s="11" t="n"/>
      <c r="AK1058">
        <f>IF($D1058="","",IF(COUNTIF($D$2:$D1058,$D1058)=1,1,0))</f>
        <v/>
      </c>
      <c r="AL1058">
        <f>IF($AK1058=1,SUMPRODUCT(--($AO$2:$AO$1501&lt;$AO1058))+1,"")</f>
        <v/>
      </c>
      <c r="AM1058">
        <f>IF($D1058="","",IF(OR($R1058=TRUE(),$R1058="TRUE"),1,0))</f>
        <v/>
      </c>
      <c r="AN1058">
        <f>IF($D1058="","",IF($AA1058="Yes",1,0))</f>
        <v/>
      </c>
      <c r="AO1058">
        <f>IF($AK1058=1,IFERROR(IF(VALUE($D1058)&lt;100000000,VALUE($D1058),1000000000),IFERROR(IF(VALUE(MID($D1058,2,20))&lt;100000000,VALUE(MID($D1058,2,20)),1000000000),1000000000))+ROW()/100000,"")</f>
        <v/>
      </c>
    </row>
    <row r="1059">
      <c r="F1059" s="11" t="n"/>
      <c r="N1059" s="7">
        <f>IF($D1059="","",M1059*V1059/100)</f>
        <v/>
      </c>
      <c r="O1059" s="7" t="n"/>
      <c r="U1059" s="7" t="n"/>
      <c r="V1059" s="7" t="n"/>
      <c r="W1059" s="7">
        <f>IF($D1059="","",V1059*AB1059/100)</f>
        <v/>
      </c>
      <c r="X1059" s="7">
        <f>IF($D1059="","",V1059-W1059)</f>
        <v/>
      </c>
      <c r="Y1059" s="7">
        <f>IF($D1059="","",X1059-N1059)</f>
        <v/>
      </c>
      <c r="AB1059">
        <f>IF($D1059="","",IF($AN1059=1,0,IF($AM1059=1,Settings!$C$6,Settings!$C$7))*100)</f>
        <v/>
      </c>
      <c r="AF1059" s="7" t="n"/>
      <c r="AI1059" s="11" t="n"/>
      <c r="AK1059">
        <f>IF($D1059="","",IF(COUNTIF($D$2:$D1059,$D1059)=1,1,0))</f>
        <v/>
      </c>
      <c r="AL1059">
        <f>IF($AK1059=1,SUMPRODUCT(--($AO$2:$AO$1501&lt;$AO1059))+1,"")</f>
        <v/>
      </c>
      <c r="AM1059">
        <f>IF($D1059="","",IF(OR($R1059=TRUE(),$R1059="TRUE"),1,0))</f>
        <v/>
      </c>
      <c r="AN1059">
        <f>IF($D1059="","",IF($AA1059="Yes",1,0))</f>
        <v/>
      </c>
      <c r="AO1059">
        <f>IF($AK1059=1,IFERROR(IF(VALUE($D1059)&lt;100000000,VALUE($D1059),1000000000),IFERROR(IF(VALUE(MID($D1059,2,20))&lt;100000000,VALUE(MID($D1059,2,20)),1000000000),1000000000))+ROW()/100000,"")</f>
        <v/>
      </c>
    </row>
    <row r="1060">
      <c r="F1060" s="11" t="n"/>
      <c r="N1060" s="7">
        <f>IF($D1060="","",M1060*V1060/100)</f>
        <v/>
      </c>
      <c r="O1060" s="7" t="n"/>
      <c r="U1060" s="7" t="n"/>
      <c r="V1060" s="7" t="n"/>
      <c r="W1060" s="7">
        <f>IF($D1060="","",V1060*AB1060/100)</f>
        <v/>
      </c>
      <c r="X1060" s="7">
        <f>IF($D1060="","",V1060-W1060)</f>
        <v/>
      </c>
      <c r="Y1060" s="7">
        <f>IF($D1060="","",X1060-N1060)</f>
        <v/>
      </c>
      <c r="AB1060">
        <f>IF($D1060="","",IF($AN1060=1,0,IF($AM1060=1,Settings!$C$6,Settings!$C$7))*100)</f>
        <v/>
      </c>
      <c r="AF1060" s="7" t="n"/>
      <c r="AI1060" s="11" t="n"/>
      <c r="AK1060">
        <f>IF($D1060="","",IF(COUNTIF($D$2:$D1060,$D1060)=1,1,0))</f>
        <v/>
      </c>
      <c r="AL1060">
        <f>IF($AK1060=1,SUMPRODUCT(--($AO$2:$AO$1501&lt;$AO1060))+1,"")</f>
        <v/>
      </c>
      <c r="AM1060">
        <f>IF($D1060="","",IF(OR($R1060=TRUE(),$R1060="TRUE"),1,0))</f>
        <v/>
      </c>
      <c r="AN1060">
        <f>IF($D1060="","",IF($AA1060="Yes",1,0))</f>
        <v/>
      </c>
      <c r="AO1060">
        <f>IF($AK1060=1,IFERROR(IF(VALUE($D1060)&lt;100000000,VALUE($D1060),1000000000),IFERROR(IF(VALUE(MID($D1060,2,20))&lt;100000000,VALUE(MID($D1060,2,20)),1000000000),1000000000))+ROW()/100000,"")</f>
        <v/>
      </c>
    </row>
    <row r="1061">
      <c r="F1061" s="11" t="n"/>
      <c r="N1061" s="7">
        <f>IF($D1061="","",M1061*V1061/100)</f>
        <v/>
      </c>
      <c r="O1061" s="7" t="n"/>
      <c r="U1061" s="7" t="n"/>
      <c r="V1061" s="7" t="n"/>
      <c r="W1061" s="7">
        <f>IF($D1061="","",V1061*AB1061/100)</f>
        <v/>
      </c>
      <c r="X1061" s="7">
        <f>IF($D1061="","",V1061-W1061)</f>
        <v/>
      </c>
      <c r="Y1061" s="7">
        <f>IF($D1061="","",X1061-N1061)</f>
        <v/>
      </c>
      <c r="AB1061">
        <f>IF($D1061="","",IF($AN1061=1,0,IF($AM1061=1,Settings!$C$6,Settings!$C$7))*100)</f>
        <v/>
      </c>
      <c r="AF1061" s="7" t="n"/>
      <c r="AI1061" s="11" t="n"/>
      <c r="AK1061">
        <f>IF($D1061="","",IF(COUNTIF($D$2:$D1061,$D1061)=1,1,0))</f>
        <v/>
      </c>
      <c r="AL1061">
        <f>IF($AK1061=1,SUMPRODUCT(--($AO$2:$AO$1501&lt;$AO1061))+1,"")</f>
        <v/>
      </c>
      <c r="AM1061">
        <f>IF($D1061="","",IF(OR($R1061=TRUE(),$R1061="TRUE"),1,0))</f>
        <v/>
      </c>
      <c r="AN1061">
        <f>IF($D1061="","",IF($AA1061="Yes",1,0))</f>
        <v/>
      </c>
      <c r="AO1061">
        <f>IF($AK1061=1,IFERROR(IF(VALUE($D1061)&lt;100000000,VALUE($D1061),1000000000),IFERROR(IF(VALUE(MID($D1061,2,20))&lt;100000000,VALUE(MID($D1061,2,20)),1000000000),1000000000))+ROW()/100000,"")</f>
        <v/>
      </c>
    </row>
    <row r="1062">
      <c r="F1062" s="11" t="n"/>
      <c r="N1062" s="7">
        <f>IF($D1062="","",M1062*V1062/100)</f>
        <v/>
      </c>
      <c r="O1062" s="7" t="n"/>
      <c r="U1062" s="7" t="n"/>
      <c r="V1062" s="7" t="n"/>
      <c r="W1062" s="7">
        <f>IF($D1062="","",V1062*AB1062/100)</f>
        <v/>
      </c>
      <c r="X1062" s="7">
        <f>IF($D1062="","",V1062-W1062)</f>
        <v/>
      </c>
      <c r="Y1062" s="7">
        <f>IF($D1062="","",X1062-N1062)</f>
        <v/>
      </c>
      <c r="AB1062">
        <f>IF($D1062="","",IF($AN1062=1,0,IF($AM1062=1,Settings!$C$6,Settings!$C$7))*100)</f>
        <v/>
      </c>
      <c r="AF1062" s="7" t="n"/>
      <c r="AI1062" s="11" t="n"/>
      <c r="AK1062">
        <f>IF($D1062="","",IF(COUNTIF($D$2:$D1062,$D1062)=1,1,0))</f>
        <v/>
      </c>
      <c r="AL1062">
        <f>IF($AK1062=1,SUMPRODUCT(--($AO$2:$AO$1501&lt;$AO1062))+1,"")</f>
        <v/>
      </c>
      <c r="AM1062">
        <f>IF($D1062="","",IF(OR($R1062=TRUE(),$R1062="TRUE"),1,0))</f>
        <v/>
      </c>
      <c r="AN1062">
        <f>IF($D1062="","",IF($AA1062="Yes",1,0))</f>
        <v/>
      </c>
      <c r="AO1062">
        <f>IF($AK1062=1,IFERROR(IF(VALUE($D1062)&lt;100000000,VALUE($D1062),1000000000),IFERROR(IF(VALUE(MID($D1062,2,20))&lt;100000000,VALUE(MID($D1062,2,20)),1000000000),1000000000))+ROW()/100000,"")</f>
        <v/>
      </c>
    </row>
    <row r="1063">
      <c r="F1063" s="11" t="n"/>
      <c r="N1063" s="7">
        <f>IF($D1063="","",M1063*V1063/100)</f>
        <v/>
      </c>
      <c r="O1063" s="7" t="n"/>
      <c r="U1063" s="7" t="n"/>
      <c r="V1063" s="7" t="n"/>
      <c r="W1063" s="7">
        <f>IF($D1063="","",V1063*AB1063/100)</f>
        <v/>
      </c>
      <c r="X1063" s="7">
        <f>IF($D1063="","",V1063-W1063)</f>
        <v/>
      </c>
      <c r="Y1063" s="7">
        <f>IF($D1063="","",X1063-N1063)</f>
        <v/>
      </c>
      <c r="AB1063">
        <f>IF($D1063="","",IF($AN1063=1,0,IF($AM1063=1,Settings!$C$6,Settings!$C$7))*100)</f>
        <v/>
      </c>
      <c r="AF1063" s="7" t="n"/>
      <c r="AI1063" s="11" t="n"/>
      <c r="AK1063">
        <f>IF($D1063="","",IF(COUNTIF($D$2:$D1063,$D1063)=1,1,0))</f>
        <v/>
      </c>
      <c r="AL1063">
        <f>IF($AK1063=1,SUMPRODUCT(--($AO$2:$AO$1501&lt;$AO1063))+1,"")</f>
        <v/>
      </c>
      <c r="AM1063">
        <f>IF($D1063="","",IF(OR($R1063=TRUE(),$R1063="TRUE"),1,0))</f>
        <v/>
      </c>
      <c r="AN1063">
        <f>IF($D1063="","",IF($AA1063="Yes",1,0))</f>
        <v/>
      </c>
      <c r="AO1063">
        <f>IF($AK1063=1,IFERROR(IF(VALUE($D1063)&lt;100000000,VALUE($D1063),1000000000),IFERROR(IF(VALUE(MID($D1063,2,20))&lt;100000000,VALUE(MID($D1063,2,20)),1000000000),1000000000))+ROW()/100000,"")</f>
        <v/>
      </c>
    </row>
    <row r="1064">
      <c r="F1064" s="11" t="n"/>
      <c r="N1064" s="7">
        <f>IF($D1064="","",M1064*V1064/100)</f>
        <v/>
      </c>
      <c r="O1064" s="7" t="n"/>
      <c r="U1064" s="7" t="n"/>
      <c r="V1064" s="7" t="n"/>
      <c r="W1064" s="7">
        <f>IF($D1064="","",V1064*AB1064/100)</f>
        <v/>
      </c>
      <c r="X1064" s="7">
        <f>IF($D1064="","",V1064-W1064)</f>
        <v/>
      </c>
      <c r="Y1064" s="7">
        <f>IF($D1064="","",X1064-N1064)</f>
        <v/>
      </c>
      <c r="AB1064">
        <f>IF($D1064="","",IF($AN1064=1,0,IF($AM1064=1,Settings!$C$6,Settings!$C$7))*100)</f>
        <v/>
      </c>
      <c r="AF1064" s="7" t="n"/>
      <c r="AI1064" s="11" t="n"/>
      <c r="AK1064">
        <f>IF($D1064="","",IF(COUNTIF($D$2:$D1064,$D1064)=1,1,0))</f>
        <v/>
      </c>
      <c r="AL1064">
        <f>IF($AK1064=1,SUMPRODUCT(--($AO$2:$AO$1501&lt;$AO1064))+1,"")</f>
        <v/>
      </c>
      <c r="AM1064">
        <f>IF($D1064="","",IF(OR($R1064=TRUE(),$R1064="TRUE"),1,0))</f>
        <v/>
      </c>
      <c r="AN1064">
        <f>IF($D1064="","",IF($AA1064="Yes",1,0))</f>
        <v/>
      </c>
      <c r="AO1064">
        <f>IF($AK1064=1,IFERROR(IF(VALUE($D1064)&lt;100000000,VALUE($D1064),1000000000),IFERROR(IF(VALUE(MID($D1064,2,20))&lt;100000000,VALUE(MID($D1064,2,20)),1000000000),1000000000))+ROW()/100000,"")</f>
        <v/>
      </c>
    </row>
    <row r="1065">
      <c r="F1065" s="11" t="n"/>
      <c r="N1065" s="7">
        <f>IF($D1065="","",M1065*V1065/100)</f>
        <v/>
      </c>
      <c r="O1065" s="7" t="n"/>
      <c r="U1065" s="7" t="n"/>
      <c r="V1065" s="7" t="n"/>
      <c r="W1065" s="7">
        <f>IF($D1065="","",V1065*AB1065/100)</f>
        <v/>
      </c>
      <c r="X1065" s="7">
        <f>IF($D1065="","",V1065-W1065)</f>
        <v/>
      </c>
      <c r="Y1065" s="7">
        <f>IF($D1065="","",X1065-N1065)</f>
        <v/>
      </c>
      <c r="AB1065">
        <f>IF($D1065="","",IF($AN1065=1,0,IF($AM1065=1,Settings!$C$6,Settings!$C$7))*100)</f>
        <v/>
      </c>
      <c r="AF1065" s="7" t="n"/>
      <c r="AI1065" s="11" t="n"/>
      <c r="AK1065">
        <f>IF($D1065="","",IF(COUNTIF($D$2:$D1065,$D1065)=1,1,0))</f>
        <v/>
      </c>
      <c r="AL1065">
        <f>IF($AK1065=1,SUMPRODUCT(--($AO$2:$AO$1501&lt;$AO1065))+1,"")</f>
        <v/>
      </c>
      <c r="AM1065">
        <f>IF($D1065="","",IF(OR($R1065=TRUE(),$R1065="TRUE"),1,0))</f>
        <v/>
      </c>
      <c r="AN1065">
        <f>IF($D1065="","",IF($AA1065="Yes",1,0))</f>
        <v/>
      </c>
      <c r="AO1065">
        <f>IF($AK1065=1,IFERROR(IF(VALUE($D1065)&lt;100000000,VALUE($D1065),1000000000),IFERROR(IF(VALUE(MID($D1065,2,20))&lt;100000000,VALUE(MID($D1065,2,20)),1000000000),1000000000))+ROW()/100000,"")</f>
        <v/>
      </c>
    </row>
    <row r="1066">
      <c r="F1066" s="11" t="n"/>
      <c r="N1066" s="7">
        <f>IF($D1066="","",M1066*V1066/100)</f>
        <v/>
      </c>
      <c r="O1066" s="7" t="n"/>
      <c r="U1066" s="7" t="n"/>
      <c r="V1066" s="7" t="n"/>
      <c r="W1066" s="7">
        <f>IF($D1066="","",V1066*AB1066/100)</f>
        <v/>
      </c>
      <c r="X1066" s="7">
        <f>IF($D1066="","",V1066-W1066)</f>
        <v/>
      </c>
      <c r="Y1066" s="7">
        <f>IF($D1066="","",X1066-N1066)</f>
        <v/>
      </c>
      <c r="AB1066">
        <f>IF($D1066="","",IF($AN1066=1,0,IF($AM1066=1,Settings!$C$6,Settings!$C$7))*100)</f>
        <v/>
      </c>
      <c r="AF1066" s="7" t="n"/>
      <c r="AI1066" s="11" t="n"/>
      <c r="AK1066">
        <f>IF($D1066="","",IF(COUNTIF($D$2:$D1066,$D1066)=1,1,0))</f>
        <v/>
      </c>
      <c r="AL1066">
        <f>IF($AK1066=1,SUMPRODUCT(--($AO$2:$AO$1501&lt;$AO1066))+1,"")</f>
        <v/>
      </c>
      <c r="AM1066">
        <f>IF($D1066="","",IF(OR($R1066=TRUE(),$R1066="TRUE"),1,0))</f>
        <v/>
      </c>
      <c r="AN1066">
        <f>IF($D1066="","",IF($AA1066="Yes",1,0))</f>
        <v/>
      </c>
      <c r="AO1066">
        <f>IF($AK1066=1,IFERROR(IF(VALUE($D1066)&lt;100000000,VALUE($D1066),1000000000),IFERROR(IF(VALUE(MID($D1066,2,20))&lt;100000000,VALUE(MID($D1066,2,20)),1000000000),1000000000))+ROW()/100000,"")</f>
        <v/>
      </c>
    </row>
    <row r="1067">
      <c r="F1067" s="11" t="n"/>
      <c r="N1067" s="7">
        <f>IF($D1067="","",M1067*V1067/100)</f>
        <v/>
      </c>
      <c r="O1067" s="7" t="n"/>
      <c r="U1067" s="7" t="n"/>
      <c r="V1067" s="7" t="n"/>
      <c r="W1067" s="7">
        <f>IF($D1067="","",V1067*AB1067/100)</f>
        <v/>
      </c>
      <c r="X1067" s="7">
        <f>IF($D1067="","",V1067-W1067)</f>
        <v/>
      </c>
      <c r="Y1067" s="7">
        <f>IF($D1067="","",X1067-N1067)</f>
        <v/>
      </c>
      <c r="AB1067">
        <f>IF($D1067="","",IF($AN1067=1,0,IF($AM1067=1,Settings!$C$6,Settings!$C$7))*100)</f>
        <v/>
      </c>
      <c r="AF1067" s="7" t="n"/>
      <c r="AI1067" s="11" t="n"/>
      <c r="AK1067">
        <f>IF($D1067="","",IF(COUNTIF($D$2:$D1067,$D1067)=1,1,0))</f>
        <v/>
      </c>
      <c r="AL1067">
        <f>IF($AK1067=1,SUMPRODUCT(--($AO$2:$AO$1501&lt;$AO1067))+1,"")</f>
        <v/>
      </c>
      <c r="AM1067">
        <f>IF($D1067="","",IF(OR($R1067=TRUE(),$R1067="TRUE"),1,0))</f>
        <v/>
      </c>
      <c r="AN1067">
        <f>IF($D1067="","",IF($AA1067="Yes",1,0))</f>
        <v/>
      </c>
      <c r="AO1067">
        <f>IF($AK1067=1,IFERROR(IF(VALUE($D1067)&lt;100000000,VALUE($D1067),1000000000),IFERROR(IF(VALUE(MID($D1067,2,20))&lt;100000000,VALUE(MID($D1067,2,20)),1000000000),1000000000))+ROW()/100000,"")</f>
        <v/>
      </c>
    </row>
    <row r="1068">
      <c r="F1068" s="11" t="n"/>
      <c r="N1068" s="7">
        <f>IF($D1068="","",M1068*V1068/100)</f>
        <v/>
      </c>
      <c r="O1068" s="7" t="n"/>
      <c r="U1068" s="7" t="n"/>
      <c r="V1068" s="7" t="n"/>
      <c r="W1068" s="7">
        <f>IF($D1068="","",V1068*AB1068/100)</f>
        <v/>
      </c>
      <c r="X1068" s="7">
        <f>IF($D1068="","",V1068-W1068)</f>
        <v/>
      </c>
      <c r="Y1068" s="7">
        <f>IF($D1068="","",X1068-N1068)</f>
        <v/>
      </c>
      <c r="AB1068">
        <f>IF($D1068="","",IF($AN1068=1,0,IF($AM1068=1,Settings!$C$6,Settings!$C$7))*100)</f>
        <v/>
      </c>
      <c r="AF1068" s="7" t="n"/>
      <c r="AI1068" s="11" t="n"/>
      <c r="AK1068">
        <f>IF($D1068="","",IF(COUNTIF($D$2:$D1068,$D1068)=1,1,0))</f>
        <v/>
      </c>
      <c r="AL1068">
        <f>IF($AK1068=1,SUMPRODUCT(--($AO$2:$AO$1501&lt;$AO1068))+1,"")</f>
        <v/>
      </c>
      <c r="AM1068">
        <f>IF($D1068="","",IF(OR($R1068=TRUE(),$R1068="TRUE"),1,0))</f>
        <v/>
      </c>
      <c r="AN1068">
        <f>IF($D1068="","",IF($AA1068="Yes",1,0))</f>
        <v/>
      </c>
      <c r="AO1068">
        <f>IF($AK1068=1,IFERROR(IF(VALUE($D1068)&lt;100000000,VALUE($D1068),1000000000),IFERROR(IF(VALUE(MID($D1068,2,20))&lt;100000000,VALUE(MID($D1068,2,20)),1000000000),1000000000))+ROW()/100000,"")</f>
        <v/>
      </c>
    </row>
    <row r="1069">
      <c r="F1069" s="11" t="n"/>
      <c r="N1069" s="7">
        <f>IF($D1069="","",M1069*V1069/100)</f>
        <v/>
      </c>
      <c r="O1069" s="7" t="n"/>
      <c r="U1069" s="7" t="n"/>
      <c r="V1069" s="7" t="n"/>
      <c r="W1069" s="7">
        <f>IF($D1069="","",V1069*AB1069/100)</f>
        <v/>
      </c>
      <c r="X1069" s="7">
        <f>IF($D1069="","",V1069-W1069)</f>
        <v/>
      </c>
      <c r="Y1069" s="7">
        <f>IF($D1069="","",X1069-N1069)</f>
        <v/>
      </c>
      <c r="AB1069">
        <f>IF($D1069="","",IF($AN1069=1,0,IF($AM1069=1,Settings!$C$6,Settings!$C$7))*100)</f>
        <v/>
      </c>
      <c r="AF1069" s="7" t="n"/>
      <c r="AI1069" s="11" t="n"/>
      <c r="AK1069">
        <f>IF($D1069="","",IF(COUNTIF($D$2:$D1069,$D1069)=1,1,0))</f>
        <v/>
      </c>
      <c r="AL1069">
        <f>IF($AK1069=1,SUMPRODUCT(--($AO$2:$AO$1501&lt;$AO1069))+1,"")</f>
        <v/>
      </c>
      <c r="AM1069">
        <f>IF($D1069="","",IF(OR($R1069=TRUE(),$R1069="TRUE"),1,0))</f>
        <v/>
      </c>
      <c r="AN1069">
        <f>IF($D1069="","",IF($AA1069="Yes",1,0))</f>
        <v/>
      </c>
      <c r="AO1069">
        <f>IF($AK1069=1,IFERROR(IF(VALUE($D1069)&lt;100000000,VALUE($D1069),1000000000),IFERROR(IF(VALUE(MID($D1069,2,20))&lt;100000000,VALUE(MID($D1069,2,20)),1000000000),1000000000))+ROW()/100000,"")</f>
        <v/>
      </c>
    </row>
    <row r="1070">
      <c r="F1070" s="11" t="n"/>
      <c r="N1070" s="7">
        <f>IF($D1070="","",M1070*V1070/100)</f>
        <v/>
      </c>
      <c r="O1070" s="7" t="n"/>
      <c r="U1070" s="7" t="n"/>
      <c r="V1070" s="7" t="n"/>
      <c r="W1070" s="7">
        <f>IF($D1070="","",V1070*AB1070/100)</f>
        <v/>
      </c>
      <c r="X1070" s="7">
        <f>IF($D1070="","",V1070-W1070)</f>
        <v/>
      </c>
      <c r="Y1070" s="7">
        <f>IF($D1070="","",X1070-N1070)</f>
        <v/>
      </c>
      <c r="AB1070">
        <f>IF($D1070="","",IF($AN1070=1,0,IF($AM1070=1,Settings!$C$6,Settings!$C$7))*100)</f>
        <v/>
      </c>
      <c r="AF1070" s="7" t="n"/>
      <c r="AI1070" s="11" t="n"/>
      <c r="AK1070">
        <f>IF($D1070="","",IF(COUNTIF($D$2:$D1070,$D1070)=1,1,0))</f>
        <v/>
      </c>
      <c r="AL1070">
        <f>IF($AK1070=1,SUMPRODUCT(--($AO$2:$AO$1501&lt;$AO1070))+1,"")</f>
        <v/>
      </c>
      <c r="AM1070">
        <f>IF($D1070="","",IF(OR($R1070=TRUE(),$R1070="TRUE"),1,0))</f>
        <v/>
      </c>
      <c r="AN1070">
        <f>IF($D1070="","",IF($AA1070="Yes",1,0))</f>
        <v/>
      </c>
      <c r="AO1070">
        <f>IF($AK1070=1,IFERROR(IF(VALUE($D1070)&lt;100000000,VALUE($D1070),1000000000),IFERROR(IF(VALUE(MID($D1070,2,20))&lt;100000000,VALUE(MID($D1070,2,20)),1000000000),1000000000))+ROW()/100000,"")</f>
        <v/>
      </c>
    </row>
    <row r="1071">
      <c r="F1071" s="11" t="n"/>
      <c r="N1071" s="7">
        <f>IF($D1071="","",M1071*V1071/100)</f>
        <v/>
      </c>
      <c r="O1071" s="7" t="n"/>
      <c r="U1071" s="7" t="n"/>
      <c r="V1071" s="7" t="n"/>
      <c r="W1071" s="7">
        <f>IF($D1071="","",V1071*AB1071/100)</f>
        <v/>
      </c>
      <c r="X1071" s="7">
        <f>IF($D1071="","",V1071-W1071)</f>
        <v/>
      </c>
      <c r="Y1071" s="7">
        <f>IF($D1071="","",X1071-N1071)</f>
        <v/>
      </c>
      <c r="AB1071">
        <f>IF($D1071="","",IF($AN1071=1,0,IF($AM1071=1,Settings!$C$6,Settings!$C$7))*100)</f>
        <v/>
      </c>
      <c r="AF1071" s="7" t="n"/>
      <c r="AI1071" s="11" t="n"/>
      <c r="AK1071">
        <f>IF($D1071="","",IF(COUNTIF($D$2:$D1071,$D1071)=1,1,0))</f>
        <v/>
      </c>
      <c r="AL1071">
        <f>IF($AK1071=1,SUMPRODUCT(--($AO$2:$AO$1501&lt;$AO1071))+1,"")</f>
        <v/>
      </c>
      <c r="AM1071">
        <f>IF($D1071="","",IF(OR($R1071=TRUE(),$R1071="TRUE"),1,0))</f>
        <v/>
      </c>
      <c r="AN1071">
        <f>IF($D1071="","",IF($AA1071="Yes",1,0))</f>
        <v/>
      </c>
      <c r="AO1071">
        <f>IF($AK1071=1,IFERROR(IF(VALUE($D1071)&lt;100000000,VALUE($D1071),1000000000),IFERROR(IF(VALUE(MID($D1071,2,20))&lt;100000000,VALUE(MID($D1071,2,20)),1000000000),1000000000))+ROW()/100000,"")</f>
        <v/>
      </c>
    </row>
    <row r="1072">
      <c r="F1072" s="11" t="n"/>
      <c r="N1072" s="7">
        <f>IF($D1072="","",M1072*V1072/100)</f>
        <v/>
      </c>
      <c r="O1072" s="7" t="n"/>
      <c r="U1072" s="7" t="n"/>
      <c r="V1072" s="7" t="n"/>
      <c r="W1072" s="7">
        <f>IF($D1072="","",V1072*AB1072/100)</f>
        <v/>
      </c>
      <c r="X1072" s="7">
        <f>IF($D1072="","",V1072-W1072)</f>
        <v/>
      </c>
      <c r="Y1072" s="7">
        <f>IF($D1072="","",X1072-N1072)</f>
        <v/>
      </c>
      <c r="AB1072">
        <f>IF($D1072="","",IF($AN1072=1,0,IF($AM1072=1,Settings!$C$6,Settings!$C$7))*100)</f>
        <v/>
      </c>
      <c r="AF1072" s="7" t="n"/>
      <c r="AI1072" s="11" t="n"/>
      <c r="AK1072">
        <f>IF($D1072="","",IF(COUNTIF($D$2:$D1072,$D1072)=1,1,0))</f>
        <v/>
      </c>
      <c r="AL1072">
        <f>IF($AK1072=1,SUMPRODUCT(--($AO$2:$AO$1501&lt;$AO1072))+1,"")</f>
        <v/>
      </c>
      <c r="AM1072">
        <f>IF($D1072="","",IF(OR($R1072=TRUE(),$R1072="TRUE"),1,0))</f>
        <v/>
      </c>
      <c r="AN1072">
        <f>IF($D1072="","",IF($AA1072="Yes",1,0))</f>
        <v/>
      </c>
      <c r="AO1072">
        <f>IF($AK1072=1,IFERROR(IF(VALUE($D1072)&lt;100000000,VALUE($D1072),1000000000),IFERROR(IF(VALUE(MID($D1072,2,20))&lt;100000000,VALUE(MID($D1072,2,20)),1000000000),1000000000))+ROW()/100000,"")</f>
        <v/>
      </c>
    </row>
    <row r="1073">
      <c r="F1073" s="11" t="n"/>
      <c r="N1073" s="7">
        <f>IF($D1073="","",M1073*V1073/100)</f>
        <v/>
      </c>
      <c r="O1073" s="7" t="n"/>
      <c r="U1073" s="7" t="n"/>
      <c r="V1073" s="7" t="n"/>
      <c r="W1073" s="7">
        <f>IF($D1073="","",V1073*AB1073/100)</f>
        <v/>
      </c>
      <c r="X1073" s="7">
        <f>IF($D1073="","",V1073-W1073)</f>
        <v/>
      </c>
      <c r="Y1073" s="7">
        <f>IF($D1073="","",X1073-N1073)</f>
        <v/>
      </c>
      <c r="AB1073">
        <f>IF($D1073="","",IF($AN1073=1,0,IF($AM1073=1,Settings!$C$6,Settings!$C$7))*100)</f>
        <v/>
      </c>
      <c r="AF1073" s="7" t="n"/>
      <c r="AI1073" s="11" t="n"/>
      <c r="AK1073">
        <f>IF($D1073="","",IF(COUNTIF($D$2:$D1073,$D1073)=1,1,0))</f>
        <v/>
      </c>
      <c r="AL1073">
        <f>IF($AK1073=1,SUMPRODUCT(--($AO$2:$AO$1501&lt;$AO1073))+1,"")</f>
        <v/>
      </c>
      <c r="AM1073">
        <f>IF($D1073="","",IF(OR($R1073=TRUE(),$R1073="TRUE"),1,0))</f>
        <v/>
      </c>
      <c r="AN1073">
        <f>IF($D1073="","",IF($AA1073="Yes",1,0))</f>
        <v/>
      </c>
      <c r="AO1073">
        <f>IF($AK1073=1,IFERROR(IF(VALUE($D1073)&lt;100000000,VALUE($D1073),1000000000),IFERROR(IF(VALUE(MID($D1073,2,20))&lt;100000000,VALUE(MID($D1073,2,20)),1000000000),1000000000))+ROW()/100000,"")</f>
        <v/>
      </c>
    </row>
    <row r="1074">
      <c r="F1074" s="11" t="n"/>
      <c r="N1074" s="7">
        <f>IF($D1074="","",M1074*V1074/100)</f>
        <v/>
      </c>
      <c r="O1074" s="7" t="n"/>
      <c r="U1074" s="7" t="n"/>
      <c r="V1074" s="7" t="n"/>
      <c r="W1074" s="7">
        <f>IF($D1074="","",V1074*AB1074/100)</f>
        <v/>
      </c>
      <c r="X1074" s="7">
        <f>IF($D1074="","",V1074-W1074)</f>
        <v/>
      </c>
      <c r="Y1074" s="7">
        <f>IF($D1074="","",X1074-N1074)</f>
        <v/>
      </c>
      <c r="AB1074">
        <f>IF($D1074="","",IF($AN1074=1,0,IF($AM1074=1,Settings!$C$6,Settings!$C$7))*100)</f>
        <v/>
      </c>
      <c r="AF1074" s="7" t="n"/>
      <c r="AI1074" s="11" t="n"/>
      <c r="AK1074">
        <f>IF($D1074="","",IF(COUNTIF($D$2:$D1074,$D1074)=1,1,0))</f>
        <v/>
      </c>
      <c r="AL1074">
        <f>IF($AK1074=1,SUMPRODUCT(--($AO$2:$AO$1501&lt;$AO1074))+1,"")</f>
        <v/>
      </c>
      <c r="AM1074">
        <f>IF($D1074="","",IF(OR($R1074=TRUE(),$R1074="TRUE"),1,0))</f>
        <v/>
      </c>
      <c r="AN1074">
        <f>IF($D1074="","",IF($AA1074="Yes",1,0))</f>
        <v/>
      </c>
      <c r="AO1074">
        <f>IF($AK1074=1,IFERROR(IF(VALUE($D1074)&lt;100000000,VALUE($D1074),1000000000),IFERROR(IF(VALUE(MID($D1074,2,20))&lt;100000000,VALUE(MID($D1074,2,20)),1000000000),1000000000))+ROW()/100000,"")</f>
        <v/>
      </c>
    </row>
    <row r="1075">
      <c r="F1075" s="11" t="n"/>
      <c r="N1075" s="7">
        <f>IF($D1075="","",M1075*V1075/100)</f>
        <v/>
      </c>
      <c r="O1075" s="7" t="n"/>
      <c r="U1075" s="7" t="n"/>
      <c r="V1075" s="7" t="n"/>
      <c r="W1075" s="7">
        <f>IF($D1075="","",V1075*AB1075/100)</f>
        <v/>
      </c>
      <c r="X1075" s="7">
        <f>IF($D1075="","",V1075-W1075)</f>
        <v/>
      </c>
      <c r="Y1075" s="7">
        <f>IF($D1075="","",X1075-N1075)</f>
        <v/>
      </c>
      <c r="AB1075">
        <f>IF($D1075="","",IF($AN1075=1,0,IF($AM1075=1,Settings!$C$6,Settings!$C$7))*100)</f>
        <v/>
      </c>
      <c r="AF1075" s="7" t="n"/>
      <c r="AI1075" s="11" t="n"/>
      <c r="AK1075">
        <f>IF($D1075="","",IF(COUNTIF($D$2:$D1075,$D1075)=1,1,0))</f>
        <v/>
      </c>
      <c r="AL1075">
        <f>IF($AK1075=1,SUMPRODUCT(--($AO$2:$AO$1501&lt;$AO1075))+1,"")</f>
        <v/>
      </c>
      <c r="AM1075">
        <f>IF($D1075="","",IF(OR($R1075=TRUE(),$R1075="TRUE"),1,0))</f>
        <v/>
      </c>
      <c r="AN1075">
        <f>IF($D1075="","",IF($AA1075="Yes",1,0))</f>
        <v/>
      </c>
      <c r="AO1075">
        <f>IF($AK1075=1,IFERROR(IF(VALUE($D1075)&lt;100000000,VALUE($D1075),1000000000),IFERROR(IF(VALUE(MID($D1075,2,20))&lt;100000000,VALUE(MID($D1075,2,20)),1000000000),1000000000))+ROW()/100000,"")</f>
        <v/>
      </c>
    </row>
    <row r="1076">
      <c r="F1076" s="11" t="n"/>
      <c r="N1076" s="7">
        <f>IF($D1076="","",M1076*V1076/100)</f>
        <v/>
      </c>
      <c r="O1076" s="7" t="n"/>
      <c r="U1076" s="7" t="n"/>
      <c r="V1076" s="7" t="n"/>
      <c r="W1076" s="7">
        <f>IF($D1076="","",V1076*AB1076/100)</f>
        <v/>
      </c>
      <c r="X1076" s="7">
        <f>IF($D1076="","",V1076-W1076)</f>
        <v/>
      </c>
      <c r="Y1076" s="7">
        <f>IF($D1076="","",X1076-N1076)</f>
        <v/>
      </c>
      <c r="AB1076">
        <f>IF($D1076="","",IF($AN1076=1,0,IF($AM1076=1,Settings!$C$6,Settings!$C$7))*100)</f>
        <v/>
      </c>
      <c r="AF1076" s="7" t="n"/>
      <c r="AI1076" s="11" t="n"/>
      <c r="AK1076">
        <f>IF($D1076="","",IF(COUNTIF($D$2:$D1076,$D1076)=1,1,0))</f>
        <v/>
      </c>
      <c r="AL1076">
        <f>IF($AK1076=1,SUMPRODUCT(--($AO$2:$AO$1501&lt;$AO1076))+1,"")</f>
        <v/>
      </c>
      <c r="AM1076">
        <f>IF($D1076="","",IF(OR($R1076=TRUE(),$R1076="TRUE"),1,0))</f>
        <v/>
      </c>
      <c r="AN1076">
        <f>IF($D1076="","",IF($AA1076="Yes",1,0))</f>
        <v/>
      </c>
      <c r="AO1076">
        <f>IF($AK1076=1,IFERROR(IF(VALUE($D1076)&lt;100000000,VALUE($D1076),1000000000),IFERROR(IF(VALUE(MID($D1076,2,20))&lt;100000000,VALUE(MID($D1076,2,20)),1000000000),1000000000))+ROW()/100000,"")</f>
        <v/>
      </c>
    </row>
    <row r="1077">
      <c r="F1077" s="11" t="n"/>
      <c r="N1077" s="7">
        <f>IF($D1077="","",M1077*V1077/100)</f>
        <v/>
      </c>
      <c r="O1077" s="7" t="n"/>
      <c r="U1077" s="7" t="n"/>
      <c r="V1077" s="7" t="n"/>
      <c r="W1077" s="7">
        <f>IF($D1077="","",V1077*AB1077/100)</f>
        <v/>
      </c>
      <c r="X1077" s="7">
        <f>IF($D1077="","",V1077-W1077)</f>
        <v/>
      </c>
      <c r="Y1077" s="7">
        <f>IF($D1077="","",X1077-N1077)</f>
        <v/>
      </c>
      <c r="AB1077">
        <f>IF($D1077="","",IF($AN1077=1,0,IF($AM1077=1,Settings!$C$6,Settings!$C$7))*100)</f>
        <v/>
      </c>
      <c r="AF1077" s="7" t="n"/>
      <c r="AI1077" s="11" t="n"/>
      <c r="AK1077">
        <f>IF($D1077="","",IF(COUNTIF($D$2:$D1077,$D1077)=1,1,0))</f>
        <v/>
      </c>
      <c r="AL1077">
        <f>IF($AK1077=1,SUMPRODUCT(--($AO$2:$AO$1501&lt;$AO1077))+1,"")</f>
        <v/>
      </c>
      <c r="AM1077">
        <f>IF($D1077="","",IF(OR($R1077=TRUE(),$R1077="TRUE"),1,0))</f>
        <v/>
      </c>
      <c r="AN1077">
        <f>IF($D1077="","",IF($AA1077="Yes",1,0))</f>
        <v/>
      </c>
      <c r="AO1077">
        <f>IF($AK1077=1,IFERROR(IF(VALUE($D1077)&lt;100000000,VALUE($D1077),1000000000),IFERROR(IF(VALUE(MID($D1077,2,20))&lt;100000000,VALUE(MID($D1077,2,20)),1000000000),1000000000))+ROW()/100000,"")</f>
        <v/>
      </c>
    </row>
    <row r="1078">
      <c r="F1078" s="11" t="n"/>
      <c r="N1078" s="7">
        <f>IF($D1078="","",M1078*V1078/100)</f>
        <v/>
      </c>
      <c r="O1078" s="7" t="n"/>
      <c r="U1078" s="7" t="n"/>
      <c r="V1078" s="7" t="n"/>
      <c r="W1078" s="7">
        <f>IF($D1078="","",V1078*AB1078/100)</f>
        <v/>
      </c>
      <c r="X1078" s="7">
        <f>IF($D1078="","",V1078-W1078)</f>
        <v/>
      </c>
      <c r="Y1078" s="7">
        <f>IF($D1078="","",X1078-N1078)</f>
        <v/>
      </c>
      <c r="AB1078">
        <f>IF($D1078="","",IF($AN1078=1,0,IF($AM1078=1,Settings!$C$6,Settings!$C$7))*100)</f>
        <v/>
      </c>
      <c r="AF1078" s="7" t="n"/>
      <c r="AI1078" s="11" t="n"/>
      <c r="AK1078">
        <f>IF($D1078="","",IF(COUNTIF($D$2:$D1078,$D1078)=1,1,0))</f>
        <v/>
      </c>
      <c r="AL1078">
        <f>IF($AK1078=1,SUMPRODUCT(--($AO$2:$AO$1501&lt;$AO1078))+1,"")</f>
        <v/>
      </c>
      <c r="AM1078">
        <f>IF($D1078="","",IF(OR($R1078=TRUE(),$R1078="TRUE"),1,0))</f>
        <v/>
      </c>
      <c r="AN1078">
        <f>IF($D1078="","",IF($AA1078="Yes",1,0))</f>
        <v/>
      </c>
      <c r="AO1078">
        <f>IF($AK1078=1,IFERROR(IF(VALUE($D1078)&lt;100000000,VALUE($D1078),1000000000),IFERROR(IF(VALUE(MID($D1078,2,20))&lt;100000000,VALUE(MID($D1078,2,20)),1000000000),1000000000))+ROW()/100000,"")</f>
        <v/>
      </c>
    </row>
    <row r="1079">
      <c r="F1079" s="11" t="n"/>
      <c r="N1079" s="7">
        <f>IF($D1079="","",M1079*V1079/100)</f>
        <v/>
      </c>
      <c r="O1079" s="7" t="n"/>
      <c r="U1079" s="7" t="n"/>
      <c r="V1079" s="7" t="n"/>
      <c r="W1079" s="7">
        <f>IF($D1079="","",V1079*AB1079/100)</f>
        <v/>
      </c>
      <c r="X1079" s="7">
        <f>IF($D1079="","",V1079-W1079)</f>
        <v/>
      </c>
      <c r="Y1079" s="7">
        <f>IF($D1079="","",X1079-N1079)</f>
        <v/>
      </c>
      <c r="AB1079">
        <f>IF($D1079="","",IF($AN1079=1,0,IF($AM1079=1,Settings!$C$6,Settings!$C$7))*100)</f>
        <v/>
      </c>
      <c r="AF1079" s="7" t="n"/>
      <c r="AI1079" s="11" t="n"/>
      <c r="AK1079">
        <f>IF($D1079="","",IF(COUNTIF($D$2:$D1079,$D1079)=1,1,0))</f>
        <v/>
      </c>
      <c r="AL1079">
        <f>IF($AK1079=1,SUMPRODUCT(--($AO$2:$AO$1501&lt;$AO1079))+1,"")</f>
        <v/>
      </c>
      <c r="AM1079">
        <f>IF($D1079="","",IF(OR($R1079=TRUE(),$R1079="TRUE"),1,0))</f>
        <v/>
      </c>
      <c r="AN1079">
        <f>IF($D1079="","",IF($AA1079="Yes",1,0))</f>
        <v/>
      </c>
      <c r="AO1079">
        <f>IF($AK1079=1,IFERROR(IF(VALUE($D1079)&lt;100000000,VALUE($D1079),1000000000),IFERROR(IF(VALUE(MID($D1079,2,20))&lt;100000000,VALUE(MID($D1079,2,20)),1000000000),1000000000))+ROW()/100000,"")</f>
        <v/>
      </c>
    </row>
    <row r="1080">
      <c r="F1080" s="11" t="n"/>
      <c r="N1080" s="7">
        <f>IF($D1080="","",M1080*V1080/100)</f>
        <v/>
      </c>
      <c r="O1080" s="7" t="n"/>
      <c r="U1080" s="7" t="n"/>
      <c r="V1080" s="7" t="n"/>
      <c r="W1080" s="7">
        <f>IF($D1080="","",V1080*AB1080/100)</f>
        <v/>
      </c>
      <c r="X1080" s="7">
        <f>IF($D1080="","",V1080-W1080)</f>
        <v/>
      </c>
      <c r="Y1080" s="7">
        <f>IF($D1080="","",X1080-N1080)</f>
        <v/>
      </c>
      <c r="AB1080">
        <f>IF($D1080="","",IF($AN1080=1,0,IF($AM1080=1,Settings!$C$6,Settings!$C$7))*100)</f>
        <v/>
      </c>
      <c r="AF1080" s="7" t="n"/>
      <c r="AI1080" s="11" t="n"/>
      <c r="AK1080">
        <f>IF($D1080="","",IF(COUNTIF($D$2:$D1080,$D1080)=1,1,0))</f>
        <v/>
      </c>
      <c r="AL1080">
        <f>IF($AK1080=1,SUMPRODUCT(--($AO$2:$AO$1501&lt;$AO1080))+1,"")</f>
        <v/>
      </c>
      <c r="AM1080">
        <f>IF($D1080="","",IF(OR($R1080=TRUE(),$R1080="TRUE"),1,0))</f>
        <v/>
      </c>
      <c r="AN1080">
        <f>IF($D1080="","",IF($AA1080="Yes",1,0))</f>
        <v/>
      </c>
      <c r="AO1080">
        <f>IF($AK1080=1,IFERROR(IF(VALUE($D1080)&lt;100000000,VALUE($D1080),1000000000),IFERROR(IF(VALUE(MID($D1080,2,20))&lt;100000000,VALUE(MID($D1080,2,20)),1000000000),1000000000))+ROW()/100000,"")</f>
        <v/>
      </c>
    </row>
    <row r="1081">
      <c r="F1081" s="11" t="n"/>
      <c r="N1081" s="7">
        <f>IF($D1081="","",M1081*V1081/100)</f>
        <v/>
      </c>
      <c r="O1081" s="7" t="n"/>
      <c r="U1081" s="7" t="n"/>
      <c r="V1081" s="7" t="n"/>
      <c r="W1081" s="7">
        <f>IF($D1081="","",V1081*AB1081/100)</f>
        <v/>
      </c>
      <c r="X1081" s="7">
        <f>IF($D1081="","",V1081-W1081)</f>
        <v/>
      </c>
      <c r="Y1081" s="7">
        <f>IF($D1081="","",X1081-N1081)</f>
        <v/>
      </c>
      <c r="AB1081">
        <f>IF($D1081="","",IF($AN1081=1,0,IF($AM1081=1,Settings!$C$6,Settings!$C$7))*100)</f>
        <v/>
      </c>
      <c r="AF1081" s="7" t="n"/>
      <c r="AI1081" s="11" t="n"/>
      <c r="AK1081">
        <f>IF($D1081="","",IF(COUNTIF($D$2:$D1081,$D1081)=1,1,0))</f>
        <v/>
      </c>
      <c r="AL1081">
        <f>IF($AK1081=1,SUMPRODUCT(--($AO$2:$AO$1501&lt;$AO1081))+1,"")</f>
        <v/>
      </c>
      <c r="AM1081">
        <f>IF($D1081="","",IF(OR($R1081=TRUE(),$R1081="TRUE"),1,0))</f>
        <v/>
      </c>
      <c r="AN1081">
        <f>IF($D1081="","",IF($AA1081="Yes",1,0))</f>
        <v/>
      </c>
      <c r="AO1081">
        <f>IF($AK1081=1,IFERROR(IF(VALUE($D1081)&lt;100000000,VALUE($D1081),1000000000),IFERROR(IF(VALUE(MID($D1081,2,20))&lt;100000000,VALUE(MID($D1081,2,20)),1000000000),1000000000))+ROW()/100000,"")</f>
        <v/>
      </c>
    </row>
    <row r="1082">
      <c r="F1082" s="11" t="n"/>
      <c r="N1082" s="7">
        <f>IF($D1082="","",M1082*V1082/100)</f>
        <v/>
      </c>
      <c r="O1082" s="7" t="n"/>
      <c r="U1082" s="7" t="n"/>
      <c r="V1082" s="7" t="n"/>
      <c r="W1082" s="7">
        <f>IF($D1082="","",V1082*AB1082/100)</f>
        <v/>
      </c>
      <c r="X1082" s="7">
        <f>IF($D1082="","",V1082-W1082)</f>
        <v/>
      </c>
      <c r="Y1082" s="7">
        <f>IF($D1082="","",X1082-N1082)</f>
        <v/>
      </c>
      <c r="AB1082">
        <f>IF($D1082="","",IF($AN1082=1,0,IF($AM1082=1,Settings!$C$6,Settings!$C$7))*100)</f>
        <v/>
      </c>
      <c r="AF1082" s="7" t="n"/>
      <c r="AI1082" s="11" t="n"/>
      <c r="AK1082">
        <f>IF($D1082="","",IF(COUNTIF($D$2:$D1082,$D1082)=1,1,0))</f>
        <v/>
      </c>
      <c r="AL1082">
        <f>IF($AK1082=1,SUMPRODUCT(--($AO$2:$AO$1501&lt;$AO1082))+1,"")</f>
        <v/>
      </c>
      <c r="AM1082">
        <f>IF($D1082="","",IF(OR($R1082=TRUE(),$R1082="TRUE"),1,0))</f>
        <v/>
      </c>
      <c r="AN1082">
        <f>IF($D1082="","",IF($AA1082="Yes",1,0))</f>
        <v/>
      </c>
      <c r="AO1082">
        <f>IF($AK1082=1,IFERROR(IF(VALUE($D1082)&lt;100000000,VALUE($D1082),1000000000),IFERROR(IF(VALUE(MID($D1082,2,20))&lt;100000000,VALUE(MID($D1082,2,20)),1000000000),1000000000))+ROW()/100000,"")</f>
        <v/>
      </c>
    </row>
    <row r="1083">
      <c r="F1083" s="11" t="n"/>
      <c r="N1083" s="7">
        <f>IF($D1083="","",M1083*V1083/100)</f>
        <v/>
      </c>
      <c r="O1083" s="7" t="n"/>
      <c r="U1083" s="7" t="n"/>
      <c r="V1083" s="7" t="n"/>
      <c r="W1083" s="7">
        <f>IF($D1083="","",V1083*AB1083/100)</f>
        <v/>
      </c>
      <c r="X1083" s="7">
        <f>IF($D1083="","",V1083-W1083)</f>
        <v/>
      </c>
      <c r="Y1083" s="7">
        <f>IF($D1083="","",X1083-N1083)</f>
        <v/>
      </c>
      <c r="AB1083">
        <f>IF($D1083="","",IF($AN1083=1,0,IF($AM1083=1,Settings!$C$6,Settings!$C$7))*100)</f>
        <v/>
      </c>
      <c r="AF1083" s="7" t="n"/>
      <c r="AI1083" s="11" t="n"/>
      <c r="AK1083">
        <f>IF($D1083="","",IF(COUNTIF($D$2:$D1083,$D1083)=1,1,0))</f>
        <v/>
      </c>
      <c r="AL1083">
        <f>IF($AK1083=1,SUMPRODUCT(--($AO$2:$AO$1501&lt;$AO1083))+1,"")</f>
        <v/>
      </c>
      <c r="AM1083">
        <f>IF($D1083="","",IF(OR($R1083=TRUE(),$R1083="TRUE"),1,0))</f>
        <v/>
      </c>
      <c r="AN1083">
        <f>IF($D1083="","",IF($AA1083="Yes",1,0))</f>
        <v/>
      </c>
      <c r="AO1083">
        <f>IF($AK1083=1,IFERROR(IF(VALUE($D1083)&lt;100000000,VALUE($D1083),1000000000),IFERROR(IF(VALUE(MID($D1083,2,20))&lt;100000000,VALUE(MID($D1083,2,20)),1000000000),1000000000))+ROW()/100000,"")</f>
        <v/>
      </c>
    </row>
    <row r="1084">
      <c r="F1084" s="11" t="n"/>
      <c r="N1084" s="7">
        <f>IF($D1084="","",M1084*V1084/100)</f>
        <v/>
      </c>
      <c r="O1084" s="7" t="n"/>
      <c r="U1084" s="7" t="n"/>
      <c r="V1084" s="7" t="n"/>
      <c r="W1084" s="7">
        <f>IF($D1084="","",V1084*AB1084/100)</f>
        <v/>
      </c>
      <c r="X1084" s="7">
        <f>IF($D1084="","",V1084-W1084)</f>
        <v/>
      </c>
      <c r="Y1084" s="7">
        <f>IF($D1084="","",X1084-N1084)</f>
        <v/>
      </c>
      <c r="AB1084">
        <f>IF($D1084="","",IF($AN1084=1,0,IF($AM1084=1,Settings!$C$6,Settings!$C$7))*100)</f>
        <v/>
      </c>
      <c r="AF1084" s="7" t="n"/>
      <c r="AI1084" s="11" t="n"/>
      <c r="AK1084">
        <f>IF($D1084="","",IF(COUNTIF($D$2:$D1084,$D1084)=1,1,0))</f>
        <v/>
      </c>
      <c r="AL1084">
        <f>IF($AK1084=1,SUMPRODUCT(--($AO$2:$AO$1501&lt;$AO1084))+1,"")</f>
        <v/>
      </c>
      <c r="AM1084">
        <f>IF($D1084="","",IF(OR($R1084=TRUE(),$R1084="TRUE"),1,0))</f>
        <v/>
      </c>
      <c r="AN1084">
        <f>IF($D1084="","",IF($AA1084="Yes",1,0))</f>
        <v/>
      </c>
      <c r="AO1084">
        <f>IF($AK1084=1,IFERROR(IF(VALUE($D1084)&lt;100000000,VALUE($D1084),1000000000),IFERROR(IF(VALUE(MID($D1084,2,20))&lt;100000000,VALUE(MID($D1084,2,20)),1000000000),1000000000))+ROW()/100000,"")</f>
        <v/>
      </c>
    </row>
    <row r="1085">
      <c r="F1085" s="11" t="n"/>
      <c r="N1085" s="7">
        <f>IF($D1085="","",M1085*V1085/100)</f>
        <v/>
      </c>
      <c r="O1085" s="7" t="n"/>
      <c r="U1085" s="7" t="n"/>
      <c r="V1085" s="7" t="n"/>
      <c r="W1085" s="7">
        <f>IF($D1085="","",V1085*AB1085/100)</f>
        <v/>
      </c>
      <c r="X1085" s="7">
        <f>IF($D1085="","",V1085-W1085)</f>
        <v/>
      </c>
      <c r="Y1085" s="7">
        <f>IF($D1085="","",X1085-N1085)</f>
        <v/>
      </c>
      <c r="AB1085">
        <f>IF($D1085="","",IF($AN1085=1,0,IF($AM1085=1,Settings!$C$6,Settings!$C$7))*100)</f>
        <v/>
      </c>
      <c r="AF1085" s="7" t="n"/>
      <c r="AI1085" s="11" t="n"/>
      <c r="AK1085">
        <f>IF($D1085="","",IF(COUNTIF($D$2:$D1085,$D1085)=1,1,0))</f>
        <v/>
      </c>
      <c r="AL1085">
        <f>IF($AK1085=1,SUMPRODUCT(--($AO$2:$AO$1501&lt;$AO1085))+1,"")</f>
        <v/>
      </c>
      <c r="AM1085">
        <f>IF($D1085="","",IF(OR($R1085=TRUE(),$R1085="TRUE"),1,0))</f>
        <v/>
      </c>
      <c r="AN1085">
        <f>IF($D1085="","",IF($AA1085="Yes",1,0))</f>
        <v/>
      </c>
      <c r="AO1085">
        <f>IF($AK1085=1,IFERROR(IF(VALUE($D1085)&lt;100000000,VALUE($D1085),1000000000),IFERROR(IF(VALUE(MID($D1085,2,20))&lt;100000000,VALUE(MID($D1085,2,20)),1000000000),1000000000))+ROW()/100000,"")</f>
        <v/>
      </c>
    </row>
    <row r="1086">
      <c r="F1086" s="11" t="n"/>
      <c r="N1086" s="7">
        <f>IF($D1086="","",M1086*V1086/100)</f>
        <v/>
      </c>
      <c r="O1086" s="7" t="n"/>
      <c r="U1086" s="7" t="n"/>
      <c r="V1086" s="7" t="n"/>
      <c r="W1086" s="7">
        <f>IF($D1086="","",V1086*AB1086/100)</f>
        <v/>
      </c>
      <c r="X1086" s="7">
        <f>IF($D1086="","",V1086-W1086)</f>
        <v/>
      </c>
      <c r="Y1086" s="7">
        <f>IF($D1086="","",X1086-N1086)</f>
        <v/>
      </c>
      <c r="AB1086">
        <f>IF($D1086="","",IF($AN1086=1,0,IF($AM1086=1,Settings!$C$6,Settings!$C$7))*100)</f>
        <v/>
      </c>
      <c r="AF1086" s="7" t="n"/>
      <c r="AI1086" s="11" t="n"/>
      <c r="AK1086">
        <f>IF($D1086="","",IF(COUNTIF($D$2:$D1086,$D1086)=1,1,0))</f>
        <v/>
      </c>
      <c r="AL1086">
        <f>IF($AK1086=1,SUMPRODUCT(--($AO$2:$AO$1501&lt;$AO1086))+1,"")</f>
        <v/>
      </c>
      <c r="AM1086">
        <f>IF($D1086="","",IF(OR($R1086=TRUE(),$R1086="TRUE"),1,0))</f>
        <v/>
      </c>
      <c r="AN1086">
        <f>IF($D1086="","",IF($AA1086="Yes",1,0))</f>
        <v/>
      </c>
      <c r="AO1086">
        <f>IF($AK1086=1,IFERROR(IF(VALUE($D1086)&lt;100000000,VALUE($D1086),1000000000),IFERROR(IF(VALUE(MID($D1086,2,20))&lt;100000000,VALUE(MID($D1086,2,20)),1000000000),1000000000))+ROW()/100000,"")</f>
        <v/>
      </c>
    </row>
    <row r="1087">
      <c r="F1087" s="11" t="n"/>
      <c r="N1087" s="7">
        <f>IF($D1087="","",M1087*V1087/100)</f>
        <v/>
      </c>
      <c r="O1087" s="7" t="n"/>
      <c r="U1087" s="7" t="n"/>
      <c r="V1087" s="7" t="n"/>
      <c r="W1087" s="7">
        <f>IF($D1087="","",V1087*AB1087/100)</f>
        <v/>
      </c>
      <c r="X1087" s="7">
        <f>IF($D1087="","",V1087-W1087)</f>
        <v/>
      </c>
      <c r="Y1087" s="7">
        <f>IF($D1087="","",X1087-N1087)</f>
        <v/>
      </c>
      <c r="AB1087">
        <f>IF($D1087="","",IF($AN1087=1,0,IF($AM1087=1,Settings!$C$6,Settings!$C$7))*100)</f>
        <v/>
      </c>
      <c r="AF1087" s="7" t="n"/>
      <c r="AI1087" s="11" t="n"/>
      <c r="AK1087">
        <f>IF($D1087="","",IF(COUNTIF($D$2:$D1087,$D1087)=1,1,0))</f>
        <v/>
      </c>
      <c r="AL1087">
        <f>IF($AK1087=1,SUMPRODUCT(--($AO$2:$AO$1501&lt;$AO1087))+1,"")</f>
        <v/>
      </c>
      <c r="AM1087">
        <f>IF($D1087="","",IF(OR($R1087=TRUE(),$R1087="TRUE"),1,0))</f>
        <v/>
      </c>
      <c r="AN1087">
        <f>IF($D1087="","",IF($AA1087="Yes",1,0))</f>
        <v/>
      </c>
      <c r="AO1087">
        <f>IF($AK1087=1,IFERROR(IF(VALUE($D1087)&lt;100000000,VALUE($D1087),1000000000),IFERROR(IF(VALUE(MID($D1087,2,20))&lt;100000000,VALUE(MID($D1087,2,20)),1000000000),1000000000))+ROW()/100000,"")</f>
        <v/>
      </c>
    </row>
    <row r="1088">
      <c r="F1088" s="11" t="n"/>
      <c r="N1088" s="7">
        <f>IF($D1088="","",M1088*V1088/100)</f>
        <v/>
      </c>
      <c r="O1088" s="7" t="n"/>
      <c r="U1088" s="7" t="n"/>
      <c r="V1088" s="7" t="n"/>
      <c r="W1088" s="7">
        <f>IF($D1088="","",V1088*AB1088/100)</f>
        <v/>
      </c>
      <c r="X1088" s="7">
        <f>IF($D1088="","",V1088-W1088)</f>
        <v/>
      </c>
      <c r="Y1088" s="7">
        <f>IF($D1088="","",X1088-N1088)</f>
        <v/>
      </c>
      <c r="AB1088">
        <f>IF($D1088="","",IF($AN1088=1,0,IF($AM1088=1,Settings!$C$6,Settings!$C$7))*100)</f>
        <v/>
      </c>
      <c r="AF1088" s="7" t="n"/>
      <c r="AI1088" s="11" t="n"/>
      <c r="AK1088">
        <f>IF($D1088="","",IF(COUNTIF($D$2:$D1088,$D1088)=1,1,0))</f>
        <v/>
      </c>
      <c r="AL1088">
        <f>IF($AK1088=1,SUMPRODUCT(--($AO$2:$AO$1501&lt;$AO1088))+1,"")</f>
        <v/>
      </c>
      <c r="AM1088">
        <f>IF($D1088="","",IF(OR($R1088=TRUE(),$R1088="TRUE"),1,0))</f>
        <v/>
      </c>
      <c r="AN1088">
        <f>IF($D1088="","",IF($AA1088="Yes",1,0))</f>
        <v/>
      </c>
      <c r="AO1088">
        <f>IF($AK1088=1,IFERROR(IF(VALUE($D1088)&lt;100000000,VALUE($D1088),1000000000),IFERROR(IF(VALUE(MID($D1088,2,20))&lt;100000000,VALUE(MID($D1088,2,20)),1000000000),1000000000))+ROW()/100000,"")</f>
        <v/>
      </c>
    </row>
    <row r="1089">
      <c r="F1089" s="11" t="n"/>
      <c r="N1089" s="7">
        <f>IF($D1089="","",M1089*V1089/100)</f>
        <v/>
      </c>
      <c r="O1089" s="7" t="n"/>
      <c r="U1089" s="7" t="n"/>
      <c r="V1089" s="7" t="n"/>
      <c r="W1089" s="7">
        <f>IF($D1089="","",V1089*AB1089/100)</f>
        <v/>
      </c>
      <c r="X1089" s="7">
        <f>IF($D1089="","",V1089-W1089)</f>
        <v/>
      </c>
      <c r="Y1089" s="7">
        <f>IF($D1089="","",X1089-N1089)</f>
        <v/>
      </c>
      <c r="AB1089">
        <f>IF($D1089="","",IF($AN1089=1,0,IF($AM1089=1,Settings!$C$6,Settings!$C$7))*100)</f>
        <v/>
      </c>
      <c r="AF1089" s="7" t="n"/>
      <c r="AI1089" s="11" t="n"/>
      <c r="AK1089">
        <f>IF($D1089="","",IF(COUNTIF($D$2:$D1089,$D1089)=1,1,0))</f>
        <v/>
      </c>
      <c r="AL1089">
        <f>IF($AK1089=1,SUMPRODUCT(--($AO$2:$AO$1501&lt;$AO1089))+1,"")</f>
        <v/>
      </c>
      <c r="AM1089">
        <f>IF($D1089="","",IF(OR($R1089=TRUE(),$R1089="TRUE"),1,0))</f>
        <v/>
      </c>
      <c r="AN1089">
        <f>IF($D1089="","",IF($AA1089="Yes",1,0))</f>
        <v/>
      </c>
      <c r="AO1089">
        <f>IF($AK1089=1,IFERROR(IF(VALUE($D1089)&lt;100000000,VALUE($D1089),1000000000),IFERROR(IF(VALUE(MID($D1089,2,20))&lt;100000000,VALUE(MID($D1089,2,20)),1000000000),1000000000))+ROW()/100000,"")</f>
        <v/>
      </c>
    </row>
    <row r="1090">
      <c r="F1090" s="11" t="n"/>
      <c r="N1090" s="7">
        <f>IF($D1090="","",M1090*V1090/100)</f>
        <v/>
      </c>
      <c r="O1090" s="7" t="n"/>
      <c r="U1090" s="7" t="n"/>
      <c r="V1090" s="7" t="n"/>
      <c r="W1090" s="7">
        <f>IF($D1090="","",V1090*AB1090/100)</f>
        <v/>
      </c>
      <c r="X1090" s="7">
        <f>IF($D1090="","",V1090-W1090)</f>
        <v/>
      </c>
      <c r="Y1090" s="7">
        <f>IF($D1090="","",X1090-N1090)</f>
        <v/>
      </c>
      <c r="AB1090">
        <f>IF($D1090="","",IF($AN1090=1,0,IF($AM1090=1,Settings!$C$6,Settings!$C$7))*100)</f>
        <v/>
      </c>
      <c r="AF1090" s="7" t="n"/>
      <c r="AI1090" s="11" t="n"/>
      <c r="AK1090">
        <f>IF($D1090="","",IF(COUNTIF($D$2:$D1090,$D1090)=1,1,0))</f>
        <v/>
      </c>
      <c r="AL1090">
        <f>IF($AK1090=1,SUMPRODUCT(--($AO$2:$AO$1501&lt;$AO1090))+1,"")</f>
        <v/>
      </c>
      <c r="AM1090">
        <f>IF($D1090="","",IF(OR($R1090=TRUE(),$R1090="TRUE"),1,0))</f>
        <v/>
      </c>
      <c r="AN1090">
        <f>IF($D1090="","",IF($AA1090="Yes",1,0))</f>
        <v/>
      </c>
      <c r="AO1090">
        <f>IF($AK1090=1,IFERROR(IF(VALUE($D1090)&lt;100000000,VALUE($D1090),1000000000),IFERROR(IF(VALUE(MID($D1090,2,20))&lt;100000000,VALUE(MID($D1090,2,20)),1000000000),1000000000))+ROW()/100000,"")</f>
        <v/>
      </c>
    </row>
    <row r="1091">
      <c r="F1091" s="11" t="n"/>
      <c r="N1091" s="7">
        <f>IF($D1091="","",M1091*V1091/100)</f>
        <v/>
      </c>
      <c r="O1091" s="7" t="n"/>
      <c r="U1091" s="7" t="n"/>
      <c r="V1091" s="7" t="n"/>
      <c r="W1091" s="7">
        <f>IF($D1091="","",V1091*AB1091/100)</f>
        <v/>
      </c>
      <c r="X1091" s="7">
        <f>IF($D1091="","",V1091-W1091)</f>
        <v/>
      </c>
      <c r="Y1091" s="7">
        <f>IF($D1091="","",X1091-N1091)</f>
        <v/>
      </c>
      <c r="AB1091">
        <f>IF($D1091="","",IF($AN1091=1,0,IF($AM1091=1,Settings!$C$6,Settings!$C$7))*100)</f>
        <v/>
      </c>
      <c r="AF1091" s="7" t="n"/>
      <c r="AI1091" s="11" t="n"/>
      <c r="AK1091">
        <f>IF($D1091="","",IF(COUNTIF($D$2:$D1091,$D1091)=1,1,0))</f>
        <v/>
      </c>
      <c r="AL1091">
        <f>IF($AK1091=1,SUMPRODUCT(--($AO$2:$AO$1501&lt;$AO1091))+1,"")</f>
        <v/>
      </c>
      <c r="AM1091">
        <f>IF($D1091="","",IF(OR($R1091=TRUE(),$R1091="TRUE"),1,0))</f>
        <v/>
      </c>
      <c r="AN1091">
        <f>IF($D1091="","",IF($AA1091="Yes",1,0))</f>
        <v/>
      </c>
      <c r="AO1091">
        <f>IF($AK1091=1,IFERROR(IF(VALUE($D1091)&lt;100000000,VALUE($D1091),1000000000),IFERROR(IF(VALUE(MID($D1091,2,20))&lt;100000000,VALUE(MID($D1091,2,20)),1000000000),1000000000))+ROW()/100000,"")</f>
        <v/>
      </c>
    </row>
    <row r="1092">
      <c r="F1092" s="11" t="n"/>
      <c r="N1092" s="7">
        <f>IF($D1092="","",M1092*V1092/100)</f>
        <v/>
      </c>
      <c r="O1092" s="7" t="n"/>
      <c r="U1092" s="7" t="n"/>
      <c r="V1092" s="7" t="n"/>
      <c r="W1092" s="7">
        <f>IF($D1092="","",V1092*AB1092/100)</f>
        <v/>
      </c>
      <c r="X1092" s="7">
        <f>IF($D1092="","",V1092-W1092)</f>
        <v/>
      </c>
      <c r="Y1092" s="7">
        <f>IF($D1092="","",X1092-N1092)</f>
        <v/>
      </c>
      <c r="AB1092">
        <f>IF($D1092="","",IF($AN1092=1,0,IF($AM1092=1,Settings!$C$6,Settings!$C$7))*100)</f>
        <v/>
      </c>
      <c r="AF1092" s="7" t="n"/>
      <c r="AI1092" s="11" t="n"/>
      <c r="AK1092">
        <f>IF($D1092="","",IF(COUNTIF($D$2:$D1092,$D1092)=1,1,0))</f>
        <v/>
      </c>
      <c r="AL1092">
        <f>IF($AK1092=1,SUMPRODUCT(--($AO$2:$AO$1501&lt;$AO1092))+1,"")</f>
        <v/>
      </c>
      <c r="AM1092">
        <f>IF($D1092="","",IF(OR($R1092=TRUE(),$R1092="TRUE"),1,0))</f>
        <v/>
      </c>
      <c r="AN1092">
        <f>IF($D1092="","",IF($AA1092="Yes",1,0))</f>
        <v/>
      </c>
      <c r="AO1092">
        <f>IF($AK1092=1,IFERROR(IF(VALUE($D1092)&lt;100000000,VALUE($D1092),1000000000),IFERROR(IF(VALUE(MID($D1092,2,20))&lt;100000000,VALUE(MID($D1092,2,20)),1000000000),1000000000))+ROW()/100000,"")</f>
        <v/>
      </c>
    </row>
    <row r="1093">
      <c r="F1093" s="11" t="n"/>
      <c r="N1093" s="7">
        <f>IF($D1093="","",M1093*V1093/100)</f>
        <v/>
      </c>
      <c r="O1093" s="7" t="n"/>
      <c r="U1093" s="7" t="n"/>
      <c r="V1093" s="7" t="n"/>
      <c r="W1093" s="7">
        <f>IF($D1093="","",V1093*AB1093/100)</f>
        <v/>
      </c>
      <c r="X1093" s="7">
        <f>IF($D1093="","",V1093-W1093)</f>
        <v/>
      </c>
      <c r="Y1093" s="7">
        <f>IF($D1093="","",X1093-N1093)</f>
        <v/>
      </c>
      <c r="AB1093">
        <f>IF($D1093="","",IF($AN1093=1,0,IF($AM1093=1,Settings!$C$6,Settings!$C$7))*100)</f>
        <v/>
      </c>
      <c r="AF1093" s="7" t="n"/>
      <c r="AI1093" s="11" t="n"/>
      <c r="AK1093">
        <f>IF($D1093="","",IF(COUNTIF($D$2:$D1093,$D1093)=1,1,0))</f>
        <v/>
      </c>
      <c r="AL1093">
        <f>IF($AK1093=1,SUMPRODUCT(--($AO$2:$AO$1501&lt;$AO1093))+1,"")</f>
        <v/>
      </c>
      <c r="AM1093">
        <f>IF($D1093="","",IF(OR($R1093=TRUE(),$R1093="TRUE"),1,0))</f>
        <v/>
      </c>
      <c r="AN1093">
        <f>IF($D1093="","",IF($AA1093="Yes",1,0))</f>
        <v/>
      </c>
      <c r="AO1093">
        <f>IF($AK1093=1,IFERROR(IF(VALUE($D1093)&lt;100000000,VALUE($D1093),1000000000),IFERROR(IF(VALUE(MID($D1093,2,20))&lt;100000000,VALUE(MID($D1093,2,20)),1000000000),1000000000))+ROW()/100000,"")</f>
        <v/>
      </c>
    </row>
    <row r="1094">
      <c r="F1094" s="11" t="n"/>
      <c r="N1094" s="7">
        <f>IF($D1094="","",M1094*V1094/100)</f>
        <v/>
      </c>
      <c r="O1094" s="7" t="n"/>
      <c r="U1094" s="7" t="n"/>
      <c r="V1094" s="7" t="n"/>
      <c r="W1094" s="7">
        <f>IF($D1094="","",V1094*AB1094/100)</f>
        <v/>
      </c>
      <c r="X1094" s="7">
        <f>IF($D1094="","",V1094-W1094)</f>
        <v/>
      </c>
      <c r="Y1094" s="7">
        <f>IF($D1094="","",X1094-N1094)</f>
        <v/>
      </c>
      <c r="AB1094">
        <f>IF($D1094="","",IF($AN1094=1,0,IF($AM1094=1,Settings!$C$6,Settings!$C$7))*100)</f>
        <v/>
      </c>
      <c r="AF1094" s="7" t="n"/>
      <c r="AI1094" s="11" t="n"/>
      <c r="AK1094">
        <f>IF($D1094="","",IF(COUNTIF($D$2:$D1094,$D1094)=1,1,0))</f>
        <v/>
      </c>
      <c r="AL1094">
        <f>IF($AK1094=1,SUMPRODUCT(--($AO$2:$AO$1501&lt;$AO1094))+1,"")</f>
        <v/>
      </c>
      <c r="AM1094">
        <f>IF($D1094="","",IF(OR($R1094=TRUE(),$R1094="TRUE"),1,0))</f>
        <v/>
      </c>
      <c r="AN1094">
        <f>IF($D1094="","",IF($AA1094="Yes",1,0))</f>
        <v/>
      </c>
      <c r="AO1094">
        <f>IF($AK1094=1,IFERROR(IF(VALUE($D1094)&lt;100000000,VALUE($D1094),1000000000),IFERROR(IF(VALUE(MID($D1094,2,20))&lt;100000000,VALUE(MID($D1094,2,20)),1000000000),1000000000))+ROW()/100000,"")</f>
        <v/>
      </c>
    </row>
    <row r="1095">
      <c r="F1095" s="11" t="n"/>
      <c r="N1095" s="7">
        <f>IF($D1095="","",M1095*V1095/100)</f>
        <v/>
      </c>
      <c r="O1095" s="7" t="n"/>
      <c r="U1095" s="7" t="n"/>
      <c r="V1095" s="7" t="n"/>
      <c r="W1095" s="7">
        <f>IF($D1095="","",V1095*AB1095/100)</f>
        <v/>
      </c>
      <c r="X1095" s="7">
        <f>IF($D1095="","",V1095-W1095)</f>
        <v/>
      </c>
      <c r="Y1095" s="7">
        <f>IF($D1095="","",X1095-N1095)</f>
        <v/>
      </c>
      <c r="AB1095">
        <f>IF($D1095="","",IF($AN1095=1,0,IF($AM1095=1,Settings!$C$6,Settings!$C$7))*100)</f>
        <v/>
      </c>
      <c r="AF1095" s="7" t="n"/>
      <c r="AI1095" s="11" t="n"/>
      <c r="AK1095">
        <f>IF($D1095="","",IF(COUNTIF($D$2:$D1095,$D1095)=1,1,0))</f>
        <v/>
      </c>
      <c r="AL1095">
        <f>IF($AK1095=1,SUMPRODUCT(--($AO$2:$AO$1501&lt;$AO1095))+1,"")</f>
        <v/>
      </c>
      <c r="AM1095">
        <f>IF($D1095="","",IF(OR($R1095=TRUE(),$R1095="TRUE"),1,0))</f>
        <v/>
      </c>
      <c r="AN1095">
        <f>IF($D1095="","",IF($AA1095="Yes",1,0))</f>
        <v/>
      </c>
      <c r="AO1095">
        <f>IF($AK1095=1,IFERROR(IF(VALUE($D1095)&lt;100000000,VALUE($D1095),1000000000),IFERROR(IF(VALUE(MID($D1095,2,20))&lt;100000000,VALUE(MID($D1095,2,20)),1000000000),1000000000))+ROW()/100000,"")</f>
        <v/>
      </c>
    </row>
    <row r="1096">
      <c r="F1096" s="11" t="n"/>
      <c r="N1096" s="7">
        <f>IF($D1096="","",M1096*V1096/100)</f>
        <v/>
      </c>
      <c r="O1096" s="7" t="n"/>
      <c r="U1096" s="7" t="n"/>
      <c r="V1096" s="7" t="n"/>
      <c r="W1096" s="7">
        <f>IF($D1096="","",V1096*AB1096/100)</f>
        <v/>
      </c>
      <c r="X1096" s="7">
        <f>IF($D1096="","",V1096-W1096)</f>
        <v/>
      </c>
      <c r="Y1096" s="7">
        <f>IF($D1096="","",X1096-N1096)</f>
        <v/>
      </c>
      <c r="AB1096">
        <f>IF($D1096="","",IF($AN1096=1,0,IF($AM1096=1,Settings!$C$6,Settings!$C$7))*100)</f>
        <v/>
      </c>
      <c r="AF1096" s="7" t="n"/>
      <c r="AI1096" s="11" t="n"/>
      <c r="AK1096">
        <f>IF($D1096="","",IF(COUNTIF($D$2:$D1096,$D1096)=1,1,0))</f>
        <v/>
      </c>
      <c r="AL1096">
        <f>IF($AK1096=1,SUMPRODUCT(--($AO$2:$AO$1501&lt;$AO1096))+1,"")</f>
        <v/>
      </c>
      <c r="AM1096">
        <f>IF($D1096="","",IF(OR($R1096=TRUE(),$R1096="TRUE"),1,0))</f>
        <v/>
      </c>
      <c r="AN1096">
        <f>IF($D1096="","",IF($AA1096="Yes",1,0))</f>
        <v/>
      </c>
      <c r="AO1096">
        <f>IF($AK1096=1,IFERROR(IF(VALUE($D1096)&lt;100000000,VALUE($D1096),1000000000),IFERROR(IF(VALUE(MID($D1096,2,20))&lt;100000000,VALUE(MID($D1096,2,20)),1000000000),1000000000))+ROW()/100000,"")</f>
        <v/>
      </c>
    </row>
    <row r="1097">
      <c r="F1097" s="11" t="n"/>
      <c r="N1097" s="7">
        <f>IF($D1097="","",M1097*V1097/100)</f>
        <v/>
      </c>
      <c r="O1097" s="7" t="n"/>
      <c r="U1097" s="7" t="n"/>
      <c r="V1097" s="7" t="n"/>
      <c r="W1097" s="7">
        <f>IF($D1097="","",V1097*AB1097/100)</f>
        <v/>
      </c>
      <c r="X1097" s="7">
        <f>IF($D1097="","",V1097-W1097)</f>
        <v/>
      </c>
      <c r="Y1097" s="7">
        <f>IF($D1097="","",X1097-N1097)</f>
        <v/>
      </c>
      <c r="AB1097">
        <f>IF($D1097="","",IF($AN1097=1,0,IF($AM1097=1,Settings!$C$6,Settings!$C$7))*100)</f>
        <v/>
      </c>
      <c r="AF1097" s="7" t="n"/>
      <c r="AI1097" s="11" t="n"/>
      <c r="AK1097">
        <f>IF($D1097="","",IF(COUNTIF($D$2:$D1097,$D1097)=1,1,0))</f>
        <v/>
      </c>
      <c r="AL1097">
        <f>IF($AK1097=1,SUMPRODUCT(--($AO$2:$AO$1501&lt;$AO1097))+1,"")</f>
        <v/>
      </c>
      <c r="AM1097">
        <f>IF($D1097="","",IF(OR($R1097=TRUE(),$R1097="TRUE"),1,0))</f>
        <v/>
      </c>
      <c r="AN1097">
        <f>IF($D1097="","",IF($AA1097="Yes",1,0))</f>
        <v/>
      </c>
      <c r="AO1097">
        <f>IF($AK1097=1,IFERROR(IF(VALUE($D1097)&lt;100000000,VALUE($D1097),1000000000),IFERROR(IF(VALUE(MID($D1097,2,20))&lt;100000000,VALUE(MID($D1097,2,20)),1000000000),1000000000))+ROW()/100000,"")</f>
        <v/>
      </c>
    </row>
    <row r="1098">
      <c r="F1098" s="11" t="n"/>
      <c r="N1098" s="7">
        <f>IF($D1098="","",M1098*V1098/100)</f>
        <v/>
      </c>
      <c r="O1098" s="7" t="n"/>
      <c r="U1098" s="7" t="n"/>
      <c r="V1098" s="7" t="n"/>
      <c r="W1098" s="7">
        <f>IF($D1098="","",V1098*AB1098/100)</f>
        <v/>
      </c>
      <c r="X1098" s="7">
        <f>IF($D1098="","",V1098-W1098)</f>
        <v/>
      </c>
      <c r="Y1098" s="7">
        <f>IF($D1098="","",X1098-N1098)</f>
        <v/>
      </c>
      <c r="AB1098">
        <f>IF($D1098="","",IF($AN1098=1,0,IF($AM1098=1,Settings!$C$6,Settings!$C$7))*100)</f>
        <v/>
      </c>
      <c r="AF1098" s="7" t="n"/>
      <c r="AI1098" s="11" t="n"/>
      <c r="AK1098">
        <f>IF($D1098="","",IF(COUNTIF($D$2:$D1098,$D1098)=1,1,0))</f>
        <v/>
      </c>
      <c r="AL1098">
        <f>IF($AK1098=1,SUMPRODUCT(--($AO$2:$AO$1501&lt;$AO1098))+1,"")</f>
        <v/>
      </c>
      <c r="AM1098">
        <f>IF($D1098="","",IF(OR($R1098=TRUE(),$R1098="TRUE"),1,0))</f>
        <v/>
      </c>
      <c r="AN1098">
        <f>IF($D1098="","",IF($AA1098="Yes",1,0))</f>
        <v/>
      </c>
      <c r="AO1098">
        <f>IF($AK1098=1,IFERROR(IF(VALUE($D1098)&lt;100000000,VALUE($D1098),1000000000),IFERROR(IF(VALUE(MID($D1098,2,20))&lt;100000000,VALUE(MID($D1098,2,20)),1000000000),1000000000))+ROW()/100000,"")</f>
        <v/>
      </c>
    </row>
    <row r="1099">
      <c r="F1099" s="11" t="n"/>
      <c r="N1099" s="7">
        <f>IF($D1099="","",M1099*V1099/100)</f>
        <v/>
      </c>
      <c r="O1099" s="7" t="n"/>
      <c r="U1099" s="7" t="n"/>
      <c r="V1099" s="7" t="n"/>
      <c r="W1099" s="7">
        <f>IF($D1099="","",V1099*AB1099/100)</f>
        <v/>
      </c>
      <c r="X1099" s="7">
        <f>IF($D1099="","",V1099-W1099)</f>
        <v/>
      </c>
      <c r="Y1099" s="7">
        <f>IF($D1099="","",X1099-N1099)</f>
        <v/>
      </c>
      <c r="AB1099">
        <f>IF($D1099="","",IF($AN1099=1,0,IF($AM1099=1,Settings!$C$6,Settings!$C$7))*100)</f>
        <v/>
      </c>
      <c r="AF1099" s="7" t="n"/>
      <c r="AI1099" s="11" t="n"/>
      <c r="AK1099">
        <f>IF($D1099="","",IF(COUNTIF($D$2:$D1099,$D1099)=1,1,0))</f>
        <v/>
      </c>
      <c r="AL1099">
        <f>IF($AK1099=1,SUMPRODUCT(--($AO$2:$AO$1501&lt;$AO1099))+1,"")</f>
        <v/>
      </c>
      <c r="AM1099">
        <f>IF($D1099="","",IF(OR($R1099=TRUE(),$R1099="TRUE"),1,0))</f>
        <v/>
      </c>
      <c r="AN1099">
        <f>IF($D1099="","",IF($AA1099="Yes",1,0))</f>
        <v/>
      </c>
      <c r="AO1099">
        <f>IF($AK1099=1,IFERROR(IF(VALUE($D1099)&lt;100000000,VALUE($D1099),1000000000),IFERROR(IF(VALUE(MID($D1099,2,20))&lt;100000000,VALUE(MID($D1099,2,20)),1000000000),1000000000))+ROW()/100000,"")</f>
        <v/>
      </c>
    </row>
    <row r="1100">
      <c r="F1100" s="11" t="n"/>
      <c r="N1100" s="7">
        <f>IF($D1100="","",M1100*V1100/100)</f>
        <v/>
      </c>
      <c r="O1100" s="7" t="n"/>
      <c r="U1100" s="7" t="n"/>
      <c r="V1100" s="7" t="n"/>
      <c r="W1100" s="7">
        <f>IF($D1100="","",V1100*AB1100/100)</f>
        <v/>
      </c>
      <c r="X1100" s="7">
        <f>IF($D1100="","",V1100-W1100)</f>
        <v/>
      </c>
      <c r="Y1100" s="7">
        <f>IF($D1100="","",X1100-N1100)</f>
        <v/>
      </c>
      <c r="AB1100">
        <f>IF($D1100="","",IF($AN1100=1,0,IF($AM1100=1,Settings!$C$6,Settings!$C$7))*100)</f>
        <v/>
      </c>
      <c r="AF1100" s="7" t="n"/>
      <c r="AI1100" s="11" t="n"/>
      <c r="AK1100">
        <f>IF($D1100="","",IF(COUNTIF($D$2:$D1100,$D1100)=1,1,0))</f>
        <v/>
      </c>
      <c r="AL1100">
        <f>IF($AK1100=1,SUMPRODUCT(--($AO$2:$AO$1501&lt;$AO1100))+1,"")</f>
        <v/>
      </c>
      <c r="AM1100">
        <f>IF($D1100="","",IF(OR($R1100=TRUE(),$R1100="TRUE"),1,0))</f>
        <v/>
      </c>
      <c r="AN1100">
        <f>IF($D1100="","",IF($AA1100="Yes",1,0))</f>
        <v/>
      </c>
      <c r="AO1100">
        <f>IF($AK1100=1,IFERROR(IF(VALUE($D1100)&lt;100000000,VALUE($D1100),1000000000),IFERROR(IF(VALUE(MID($D1100,2,20))&lt;100000000,VALUE(MID($D1100,2,20)),1000000000),1000000000))+ROW()/100000,"")</f>
        <v/>
      </c>
    </row>
    <row r="1101">
      <c r="F1101" s="11" t="n"/>
      <c r="N1101" s="7">
        <f>IF($D1101="","",M1101*V1101/100)</f>
        <v/>
      </c>
      <c r="O1101" s="7" t="n"/>
      <c r="U1101" s="7" t="n"/>
      <c r="V1101" s="7" t="n"/>
      <c r="W1101" s="7">
        <f>IF($D1101="","",V1101*AB1101/100)</f>
        <v/>
      </c>
      <c r="X1101" s="7">
        <f>IF($D1101="","",V1101-W1101)</f>
        <v/>
      </c>
      <c r="Y1101" s="7">
        <f>IF($D1101="","",X1101-N1101)</f>
        <v/>
      </c>
      <c r="AB1101">
        <f>IF($D1101="","",IF($AN1101=1,0,IF($AM1101=1,Settings!$C$6,Settings!$C$7))*100)</f>
        <v/>
      </c>
      <c r="AF1101" s="7" t="n"/>
      <c r="AI1101" s="11" t="n"/>
      <c r="AK1101">
        <f>IF($D1101="","",IF(COUNTIF($D$2:$D1101,$D1101)=1,1,0))</f>
        <v/>
      </c>
      <c r="AL1101">
        <f>IF($AK1101=1,SUMPRODUCT(--($AO$2:$AO$1501&lt;$AO1101))+1,"")</f>
        <v/>
      </c>
      <c r="AM1101">
        <f>IF($D1101="","",IF(OR($R1101=TRUE(),$R1101="TRUE"),1,0))</f>
        <v/>
      </c>
      <c r="AN1101">
        <f>IF($D1101="","",IF($AA1101="Yes",1,0))</f>
        <v/>
      </c>
      <c r="AO1101">
        <f>IF($AK1101=1,IFERROR(IF(VALUE($D1101)&lt;100000000,VALUE($D1101),1000000000),IFERROR(IF(VALUE(MID($D1101,2,20))&lt;100000000,VALUE(MID($D1101,2,20)),1000000000),1000000000))+ROW()/100000,"")</f>
        <v/>
      </c>
    </row>
    <row r="1102">
      <c r="F1102" s="11" t="n"/>
      <c r="N1102" s="7">
        <f>IF($D1102="","",M1102*V1102/100)</f>
        <v/>
      </c>
      <c r="O1102" s="7" t="n"/>
      <c r="U1102" s="7" t="n"/>
      <c r="V1102" s="7" t="n"/>
      <c r="W1102" s="7">
        <f>IF($D1102="","",V1102*AB1102/100)</f>
        <v/>
      </c>
      <c r="X1102" s="7">
        <f>IF($D1102="","",V1102-W1102)</f>
        <v/>
      </c>
      <c r="Y1102" s="7">
        <f>IF($D1102="","",X1102-N1102)</f>
        <v/>
      </c>
      <c r="AB1102">
        <f>IF($D1102="","",IF($AN1102=1,0,IF($AM1102=1,Settings!$C$6,Settings!$C$7))*100)</f>
        <v/>
      </c>
      <c r="AF1102" s="7" t="n"/>
      <c r="AI1102" s="11" t="n"/>
      <c r="AK1102">
        <f>IF($D1102="","",IF(COUNTIF($D$2:$D1102,$D1102)=1,1,0))</f>
        <v/>
      </c>
      <c r="AL1102">
        <f>IF($AK1102=1,SUMPRODUCT(--($AO$2:$AO$1501&lt;$AO1102))+1,"")</f>
        <v/>
      </c>
      <c r="AM1102">
        <f>IF($D1102="","",IF(OR($R1102=TRUE(),$R1102="TRUE"),1,0))</f>
        <v/>
      </c>
      <c r="AN1102">
        <f>IF($D1102="","",IF($AA1102="Yes",1,0))</f>
        <v/>
      </c>
      <c r="AO1102">
        <f>IF($AK1102=1,IFERROR(IF(VALUE($D1102)&lt;100000000,VALUE($D1102),1000000000),IFERROR(IF(VALUE(MID($D1102,2,20))&lt;100000000,VALUE(MID($D1102,2,20)),1000000000),1000000000))+ROW()/100000,"")</f>
        <v/>
      </c>
    </row>
    <row r="1103">
      <c r="F1103" s="11" t="n"/>
      <c r="N1103" s="7">
        <f>IF($D1103="","",M1103*V1103/100)</f>
        <v/>
      </c>
      <c r="O1103" s="7" t="n"/>
      <c r="U1103" s="7" t="n"/>
      <c r="V1103" s="7" t="n"/>
      <c r="W1103" s="7">
        <f>IF($D1103="","",V1103*AB1103/100)</f>
        <v/>
      </c>
      <c r="X1103" s="7">
        <f>IF($D1103="","",V1103-W1103)</f>
        <v/>
      </c>
      <c r="Y1103" s="7">
        <f>IF($D1103="","",X1103-N1103)</f>
        <v/>
      </c>
      <c r="AB1103">
        <f>IF($D1103="","",IF($AN1103=1,0,IF($AM1103=1,Settings!$C$6,Settings!$C$7))*100)</f>
        <v/>
      </c>
      <c r="AF1103" s="7" t="n"/>
      <c r="AI1103" s="11" t="n"/>
      <c r="AK1103">
        <f>IF($D1103="","",IF(COUNTIF($D$2:$D1103,$D1103)=1,1,0))</f>
        <v/>
      </c>
      <c r="AL1103">
        <f>IF($AK1103=1,SUMPRODUCT(--($AO$2:$AO$1501&lt;$AO1103))+1,"")</f>
        <v/>
      </c>
      <c r="AM1103">
        <f>IF($D1103="","",IF(OR($R1103=TRUE(),$R1103="TRUE"),1,0))</f>
        <v/>
      </c>
      <c r="AN1103">
        <f>IF($D1103="","",IF($AA1103="Yes",1,0))</f>
        <v/>
      </c>
      <c r="AO1103">
        <f>IF($AK1103=1,IFERROR(IF(VALUE($D1103)&lt;100000000,VALUE($D1103),1000000000),IFERROR(IF(VALUE(MID($D1103,2,20))&lt;100000000,VALUE(MID($D1103,2,20)),1000000000),1000000000))+ROW()/100000,"")</f>
        <v/>
      </c>
    </row>
    <row r="1104">
      <c r="F1104" s="11" t="n"/>
      <c r="N1104" s="7">
        <f>IF($D1104="","",M1104*V1104/100)</f>
        <v/>
      </c>
      <c r="O1104" s="7" t="n"/>
      <c r="U1104" s="7" t="n"/>
      <c r="V1104" s="7" t="n"/>
      <c r="W1104" s="7">
        <f>IF($D1104="","",V1104*AB1104/100)</f>
        <v/>
      </c>
      <c r="X1104" s="7">
        <f>IF($D1104="","",V1104-W1104)</f>
        <v/>
      </c>
      <c r="Y1104" s="7">
        <f>IF($D1104="","",X1104-N1104)</f>
        <v/>
      </c>
      <c r="AB1104">
        <f>IF($D1104="","",IF($AN1104=1,0,IF($AM1104=1,Settings!$C$6,Settings!$C$7))*100)</f>
        <v/>
      </c>
      <c r="AF1104" s="7" t="n"/>
      <c r="AI1104" s="11" t="n"/>
      <c r="AK1104">
        <f>IF($D1104="","",IF(COUNTIF($D$2:$D1104,$D1104)=1,1,0))</f>
        <v/>
      </c>
      <c r="AL1104">
        <f>IF($AK1104=1,SUMPRODUCT(--($AO$2:$AO$1501&lt;$AO1104))+1,"")</f>
        <v/>
      </c>
      <c r="AM1104">
        <f>IF($D1104="","",IF(OR($R1104=TRUE(),$R1104="TRUE"),1,0))</f>
        <v/>
      </c>
      <c r="AN1104">
        <f>IF($D1104="","",IF($AA1104="Yes",1,0))</f>
        <v/>
      </c>
      <c r="AO1104">
        <f>IF($AK1104=1,IFERROR(IF(VALUE($D1104)&lt;100000000,VALUE($D1104),1000000000),IFERROR(IF(VALUE(MID($D1104,2,20))&lt;100000000,VALUE(MID($D1104,2,20)),1000000000),1000000000))+ROW()/100000,"")</f>
        <v/>
      </c>
    </row>
    <row r="1105">
      <c r="F1105" s="11" t="n"/>
      <c r="N1105" s="7">
        <f>IF($D1105="","",M1105*V1105/100)</f>
        <v/>
      </c>
      <c r="O1105" s="7" t="n"/>
      <c r="U1105" s="7" t="n"/>
      <c r="V1105" s="7" t="n"/>
      <c r="W1105" s="7">
        <f>IF($D1105="","",V1105*AB1105/100)</f>
        <v/>
      </c>
      <c r="X1105" s="7">
        <f>IF($D1105="","",V1105-W1105)</f>
        <v/>
      </c>
      <c r="Y1105" s="7">
        <f>IF($D1105="","",X1105-N1105)</f>
        <v/>
      </c>
      <c r="AB1105">
        <f>IF($D1105="","",IF($AN1105=1,0,IF($AM1105=1,Settings!$C$6,Settings!$C$7))*100)</f>
        <v/>
      </c>
      <c r="AF1105" s="7" t="n"/>
      <c r="AI1105" s="11" t="n"/>
      <c r="AK1105">
        <f>IF($D1105="","",IF(COUNTIF($D$2:$D1105,$D1105)=1,1,0))</f>
        <v/>
      </c>
      <c r="AL1105">
        <f>IF($AK1105=1,SUMPRODUCT(--($AO$2:$AO$1501&lt;$AO1105))+1,"")</f>
        <v/>
      </c>
      <c r="AM1105">
        <f>IF($D1105="","",IF(OR($R1105=TRUE(),$R1105="TRUE"),1,0))</f>
        <v/>
      </c>
      <c r="AN1105">
        <f>IF($D1105="","",IF($AA1105="Yes",1,0))</f>
        <v/>
      </c>
      <c r="AO1105">
        <f>IF($AK1105=1,IFERROR(IF(VALUE($D1105)&lt;100000000,VALUE($D1105),1000000000),IFERROR(IF(VALUE(MID($D1105,2,20))&lt;100000000,VALUE(MID($D1105,2,20)),1000000000),1000000000))+ROW()/100000,"")</f>
        <v/>
      </c>
    </row>
    <row r="1106">
      <c r="F1106" s="11" t="n"/>
      <c r="N1106" s="7">
        <f>IF($D1106="","",M1106*V1106/100)</f>
        <v/>
      </c>
      <c r="O1106" s="7" t="n"/>
      <c r="U1106" s="7" t="n"/>
      <c r="V1106" s="7" t="n"/>
      <c r="W1106" s="7">
        <f>IF($D1106="","",V1106*AB1106/100)</f>
        <v/>
      </c>
      <c r="X1106" s="7">
        <f>IF($D1106="","",V1106-W1106)</f>
        <v/>
      </c>
      <c r="Y1106" s="7">
        <f>IF($D1106="","",X1106-N1106)</f>
        <v/>
      </c>
      <c r="AB1106">
        <f>IF($D1106="","",IF($AN1106=1,0,IF($AM1106=1,Settings!$C$6,Settings!$C$7))*100)</f>
        <v/>
      </c>
      <c r="AF1106" s="7" t="n"/>
      <c r="AI1106" s="11" t="n"/>
      <c r="AK1106">
        <f>IF($D1106="","",IF(COUNTIF($D$2:$D1106,$D1106)=1,1,0))</f>
        <v/>
      </c>
      <c r="AL1106">
        <f>IF($AK1106=1,SUMPRODUCT(--($AO$2:$AO$1501&lt;$AO1106))+1,"")</f>
        <v/>
      </c>
      <c r="AM1106">
        <f>IF($D1106="","",IF(OR($R1106=TRUE(),$R1106="TRUE"),1,0))</f>
        <v/>
      </c>
      <c r="AN1106">
        <f>IF($D1106="","",IF($AA1106="Yes",1,0))</f>
        <v/>
      </c>
      <c r="AO1106">
        <f>IF($AK1106=1,IFERROR(IF(VALUE($D1106)&lt;100000000,VALUE($D1106),1000000000),IFERROR(IF(VALUE(MID($D1106,2,20))&lt;100000000,VALUE(MID($D1106,2,20)),1000000000),1000000000))+ROW()/100000,"")</f>
        <v/>
      </c>
    </row>
    <row r="1107">
      <c r="F1107" s="11" t="n"/>
      <c r="N1107" s="7">
        <f>IF($D1107="","",M1107*V1107/100)</f>
        <v/>
      </c>
      <c r="O1107" s="7" t="n"/>
      <c r="U1107" s="7" t="n"/>
      <c r="V1107" s="7" t="n"/>
      <c r="W1107" s="7">
        <f>IF($D1107="","",V1107*AB1107/100)</f>
        <v/>
      </c>
      <c r="X1107" s="7">
        <f>IF($D1107="","",V1107-W1107)</f>
        <v/>
      </c>
      <c r="Y1107" s="7">
        <f>IF($D1107="","",X1107-N1107)</f>
        <v/>
      </c>
      <c r="AB1107">
        <f>IF($D1107="","",IF($AN1107=1,0,IF($AM1107=1,Settings!$C$6,Settings!$C$7))*100)</f>
        <v/>
      </c>
      <c r="AF1107" s="7" t="n"/>
      <c r="AI1107" s="11" t="n"/>
      <c r="AK1107">
        <f>IF($D1107="","",IF(COUNTIF($D$2:$D1107,$D1107)=1,1,0))</f>
        <v/>
      </c>
      <c r="AL1107">
        <f>IF($AK1107=1,SUMPRODUCT(--($AO$2:$AO$1501&lt;$AO1107))+1,"")</f>
        <v/>
      </c>
      <c r="AM1107">
        <f>IF($D1107="","",IF(OR($R1107=TRUE(),$R1107="TRUE"),1,0))</f>
        <v/>
      </c>
      <c r="AN1107">
        <f>IF($D1107="","",IF($AA1107="Yes",1,0))</f>
        <v/>
      </c>
      <c r="AO1107">
        <f>IF($AK1107=1,IFERROR(IF(VALUE($D1107)&lt;100000000,VALUE($D1107),1000000000),IFERROR(IF(VALUE(MID($D1107,2,20))&lt;100000000,VALUE(MID($D1107,2,20)),1000000000),1000000000))+ROW()/100000,"")</f>
        <v/>
      </c>
    </row>
    <row r="1108">
      <c r="F1108" s="11" t="n"/>
      <c r="N1108" s="7">
        <f>IF($D1108="","",M1108*V1108/100)</f>
        <v/>
      </c>
      <c r="O1108" s="7" t="n"/>
      <c r="U1108" s="7" t="n"/>
      <c r="V1108" s="7" t="n"/>
      <c r="W1108" s="7">
        <f>IF($D1108="","",V1108*AB1108/100)</f>
        <v/>
      </c>
      <c r="X1108" s="7">
        <f>IF($D1108="","",V1108-W1108)</f>
        <v/>
      </c>
      <c r="Y1108" s="7">
        <f>IF($D1108="","",X1108-N1108)</f>
        <v/>
      </c>
      <c r="AB1108">
        <f>IF($D1108="","",IF($AN1108=1,0,IF($AM1108=1,Settings!$C$6,Settings!$C$7))*100)</f>
        <v/>
      </c>
      <c r="AF1108" s="7" t="n"/>
      <c r="AI1108" s="11" t="n"/>
      <c r="AK1108">
        <f>IF($D1108="","",IF(COUNTIF($D$2:$D1108,$D1108)=1,1,0))</f>
        <v/>
      </c>
      <c r="AL1108">
        <f>IF($AK1108=1,SUMPRODUCT(--($AO$2:$AO$1501&lt;$AO1108))+1,"")</f>
        <v/>
      </c>
      <c r="AM1108">
        <f>IF($D1108="","",IF(OR($R1108=TRUE(),$R1108="TRUE"),1,0))</f>
        <v/>
      </c>
      <c r="AN1108">
        <f>IF($D1108="","",IF($AA1108="Yes",1,0))</f>
        <v/>
      </c>
      <c r="AO1108">
        <f>IF($AK1108=1,IFERROR(IF(VALUE($D1108)&lt;100000000,VALUE($D1108),1000000000),IFERROR(IF(VALUE(MID($D1108,2,20))&lt;100000000,VALUE(MID($D1108,2,20)),1000000000),1000000000))+ROW()/100000,"")</f>
        <v/>
      </c>
    </row>
    <row r="1109">
      <c r="F1109" s="11" t="n"/>
      <c r="N1109" s="7">
        <f>IF($D1109="","",M1109*V1109/100)</f>
        <v/>
      </c>
      <c r="O1109" s="7" t="n"/>
      <c r="U1109" s="7" t="n"/>
      <c r="V1109" s="7" t="n"/>
      <c r="W1109" s="7">
        <f>IF($D1109="","",V1109*AB1109/100)</f>
        <v/>
      </c>
      <c r="X1109" s="7">
        <f>IF($D1109="","",V1109-W1109)</f>
        <v/>
      </c>
      <c r="Y1109" s="7">
        <f>IF($D1109="","",X1109-N1109)</f>
        <v/>
      </c>
      <c r="AB1109">
        <f>IF($D1109="","",IF($AN1109=1,0,IF($AM1109=1,Settings!$C$6,Settings!$C$7))*100)</f>
        <v/>
      </c>
      <c r="AF1109" s="7" t="n"/>
      <c r="AI1109" s="11" t="n"/>
      <c r="AK1109">
        <f>IF($D1109="","",IF(COUNTIF($D$2:$D1109,$D1109)=1,1,0))</f>
        <v/>
      </c>
      <c r="AL1109">
        <f>IF($AK1109=1,SUMPRODUCT(--($AO$2:$AO$1501&lt;$AO1109))+1,"")</f>
        <v/>
      </c>
      <c r="AM1109">
        <f>IF($D1109="","",IF(OR($R1109=TRUE(),$R1109="TRUE"),1,0))</f>
        <v/>
      </c>
      <c r="AN1109">
        <f>IF($D1109="","",IF($AA1109="Yes",1,0))</f>
        <v/>
      </c>
      <c r="AO1109">
        <f>IF($AK1109=1,IFERROR(IF(VALUE($D1109)&lt;100000000,VALUE($D1109),1000000000),IFERROR(IF(VALUE(MID($D1109,2,20))&lt;100000000,VALUE(MID($D1109,2,20)),1000000000),1000000000))+ROW()/100000,"")</f>
        <v/>
      </c>
    </row>
    <row r="1110">
      <c r="F1110" s="11" t="n"/>
      <c r="N1110" s="7">
        <f>IF($D1110="","",M1110*V1110/100)</f>
        <v/>
      </c>
      <c r="O1110" s="7" t="n"/>
      <c r="U1110" s="7" t="n"/>
      <c r="V1110" s="7" t="n"/>
      <c r="W1110" s="7">
        <f>IF($D1110="","",V1110*AB1110/100)</f>
        <v/>
      </c>
      <c r="X1110" s="7">
        <f>IF($D1110="","",V1110-W1110)</f>
        <v/>
      </c>
      <c r="Y1110" s="7">
        <f>IF($D1110="","",X1110-N1110)</f>
        <v/>
      </c>
      <c r="AB1110">
        <f>IF($D1110="","",IF($AN1110=1,0,IF($AM1110=1,Settings!$C$6,Settings!$C$7))*100)</f>
        <v/>
      </c>
      <c r="AF1110" s="7" t="n"/>
      <c r="AI1110" s="11" t="n"/>
      <c r="AK1110">
        <f>IF($D1110="","",IF(COUNTIF($D$2:$D1110,$D1110)=1,1,0))</f>
        <v/>
      </c>
      <c r="AL1110">
        <f>IF($AK1110=1,SUMPRODUCT(--($AO$2:$AO$1501&lt;$AO1110))+1,"")</f>
        <v/>
      </c>
      <c r="AM1110">
        <f>IF($D1110="","",IF(OR($R1110=TRUE(),$R1110="TRUE"),1,0))</f>
        <v/>
      </c>
      <c r="AN1110">
        <f>IF($D1110="","",IF($AA1110="Yes",1,0))</f>
        <v/>
      </c>
      <c r="AO1110">
        <f>IF($AK1110=1,IFERROR(IF(VALUE($D1110)&lt;100000000,VALUE($D1110),1000000000),IFERROR(IF(VALUE(MID($D1110,2,20))&lt;100000000,VALUE(MID($D1110,2,20)),1000000000),1000000000))+ROW()/100000,"")</f>
        <v/>
      </c>
    </row>
    <row r="1111">
      <c r="F1111" s="11" t="n"/>
      <c r="N1111" s="7">
        <f>IF($D1111="","",M1111*V1111/100)</f>
        <v/>
      </c>
      <c r="O1111" s="7" t="n"/>
      <c r="U1111" s="7" t="n"/>
      <c r="V1111" s="7" t="n"/>
      <c r="W1111" s="7">
        <f>IF($D1111="","",V1111*AB1111/100)</f>
        <v/>
      </c>
      <c r="X1111" s="7">
        <f>IF($D1111="","",V1111-W1111)</f>
        <v/>
      </c>
      <c r="Y1111" s="7">
        <f>IF($D1111="","",X1111-N1111)</f>
        <v/>
      </c>
      <c r="AB1111">
        <f>IF($D1111="","",IF($AN1111=1,0,IF($AM1111=1,Settings!$C$6,Settings!$C$7))*100)</f>
        <v/>
      </c>
      <c r="AF1111" s="7" t="n"/>
      <c r="AI1111" s="11" t="n"/>
      <c r="AK1111">
        <f>IF($D1111="","",IF(COUNTIF($D$2:$D1111,$D1111)=1,1,0))</f>
        <v/>
      </c>
      <c r="AL1111">
        <f>IF($AK1111=1,SUMPRODUCT(--($AO$2:$AO$1501&lt;$AO1111))+1,"")</f>
        <v/>
      </c>
      <c r="AM1111">
        <f>IF($D1111="","",IF(OR($R1111=TRUE(),$R1111="TRUE"),1,0))</f>
        <v/>
      </c>
      <c r="AN1111">
        <f>IF($D1111="","",IF($AA1111="Yes",1,0))</f>
        <v/>
      </c>
      <c r="AO1111">
        <f>IF($AK1111=1,IFERROR(IF(VALUE($D1111)&lt;100000000,VALUE($D1111),1000000000),IFERROR(IF(VALUE(MID($D1111,2,20))&lt;100000000,VALUE(MID($D1111,2,20)),1000000000),1000000000))+ROW()/100000,"")</f>
        <v/>
      </c>
    </row>
    <row r="1112">
      <c r="F1112" s="11" t="n"/>
      <c r="N1112" s="7">
        <f>IF($D1112="","",M1112*V1112/100)</f>
        <v/>
      </c>
      <c r="O1112" s="7" t="n"/>
      <c r="U1112" s="7" t="n"/>
      <c r="V1112" s="7" t="n"/>
      <c r="W1112" s="7">
        <f>IF($D1112="","",V1112*AB1112/100)</f>
        <v/>
      </c>
      <c r="X1112" s="7">
        <f>IF($D1112="","",V1112-W1112)</f>
        <v/>
      </c>
      <c r="Y1112" s="7">
        <f>IF($D1112="","",X1112-N1112)</f>
        <v/>
      </c>
      <c r="AB1112">
        <f>IF($D1112="","",IF($AN1112=1,0,IF($AM1112=1,Settings!$C$6,Settings!$C$7))*100)</f>
        <v/>
      </c>
      <c r="AF1112" s="7" t="n"/>
      <c r="AI1112" s="11" t="n"/>
      <c r="AK1112">
        <f>IF($D1112="","",IF(COUNTIF($D$2:$D1112,$D1112)=1,1,0))</f>
        <v/>
      </c>
      <c r="AL1112">
        <f>IF($AK1112=1,SUMPRODUCT(--($AO$2:$AO$1501&lt;$AO1112))+1,"")</f>
        <v/>
      </c>
      <c r="AM1112">
        <f>IF($D1112="","",IF(OR($R1112=TRUE(),$R1112="TRUE"),1,0))</f>
        <v/>
      </c>
      <c r="AN1112">
        <f>IF($D1112="","",IF($AA1112="Yes",1,0))</f>
        <v/>
      </c>
      <c r="AO1112">
        <f>IF($AK1112=1,IFERROR(IF(VALUE($D1112)&lt;100000000,VALUE($D1112),1000000000),IFERROR(IF(VALUE(MID($D1112,2,20))&lt;100000000,VALUE(MID($D1112,2,20)),1000000000),1000000000))+ROW()/100000,"")</f>
        <v/>
      </c>
    </row>
    <row r="1113">
      <c r="F1113" s="11" t="n"/>
      <c r="N1113" s="7">
        <f>IF($D1113="","",M1113*V1113/100)</f>
        <v/>
      </c>
      <c r="O1113" s="7" t="n"/>
      <c r="U1113" s="7" t="n"/>
      <c r="V1113" s="7" t="n"/>
      <c r="W1113" s="7">
        <f>IF($D1113="","",V1113*AB1113/100)</f>
        <v/>
      </c>
      <c r="X1113" s="7">
        <f>IF($D1113="","",V1113-W1113)</f>
        <v/>
      </c>
      <c r="Y1113" s="7">
        <f>IF($D1113="","",X1113-N1113)</f>
        <v/>
      </c>
      <c r="AB1113">
        <f>IF($D1113="","",IF($AN1113=1,0,IF($AM1113=1,Settings!$C$6,Settings!$C$7))*100)</f>
        <v/>
      </c>
      <c r="AF1113" s="7" t="n"/>
      <c r="AI1113" s="11" t="n"/>
      <c r="AK1113">
        <f>IF($D1113="","",IF(COUNTIF($D$2:$D1113,$D1113)=1,1,0))</f>
        <v/>
      </c>
      <c r="AL1113">
        <f>IF($AK1113=1,SUMPRODUCT(--($AO$2:$AO$1501&lt;$AO1113))+1,"")</f>
        <v/>
      </c>
      <c r="AM1113">
        <f>IF($D1113="","",IF(OR($R1113=TRUE(),$R1113="TRUE"),1,0))</f>
        <v/>
      </c>
      <c r="AN1113">
        <f>IF($D1113="","",IF($AA1113="Yes",1,0))</f>
        <v/>
      </c>
      <c r="AO1113">
        <f>IF($AK1113=1,IFERROR(IF(VALUE($D1113)&lt;100000000,VALUE($D1113),1000000000),IFERROR(IF(VALUE(MID($D1113,2,20))&lt;100000000,VALUE(MID($D1113,2,20)),1000000000),1000000000))+ROW()/100000,"")</f>
        <v/>
      </c>
    </row>
    <row r="1114">
      <c r="F1114" s="11" t="n"/>
      <c r="N1114" s="7">
        <f>IF($D1114="","",M1114*V1114/100)</f>
        <v/>
      </c>
      <c r="O1114" s="7" t="n"/>
      <c r="U1114" s="7" t="n"/>
      <c r="V1114" s="7" t="n"/>
      <c r="W1114" s="7">
        <f>IF($D1114="","",V1114*AB1114/100)</f>
        <v/>
      </c>
      <c r="X1114" s="7">
        <f>IF($D1114="","",V1114-W1114)</f>
        <v/>
      </c>
      <c r="Y1114" s="7">
        <f>IF($D1114="","",X1114-N1114)</f>
        <v/>
      </c>
      <c r="AB1114">
        <f>IF($D1114="","",IF($AN1114=1,0,IF($AM1114=1,Settings!$C$6,Settings!$C$7))*100)</f>
        <v/>
      </c>
      <c r="AF1114" s="7" t="n"/>
      <c r="AI1114" s="11" t="n"/>
      <c r="AK1114">
        <f>IF($D1114="","",IF(COUNTIF($D$2:$D1114,$D1114)=1,1,0))</f>
        <v/>
      </c>
      <c r="AL1114">
        <f>IF($AK1114=1,SUMPRODUCT(--($AO$2:$AO$1501&lt;$AO1114))+1,"")</f>
        <v/>
      </c>
      <c r="AM1114">
        <f>IF($D1114="","",IF(OR($R1114=TRUE(),$R1114="TRUE"),1,0))</f>
        <v/>
      </c>
      <c r="AN1114">
        <f>IF($D1114="","",IF($AA1114="Yes",1,0))</f>
        <v/>
      </c>
      <c r="AO1114">
        <f>IF($AK1114=1,IFERROR(IF(VALUE($D1114)&lt;100000000,VALUE($D1114),1000000000),IFERROR(IF(VALUE(MID($D1114,2,20))&lt;100000000,VALUE(MID($D1114,2,20)),1000000000),1000000000))+ROW()/100000,"")</f>
        <v/>
      </c>
    </row>
    <row r="1115">
      <c r="F1115" s="11" t="n"/>
      <c r="N1115" s="7">
        <f>IF($D1115="","",M1115*V1115/100)</f>
        <v/>
      </c>
      <c r="O1115" s="7" t="n"/>
      <c r="U1115" s="7" t="n"/>
      <c r="V1115" s="7" t="n"/>
      <c r="W1115" s="7">
        <f>IF($D1115="","",V1115*AB1115/100)</f>
        <v/>
      </c>
      <c r="X1115" s="7">
        <f>IF($D1115="","",V1115-W1115)</f>
        <v/>
      </c>
      <c r="Y1115" s="7">
        <f>IF($D1115="","",X1115-N1115)</f>
        <v/>
      </c>
      <c r="AB1115">
        <f>IF($D1115="","",IF($AN1115=1,0,IF($AM1115=1,Settings!$C$6,Settings!$C$7))*100)</f>
        <v/>
      </c>
      <c r="AF1115" s="7" t="n"/>
      <c r="AI1115" s="11" t="n"/>
      <c r="AK1115">
        <f>IF($D1115="","",IF(COUNTIF($D$2:$D1115,$D1115)=1,1,0))</f>
        <v/>
      </c>
      <c r="AL1115">
        <f>IF($AK1115=1,SUMPRODUCT(--($AO$2:$AO$1501&lt;$AO1115))+1,"")</f>
        <v/>
      </c>
      <c r="AM1115">
        <f>IF($D1115="","",IF(OR($R1115=TRUE(),$R1115="TRUE"),1,0))</f>
        <v/>
      </c>
      <c r="AN1115">
        <f>IF($D1115="","",IF($AA1115="Yes",1,0))</f>
        <v/>
      </c>
      <c r="AO1115">
        <f>IF($AK1115=1,IFERROR(IF(VALUE($D1115)&lt;100000000,VALUE($D1115),1000000000),IFERROR(IF(VALUE(MID($D1115,2,20))&lt;100000000,VALUE(MID($D1115,2,20)),1000000000),1000000000))+ROW()/100000,"")</f>
        <v/>
      </c>
    </row>
    <row r="1116">
      <c r="F1116" s="11" t="n"/>
      <c r="N1116" s="7">
        <f>IF($D1116="","",M1116*V1116/100)</f>
        <v/>
      </c>
      <c r="O1116" s="7" t="n"/>
      <c r="U1116" s="7" t="n"/>
      <c r="V1116" s="7" t="n"/>
      <c r="W1116" s="7">
        <f>IF($D1116="","",V1116*AB1116/100)</f>
        <v/>
      </c>
      <c r="X1116" s="7">
        <f>IF($D1116="","",V1116-W1116)</f>
        <v/>
      </c>
      <c r="Y1116" s="7">
        <f>IF($D1116="","",X1116-N1116)</f>
        <v/>
      </c>
      <c r="AB1116">
        <f>IF($D1116="","",IF($AN1116=1,0,IF($AM1116=1,Settings!$C$6,Settings!$C$7))*100)</f>
        <v/>
      </c>
      <c r="AF1116" s="7" t="n"/>
      <c r="AI1116" s="11" t="n"/>
      <c r="AK1116">
        <f>IF($D1116="","",IF(COUNTIF($D$2:$D1116,$D1116)=1,1,0))</f>
        <v/>
      </c>
      <c r="AL1116">
        <f>IF($AK1116=1,SUMPRODUCT(--($AO$2:$AO$1501&lt;$AO1116))+1,"")</f>
        <v/>
      </c>
      <c r="AM1116">
        <f>IF($D1116="","",IF(OR($R1116=TRUE(),$R1116="TRUE"),1,0))</f>
        <v/>
      </c>
      <c r="AN1116">
        <f>IF($D1116="","",IF($AA1116="Yes",1,0))</f>
        <v/>
      </c>
      <c r="AO1116">
        <f>IF($AK1116=1,IFERROR(IF(VALUE($D1116)&lt;100000000,VALUE($D1116),1000000000),IFERROR(IF(VALUE(MID($D1116,2,20))&lt;100000000,VALUE(MID($D1116,2,20)),1000000000),1000000000))+ROW()/100000,"")</f>
        <v/>
      </c>
    </row>
    <row r="1117">
      <c r="F1117" s="11" t="n"/>
      <c r="N1117" s="7">
        <f>IF($D1117="","",M1117*V1117/100)</f>
        <v/>
      </c>
      <c r="O1117" s="7" t="n"/>
      <c r="U1117" s="7" t="n"/>
      <c r="V1117" s="7" t="n"/>
      <c r="W1117" s="7">
        <f>IF($D1117="","",V1117*AB1117/100)</f>
        <v/>
      </c>
      <c r="X1117" s="7">
        <f>IF($D1117="","",V1117-W1117)</f>
        <v/>
      </c>
      <c r="Y1117" s="7">
        <f>IF($D1117="","",X1117-N1117)</f>
        <v/>
      </c>
      <c r="AB1117">
        <f>IF($D1117="","",IF($AN1117=1,0,IF($AM1117=1,Settings!$C$6,Settings!$C$7))*100)</f>
        <v/>
      </c>
      <c r="AF1117" s="7" t="n"/>
      <c r="AI1117" s="11" t="n"/>
      <c r="AK1117">
        <f>IF($D1117="","",IF(COUNTIF($D$2:$D1117,$D1117)=1,1,0))</f>
        <v/>
      </c>
      <c r="AL1117">
        <f>IF($AK1117=1,SUMPRODUCT(--($AO$2:$AO$1501&lt;$AO1117))+1,"")</f>
        <v/>
      </c>
      <c r="AM1117">
        <f>IF($D1117="","",IF(OR($R1117=TRUE(),$R1117="TRUE"),1,0))</f>
        <v/>
      </c>
      <c r="AN1117">
        <f>IF($D1117="","",IF($AA1117="Yes",1,0))</f>
        <v/>
      </c>
      <c r="AO1117">
        <f>IF($AK1117=1,IFERROR(IF(VALUE($D1117)&lt;100000000,VALUE($D1117),1000000000),IFERROR(IF(VALUE(MID($D1117,2,20))&lt;100000000,VALUE(MID($D1117,2,20)),1000000000),1000000000))+ROW()/100000,"")</f>
        <v/>
      </c>
    </row>
    <row r="1118">
      <c r="F1118" s="11" t="n"/>
      <c r="N1118" s="7">
        <f>IF($D1118="","",M1118*V1118/100)</f>
        <v/>
      </c>
      <c r="O1118" s="7" t="n"/>
      <c r="U1118" s="7" t="n"/>
      <c r="V1118" s="7" t="n"/>
      <c r="W1118" s="7">
        <f>IF($D1118="","",V1118*AB1118/100)</f>
        <v/>
      </c>
      <c r="X1118" s="7">
        <f>IF($D1118="","",V1118-W1118)</f>
        <v/>
      </c>
      <c r="Y1118" s="7">
        <f>IF($D1118="","",X1118-N1118)</f>
        <v/>
      </c>
      <c r="AB1118">
        <f>IF($D1118="","",IF($AN1118=1,0,IF($AM1118=1,Settings!$C$6,Settings!$C$7))*100)</f>
        <v/>
      </c>
      <c r="AF1118" s="7" t="n"/>
      <c r="AI1118" s="11" t="n"/>
      <c r="AK1118">
        <f>IF($D1118="","",IF(COUNTIF($D$2:$D1118,$D1118)=1,1,0))</f>
        <v/>
      </c>
      <c r="AL1118">
        <f>IF($AK1118=1,SUMPRODUCT(--($AO$2:$AO$1501&lt;$AO1118))+1,"")</f>
        <v/>
      </c>
      <c r="AM1118">
        <f>IF($D1118="","",IF(OR($R1118=TRUE(),$R1118="TRUE"),1,0))</f>
        <v/>
      </c>
      <c r="AN1118">
        <f>IF($D1118="","",IF($AA1118="Yes",1,0))</f>
        <v/>
      </c>
      <c r="AO1118">
        <f>IF($AK1118=1,IFERROR(IF(VALUE($D1118)&lt;100000000,VALUE($D1118),1000000000),IFERROR(IF(VALUE(MID($D1118,2,20))&lt;100000000,VALUE(MID($D1118,2,20)),1000000000),1000000000))+ROW()/100000,"")</f>
        <v/>
      </c>
    </row>
    <row r="1119">
      <c r="F1119" s="11" t="n"/>
      <c r="N1119" s="7">
        <f>IF($D1119="","",M1119*V1119/100)</f>
        <v/>
      </c>
      <c r="O1119" s="7" t="n"/>
      <c r="U1119" s="7" t="n"/>
      <c r="V1119" s="7" t="n"/>
      <c r="W1119" s="7">
        <f>IF($D1119="","",V1119*AB1119/100)</f>
        <v/>
      </c>
      <c r="X1119" s="7">
        <f>IF($D1119="","",V1119-W1119)</f>
        <v/>
      </c>
      <c r="Y1119" s="7">
        <f>IF($D1119="","",X1119-N1119)</f>
        <v/>
      </c>
      <c r="AB1119">
        <f>IF($D1119="","",IF($AN1119=1,0,IF($AM1119=1,Settings!$C$6,Settings!$C$7))*100)</f>
        <v/>
      </c>
      <c r="AF1119" s="7" t="n"/>
      <c r="AI1119" s="11" t="n"/>
      <c r="AK1119">
        <f>IF($D1119="","",IF(COUNTIF($D$2:$D1119,$D1119)=1,1,0))</f>
        <v/>
      </c>
      <c r="AL1119">
        <f>IF($AK1119=1,SUMPRODUCT(--($AO$2:$AO$1501&lt;$AO1119))+1,"")</f>
        <v/>
      </c>
      <c r="AM1119">
        <f>IF($D1119="","",IF(OR($R1119=TRUE(),$R1119="TRUE"),1,0))</f>
        <v/>
      </c>
      <c r="AN1119">
        <f>IF($D1119="","",IF($AA1119="Yes",1,0))</f>
        <v/>
      </c>
      <c r="AO1119">
        <f>IF($AK1119=1,IFERROR(IF(VALUE($D1119)&lt;100000000,VALUE($D1119),1000000000),IFERROR(IF(VALUE(MID($D1119,2,20))&lt;100000000,VALUE(MID($D1119,2,20)),1000000000),1000000000))+ROW()/100000,"")</f>
        <v/>
      </c>
    </row>
    <row r="1120">
      <c r="F1120" s="11" t="n"/>
      <c r="N1120" s="7">
        <f>IF($D1120="","",M1120*V1120/100)</f>
        <v/>
      </c>
      <c r="O1120" s="7" t="n"/>
      <c r="U1120" s="7" t="n"/>
      <c r="V1120" s="7" t="n"/>
      <c r="W1120" s="7">
        <f>IF($D1120="","",V1120*AB1120/100)</f>
        <v/>
      </c>
      <c r="X1120" s="7">
        <f>IF($D1120="","",V1120-W1120)</f>
        <v/>
      </c>
      <c r="Y1120" s="7">
        <f>IF($D1120="","",X1120-N1120)</f>
        <v/>
      </c>
      <c r="AB1120">
        <f>IF($D1120="","",IF($AN1120=1,0,IF($AM1120=1,Settings!$C$6,Settings!$C$7))*100)</f>
        <v/>
      </c>
      <c r="AF1120" s="7" t="n"/>
      <c r="AI1120" s="11" t="n"/>
      <c r="AK1120">
        <f>IF($D1120="","",IF(COUNTIF($D$2:$D1120,$D1120)=1,1,0))</f>
        <v/>
      </c>
      <c r="AL1120">
        <f>IF($AK1120=1,SUMPRODUCT(--($AO$2:$AO$1501&lt;$AO1120))+1,"")</f>
        <v/>
      </c>
      <c r="AM1120">
        <f>IF($D1120="","",IF(OR($R1120=TRUE(),$R1120="TRUE"),1,0))</f>
        <v/>
      </c>
      <c r="AN1120">
        <f>IF($D1120="","",IF($AA1120="Yes",1,0))</f>
        <v/>
      </c>
      <c r="AO1120">
        <f>IF($AK1120=1,IFERROR(IF(VALUE($D1120)&lt;100000000,VALUE($D1120),1000000000),IFERROR(IF(VALUE(MID($D1120,2,20))&lt;100000000,VALUE(MID($D1120,2,20)),1000000000),1000000000))+ROW()/100000,"")</f>
        <v/>
      </c>
    </row>
    <row r="1121">
      <c r="F1121" s="11" t="n"/>
      <c r="N1121" s="7">
        <f>IF($D1121="","",M1121*V1121/100)</f>
        <v/>
      </c>
      <c r="O1121" s="7" t="n"/>
      <c r="U1121" s="7" t="n"/>
      <c r="V1121" s="7" t="n"/>
      <c r="W1121" s="7">
        <f>IF($D1121="","",V1121*AB1121/100)</f>
        <v/>
      </c>
      <c r="X1121" s="7">
        <f>IF($D1121="","",V1121-W1121)</f>
        <v/>
      </c>
      <c r="Y1121" s="7">
        <f>IF($D1121="","",X1121-N1121)</f>
        <v/>
      </c>
      <c r="AB1121">
        <f>IF($D1121="","",IF($AN1121=1,0,IF($AM1121=1,Settings!$C$6,Settings!$C$7))*100)</f>
        <v/>
      </c>
      <c r="AF1121" s="7" t="n"/>
      <c r="AI1121" s="11" t="n"/>
      <c r="AK1121">
        <f>IF($D1121="","",IF(COUNTIF($D$2:$D1121,$D1121)=1,1,0))</f>
        <v/>
      </c>
      <c r="AL1121">
        <f>IF($AK1121=1,SUMPRODUCT(--($AO$2:$AO$1501&lt;$AO1121))+1,"")</f>
        <v/>
      </c>
      <c r="AM1121">
        <f>IF($D1121="","",IF(OR($R1121=TRUE(),$R1121="TRUE"),1,0))</f>
        <v/>
      </c>
      <c r="AN1121">
        <f>IF($D1121="","",IF($AA1121="Yes",1,0))</f>
        <v/>
      </c>
      <c r="AO1121">
        <f>IF($AK1121=1,IFERROR(IF(VALUE($D1121)&lt;100000000,VALUE($D1121),1000000000),IFERROR(IF(VALUE(MID($D1121,2,20))&lt;100000000,VALUE(MID($D1121,2,20)),1000000000),1000000000))+ROW()/100000,"")</f>
        <v/>
      </c>
    </row>
    <row r="1122">
      <c r="F1122" s="11" t="n"/>
      <c r="N1122" s="7">
        <f>IF($D1122="","",M1122*V1122/100)</f>
        <v/>
      </c>
      <c r="O1122" s="7" t="n"/>
      <c r="U1122" s="7" t="n"/>
      <c r="V1122" s="7" t="n"/>
      <c r="W1122" s="7">
        <f>IF($D1122="","",V1122*AB1122/100)</f>
        <v/>
      </c>
      <c r="X1122" s="7">
        <f>IF($D1122="","",V1122-W1122)</f>
        <v/>
      </c>
      <c r="Y1122" s="7">
        <f>IF($D1122="","",X1122-N1122)</f>
        <v/>
      </c>
      <c r="AB1122">
        <f>IF($D1122="","",IF($AN1122=1,0,IF($AM1122=1,Settings!$C$6,Settings!$C$7))*100)</f>
        <v/>
      </c>
      <c r="AF1122" s="7" t="n"/>
      <c r="AI1122" s="11" t="n"/>
      <c r="AK1122">
        <f>IF($D1122="","",IF(COUNTIF($D$2:$D1122,$D1122)=1,1,0))</f>
        <v/>
      </c>
      <c r="AL1122">
        <f>IF($AK1122=1,SUMPRODUCT(--($AO$2:$AO$1501&lt;$AO1122))+1,"")</f>
        <v/>
      </c>
      <c r="AM1122">
        <f>IF($D1122="","",IF(OR($R1122=TRUE(),$R1122="TRUE"),1,0))</f>
        <v/>
      </c>
      <c r="AN1122">
        <f>IF($D1122="","",IF($AA1122="Yes",1,0))</f>
        <v/>
      </c>
      <c r="AO1122">
        <f>IF($AK1122=1,IFERROR(IF(VALUE($D1122)&lt;100000000,VALUE($D1122),1000000000),IFERROR(IF(VALUE(MID($D1122,2,20))&lt;100000000,VALUE(MID($D1122,2,20)),1000000000),1000000000))+ROW()/100000,"")</f>
        <v/>
      </c>
    </row>
    <row r="1123">
      <c r="F1123" s="11" t="n"/>
      <c r="N1123" s="7">
        <f>IF($D1123="","",M1123*V1123/100)</f>
        <v/>
      </c>
      <c r="O1123" s="7" t="n"/>
      <c r="U1123" s="7" t="n"/>
      <c r="V1123" s="7" t="n"/>
      <c r="W1123" s="7">
        <f>IF($D1123="","",V1123*AB1123/100)</f>
        <v/>
      </c>
      <c r="X1123" s="7">
        <f>IF($D1123="","",V1123-W1123)</f>
        <v/>
      </c>
      <c r="Y1123" s="7">
        <f>IF($D1123="","",X1123-N1123)</f>
        <v/>
      </c>
      <c r="AB1123">
        <f>IF($D1123="","",IF($AN1123=1,0,IF($AM1123=1,Settings!$C$6,Settings!$C$7))*100)</f>
        <v/>
      </c>
      <c r="AF1123" s="7" t="n"/>
      <c r="AI1123" s="11" t="n"/>
      <c r="AK1123">
        <f>IF($D1123="","",IF(COUNTIF($D$2:$D1123,$D1123)=1,1,0))</f>
        <v/>
      </c>
      <c r="AL1123">
        <f>IF($AK1123=1,SUMPRODUCT(--($AO$2:$AO$1501&lt;$AO1123))+1,"")</f>
        <v/>
      </c>
      <c r="AM1123">
        <f>IF($D1123="","",IF(OR($R1123=TRUE(),$R1123="TRUE"),1,0))</f>
        <v/>
      </c>
      <c r="AN1123">
        <f>IF($D1123="","",IF($AA1123="Yes",1,0))</f>
        <v/>
      </c>
      <c r="AO1123">
        <f>IF($AK1123=1,IFERROR(IF(VALUE($D1123)&lt;100000000,VALUE($D1123),1000000000),IFERROR(IF(VALUE(MID($D1123,2,20))&lt;100000000,VALUE(MID($D1123,2,20)),1000000000),1000000000))+ROW()/100000,"")</f>
        <v/>
      </c>
    </row>
    <row r="1124">
      <c r="F1124" s="11" t="n"/>
      <c r="N1124" s="7">
        <f>IF($D1124="","",M1124*V1124/100)</f>
        <v/>
      </c>
      <c r="O1124" s="7" t="n"/>
      <c r="U1124" s="7" t="n"/>
      <c r="V1124" s="7" t="n"/>
      <c r="W1124" s="7">
        <f>IF($D1124="","",V1124*AB1124/100)</f>
        <v/>
      </c>
      <c r="X1124" s="7">
        <f>IF($D1124="","",V1124-W1124)</f>
        <v/>
      </c>
      <c r="Y1124" s="7">
        <f>IF($D1124="","",X1124-N1124)</f>
        <v/>
      </c>
      <c r="AB1124">
        <f>IF($D1124="","",IF($AN1124=1,0,IF($AM1124=1,Settings!$C$6,Settings!$C$7))*100)</f>
        <v/>
      </c>
      <c r="AF1124" s="7" t="n"/>
      <c r="AI1124" s="11" t="n"/>
      <c r="AK1124">
        <f>IF($D1124="","",IF(COUNTIF($D$2:$D1124,$D1124)=1,1,0))</f>
        <v/>
      </c>
      <c r="AL1124">
        <f>IF($AK1124=1,SUMPRODUCT(--($AO$2:$AO$1501&lt;$AO1124))+1,"")</f>
        <v/>
      </c>
      <c r="AM1124">
        <f>IF($D1124="","",IF(OR($R1124=TRUE(),$R1124="TRUE"),1,0))</f>
        <v/>
      </c>
      <c r="AN1124">
        <f>IF($D1124="","",IF($AA1124="Yes",1,0))</f>
        <v/>
      </c>
      <c r="AO1124">
        <f>IF($AK1124=1,IFERROR(IF(VALUE($D1124)&lt;100000000,VALUE($D1124),1000000000),IFERROR(IF(VALUE(MID($D1124,2,20))&lt;100000000,VALUE(MID($D1124,2,20)),1000000000),1000000000))+ROW()/100000,"")</f>
        <v/>
      </c>
    </row>
    <row r="1125">
      <c r="F1125" s="11" t="n"/>
      <c r="N1125" s="7">
        <f>IF($D1125="","",M1125*V1125/100)</f>
        <v/>
      </c>
      <c r="O1125" s="7" t="n"/>
      <c r="U1125" s="7" t="n"/>
      <c r="V1125" s="7" t="n"/>
      <c r="W1125" s="7">
        <f>IF($D1125="","",V1125*AB1125/100)</f>
        <v/>
      </c>
      <c r="X1125" s="7">
        <f>IF($D1125="","",V1125-W1125)</f>
        <v/>
      </c>
      <c r="Y1125" s="7">
        <f>IF($D1125="","",X1125-N1125)</f>
        <v/>
      </c>
      <c r="AB1125">
        <f>IF($D1125="","",IF($AN1125=1,0,IF($AM1125=1,Settings!$C$6,Settings!$C$7))*100)</f>
        <v/>
      </c>
      <c r="AF1125" s="7" t="n"/>
      <c r="AI1125" s="11" t="n"/>
      <c r="AK1125">
        <f>IF($D1125="","",IF(COUNTIF($D$2:$D1125,$D1125)=1,1,0))</f>
        <v/>
      </c>
      <c r="AL1125">
        <f>IF($AK1125=1,SUMPRODUCT(--($AO$2:$AO$1501&lt;$AO1125))+1,"")</f>
        <v/>
      </c>
      <c r="AM1125">
        <f>IF($D1125="","",IF(OR($R1125=TRUE(),$R1125="TRUE"),1,0))</f>
        <v/>
      </c>
      <c r="AN1125">
        <f>IF($D1125="","",IF($AA1125="Yes",1,0))</f>
        <v/>
      </c>
      <c r="AO1125">
        <f>IF($AK1125=1,IFERROR(IF(VALUE($D1125)&lt;100000000,VALUE($D1125),1000000000),IFERROR(IF(VALUE(MID($D1125,2,20))&lt;100000000,VALUE(MID($D1125,2,20)),1000000000),1000000000))+ROW()/100000,"")</f>
        <v/>
      </c>
    </row>
    <row r="1126">
      <c r="F1126" s="11" t="n"/>
      <c r="N1126" s="7">
        <f>IF($D1126="","",M1126*V1126/100)</f>
        <v/>
      </c>
      <c r="O1126" s="7" t="n"/>
      <c r="U1126" s="7" t="n"/>
      <c r="V1126" s="7" t="n"/>
      <c r="W1126" s="7">
        <f>IF($D1126="","",V1126*AB1126/100)</f>
        <v/>
      </c>
      <c r="X1126" s="7">
        <f>IF($D1126="","",V1126-W1126)</f>
        <v/>
      </c>
      <c r="Y1126" s="7">
        <f>IF($D1126="","",X1126-N1126)</f>
        <v/>
      </c>
      <c r="AB1126">
        <f>IF($D1126="","",IF($AN1126=1,0,IF($AM1126=1,Settings!$C$6,Settings!$C$7))*100)</f>
        <v/>
      </c>
      <c r="AF1126" s="7" t="n"/>
      <c r="AI1126" s="11" t="n"/>
      <c r="AK1126">
        <f>IF($D1126="","",IF(COUNTIF($D$2:$D1126,$D1126)=1,1,0))</f>
        <v/>
      </c>
      <c r="AL1126">
        <f>IF($AK1126=1,SUMPRODUCT(--($AO$2:$AO$1501&lt;$AO1126))+1,"")</f>
        <v/>
      </c>
      <c r="AM1126">
        <f>IF($D1126="","",IF(OR($R1126=TRUE(),$R1126="TRUE"),1,0))</f>
        <v/>
      </c>
      <c r="AN1126">
        <f>IF($D1126="","",IF($AA1126="Yes",1,0))</f>
        <v/>
      </c>
      <c r="AO1126">
        <f>IF($AK1126=1,IFERROR(IF(VALUE($D1126)&lt;100000000,VALUE($D1126),1000000000),IFERROR(IF(VALUE(MID($D1126,2,20))&lt;100000000,VALUE(MID($D1126,2,20)),1000000000),1000000000))+ROW()/100000,"")</f>
        <v/>
      </c>
    </row>
    <row r="1127">
      <c r="F1127" s="11" t="n"/>
      <c r="N1127" s="7">
        <f>IF($D1127="","",M1127*V1127/100)</f>
        <v/>
      </c>
      <c r="O1127" s="7" t="n"/>
      <c r="U1127" s="7" t="n"/>
      <c r="V1127" s="7" t="n"/>
      <c r="W1127" s="7">
        <f>IF($D1127="","",V1127*AB1127/100)</f>
        <v/>
      </c>
      <c r="X1127" s="7">
        <f>IF($D1127="","",V1127-W1127)</f>
        <v/>
      </c>
      <c r="Y1127" s="7">
        <f>IF($D1127="","",X1127-N1127)</f>
        <v/>
      </c>
      <c r="AB1127">
        <f>IF($D1127="","",IF($AN1127=1,0,IF($AM1127=1,Settings!$C$6,Settings!$C$7))*100)</f>
        <v/>
      </c>
      <c r="AF1127" s="7" t="n"/>
      <c r="AI1127" s="11" t="n"/>
      <c r="AK1127">
        <f>IF($D1127="","",IF(COUNTIF($D$2:$D1127,$D1127)=1,1,0))</f>
        <v/>
      </c>
      <c r="AL1127">
        <f>IF($AK1127=1,SUMPRODUCT(--($AO$2:$AO$1501&lt;$AO1127))+1,"")</f>
        <v/>
      </c>
      <c r="AM1127">
        <f>IF($D1127="","",IF(OR($R1127=TRUE(),$R1127="TRUE"),1,0))</f>
        <v/>
      </c>
      <c r="AN1127">
        <f>IF($D1127="","",IF($AA1127="Yes",1,0))</f>
        <v/>
      </c>
      <c r="AO1127">
        <f>IF($AK1127=1,IFERROR(IF(VALUE($D1127)&lt;100000000,VALUE($D1127),1000000000),IFERROR(IF(VALUE(MID($D1127,2,20))&lt;100000000,VALUE(MID($D1127,2,20)),1000000000),1000000000))+ROW()/100000,"")</f>
        <v/>
      </c>
    </row>
    <row r="1128">
      <c r="F1128" s="11" t="n"/>
      <c r="N1128" s="7">
        <f>IF($D1128="","",M1128*V1128/100)</f>
        <v/>
      </c>
      <c r="O1128" s="7" t="n"/>
      <c r="U1128" s="7" t="n"/>
      <c r="V1128" s="7" t="n"/>
      <c r="W1128" s="7">
        <f>IF($D1128="","",V1128*AB1128/100)</f>
        <v/>
      </c>
      <c r="X1128" s="7">
        <f>IF($D1128="","",V1128-W1128)</f>
        <v/>
      </c>
      <c r="Y1128" s="7">
        <f>IF($D1128="","",X1128-N1128)</f>
        <v/>
      </c>
      <c r="AB1128">
        <f>IF($D1128="","",IF($AN1128=1,0,IF($AM1128=1,Settings!$C$6,Settings!$C$7))*100)</f>
        <v/>
      </c>
      <c r="AF1128" s="7" t="n"/>
      <c r="AI1128" s="11" t="n"/>
      <c r="AK1128">
        <f>IF($D1128="","",IF(COUNTIF($D$2:$D1128,$D1128)=1,1,0))</f>
        <v/>
      </c>
      <c r="AL1128">
        <f>IF($AK1128=1,SUMPRODUCT(--($AO$2:$AO$1501&lt;$AO1128))+1,"")</f>
        <v/>
      </c>
      <c r="AM1128">
        <f>IF($D1128="","",IF(OR($R1128=TRUE(),$R1128="TRUE"),1,0))</f>
        <v/>
      </c>
      <c r="AN1128">
        <f>IF($D1128="","",IF($AA1128="Yes",1,0))</f>
        <v/>
      </c>
      <c r="AO1128">
        <f>IF($AK1128=1,IFERROR(IF(VALUE($D1128)&lt;100000000,VALUE($D1128),1000000000),IFERROR(IF(VALUE(MID($D1128,2,20))&lt;100000000,VALUE(MID($D1128,2,20)),1000000000),1000000000))+ROW()/100000,"")</f>
        <v/>
      </c>
    </row>
    <row r="1129">
      <c r="F1129" s="11" t="n"/>
      <c r="N1129" s="7">
        <f>IF($D1129="","",M1129*V1129/100)</f>
        <v/>
      </c>
      <c r="O1129" s="7" t="n"/>
      <c r="U1129" s="7" t="n"/>
      <c r="V1129" s="7" t="n"/>
      <c r="W1129" s="7">
        <f>IF($D1129="","",V1129*AB1129/100)</f>
        <v/>
      </c>
      <c r="X1129" s="7">
        <f>IF($D1129="","",V1129-W1129)</f>
        <v/>
      </c>
      <c r="Y1129" s="7">
        <f>IF($D1129="","",X1129-N1129)</f>
        <v/>
      </c>
      <c r="AB1129">
        <f>IF($D1129="","",IF($AN1129=1,0,IF($AM1129=1,Settings!$C$6,Settings!$C$7))*100)</f>
        <v/>
      </c>
      <c r="AF1129" s="7" t="n"/>
      <c r="AI1129" s="11" t="n"/>
      <c r="AK1129">
        <f>IF($D1129="","",IF(COUNTIF($D$2:$D1129,$D1129)=1,1,0))</f>
        <v/>
      </c>
      <c r="AL1129">
        <f>IF($AK1129=1,SUMPRODUCT(--($AO$2:$AO$1501&lt;$AO1129))+1,"")</f>
        <v/>
      </c>
      <c r="AM1129">
        <f>IF($D1129="","",IF(OR($R1129=TRUE(),$R1129="TRUE"),1,0))</f>
        <v/>
      </c>
      <c r="AN1129">
        <f>IF($D1129="","",IF($AA1129="Yes",1,0))</f>
        <v/>
      </c>
      <c r="AO1129">
        <f>IF($AK1129=1,IFERROR(IF(VALUE($D1129)&lt;100000000,VALUE($D1129),1000000000),IFERROR(IF(VALUE(MID($D1129,2,20))&lt;100000000,VALUE(MID($D1129,2,20)),1000000000),1000000000))+ROW()/100000,"")</f>
        <v/>
      </c>
    </row>
    <row r="1130">
      <c r="F1130" s="11" t="n"/>
      <c r="N1130" s="7">
        <f>IF($D1130="","",M1130*V1130/100)</f>
        <v/>
      </c>
      <c r="O1130" s="7" t="n"/>
      <c r="U1130" s="7" t="n"/>
      <c r="V1130" s="7" t="n"/>
      <c r="W1130" s="7">
        <f>IF($D1130="","",V1130*AB1130/100)</f>
        <v/>
      </c>
      <c r="X1130" s="7">
        <f>IF($D1130="","",V1130-W1130)</f>
        <v/>
      </c>
      <c r="Y1130" s="7">
        <f>IF($D1130="","",X1130-N1130)</f>
        <v/>
      </c>
      <c r="AB1130">
        <f>IF($D1130="","",IF($AN1130=1,0,IF($AM1130=1,Settings!$C$6,Settings!$C$7))*100)</f>
        <v/>
      </c>
      <c r="AF1130" s="7" t="n"/>
      <c r="AI1130" s="11" t="n"/>
      <c r="AK1130">
        <f>IF($D1130="","",IF(COUNTIF($D$2:$D1130,$D1130)=1,1,0))</f>
        <v/>
      </c>
      <c r="AL1130">
        <f>IF($AK1130=1,SUMPRODUCT(--($AO$2:$AO$1501&lt;$AO1130))+1,"")</f>
        <v/>
      </c>
      <c r="AM1130">
        <f>IF($D1130="","",IF(OR($R1130=TRUE(),$R1130="TRUE"),1,0))</f>
        <v/>
      </c>
      <c r="AN1130">
        <f>IF($D1130="","",IF($AA1130="Yes",1,0))</f>
        <v/>
      </c>
      <c r="AO1130">
        <f>IF($AK1130=1,IFERROR(IF(VALUE($D1130)&lt;100000000,VALUE($D1130),1000000000),IFERROR(IF(VALUE(MID($D1130,2,20))&lt;100000000,VALUE(MID($D1130,2,20)),1000000000),1000000000))+ROW()/100000,"")</f>
        <v/>
      </c>
    </row>
    <row r="1131">
      <c r="F1131" s="11" t="n"/>
      <c r="N1131" s="7">
        <f>IF($D1131="","",M1131*V1131/100)</f>
        <v/>
      </c>
      <c r="O1131" s="7" t="n"/>
      <c r="U1131" s="7" t="n"/>
      <c r="V1131" s="7" t="n"/>
      <c r="W1131" s="7">
        <f>IF($D1131="","",V1131*AB1131/100)</f>
        <v/>
      </c>
      <c r="X1131" s="7">
        <f>IF($D1131="","",V1131-W1131)</f>
        <v/>
      </c>
      <c r="Y1131" s="7">
        <f>IF($D1131="","",X1131-N1131)</f>
        <v/>
      </c>
      <c r="AB1131">
        <f>IF($D1131="","",IF($AN1131=1,0,IF($AM1131=1,Settings!$C$6,Settings!$C$7))*100)</f>
        <v/>
      </c>
      <c r="AF1131" s="7" t="n"/>
      <c r="AI1131" s="11" t="n"/>
      <c r="AK1131">
        <f>IF($D1131="","",IF(COUNTIF($D$2:$D1131,$D1131)=1,1,0))</f>
        <v/>
      </c>
      <c r="AL1131">
        <f>IF($AK1131=1,SUMPRODUCT(--($AO$2:$AO$1501&lt;$AO1131))+1,"")</f>
        <v/>
      </c>
      <c r="AM1131">
        <f>IF($D1131="","",IF(OR($R1131=TRUE(),$R1131="TRUE"),1,0))</f>
        <v/>
      </c>
      <c r="AN1131">
        <f>IF($D1131="","",IF($AA1131="Yes",1,0))</f>
        <v/>
      </c>
      <c r="AO1131">
        <f>IF($AK1131=1,IFERROR(IF(VALUE($D1131)&lt;100000000,VALUE($D1131),1000000000),IFERROR(IF(VALUE(MID($D1131,2,20))&lt;100000000,VALUE(MID($D1131,2,20)),1000000000),1000000000))+ROW()/100000,"")</f>
        <v/>
      </c>
    </row>
    <row r="1132">
      <c r="F1132" s="11" t="n"/>
      <c r="N1132" s="7">
        <f>IF($D1132="","",M1132*V1132/100)</f>
        <v/>
      </c>
      <c r="O1132" s="7" t="n"/>
      <c r="U1132" s="7" t="n"/>
      <c r="V1132" s="7" t="n"/>
      <c r="W1132" s="7">
        <f>IF($D1132="","",V1132*AB1132/100)</f>
        <v/>
      </c>
      <c r="X1132" s="7">
        <f>IF($D1132="","",V1132-W1132)</f>
        <v/>
      </c>
      <c r="Y1132" s="7">
        <f>IF($D1132="","",X1132-N1132)</f>
        <v/>
      </c>
      <c r="AB1132">
        <f>IF($D1132="","",IF($AN1132=1,0,IF($AM1132=1,Settings!$C$6,Settings!$C$7))*100)</f>
        <v/>
      </c>
      <c r="AF1132" s="7" t="n"/>
      <c r="AI1132" s="11" t="n"/>
      <c r="AK1132">
        <f>IF($D1132="","",IF(COUNTIF($D$2:$D1132,$D1132)=1,1,0))</f>
        <v/>
      </c>
      <c r="AL1132">
        <f>IF($AK1132=1,SUMPRODUCT(--($AO$2:$AO$1501&lt;$AO1132))+1,"")</f>
        <v/>
      </c>
      <c r="AM1132">
        <f>IF($D1132="","",IF(OR($R1132=TRUE(),$R1132="TRUE"),1,0))</f>
        <v/>
      </c>
      <c r="AN1132">
        <f>IF($D1132="","",IF($AA1132="Yes",1,0))</f>
        <v/>
      </c>
      <c r="AO1132">
        <f>IF($AK1132=1,IFERROR(IF(VALUE($D1132)&lt;100000000,VALUE($D1132),1000000000),IFERROR(IF(VALUE(MID($D1132,2,20))&lt;100000000,VALUE(MID($D1132,2,20)),1000000000),1000000000))+ROW()/100000,"")</f>
        <v/>
      </c>
    </row>
    <row r="1133">
      <c r="F1133" s="11" t="n"/>
      <c r="N1133" s="7">
        <f>IF($D1133="","",M1133*V1133/100)</f>
        <v/>
      </c>
      <c r="O1133" s="7" t="n"/>
      <c r="U1133" s="7" t="n"/>
      <c r="V1133" s="7" t="n"/>
      <c r="W1133" s="7">
        <f>IF($D1133="","",V1133*AB1133/100)</f>
        <v/>
      </c>
      <c r="X1133" s="7">
        <f>IF($D1133="","",V1133-W1133)</f>
        <v/>
      </c>
      <c r="Y1133" s="7">
        <f>IF($D1133="","",X1133-N1133)</f>
        <v/>
      </c>
      <c r="AB1133">
        <f>IF($D1133="","",IF($AN1133=1,0,IF($AM1133=1,Settings!$C$6,Settings!$C$7))*100)</f>
        <v/>
      </c>
      <c r="AF1133" s="7" t="n"/>
      <c r="AI1133" s="11" t="n"/>
      <c r="AK1133">
        <f>IF($D1133="","",IF(COUNTIF($D$2:$D1133,$D1133)=1,1,0))</f>
        <v/>
      </c>
      <c r="AL1133">
        <f>IF($AK1133=1,SUMPRODUCT(--($AO$2:$AO$1501&lt;$AO1133))+1,"")</f>
        <v/>
      </c>
      <c r="AM1133">
        <f>IF($D1133="","",IF(OR($R1133=TRUE(),$R1133="TRUE"),1,0))</f>
        <v/>
      </c>
      <c r="AN1133">
        <f>IF($D1133="","",IF($AA1133="Yes",1,0))</f>
        <v/>
      </c>
      <c r="AO1133">
        <f>IF($AK1133=1,IFERROR(IF(VALUE($D1133)&lt;100000000,VALUE($D1133),1000000000),IFERROR(IF(VALUE(MID($D1133,2,20))&lt;100000000,VALUE(MID($D1133,2,20)),1000000000),1000000000))+ROW()/100000,"")</f>
        <v/>
      </c>
    </row>
    <row r="1134">
      <c r="F1134" s="11" t="n"/>
      <c r="N1134" s="7">
        <f>IF($D1134="","",M1134*V1134/100)</f>
        <v/>
      </c>
      <c r="O1134" s="7" t="n"/>
      <c r="U1134" s="7" t="n"/>
      <c r="V1134" s="7" t="n"/>
      <c r="W1134" s="7">
        <f>IF($D1134="","",V1134*AB1134/100)</f>
        <v/>
      </c>
      <c r="X1134" s="7">
        <f>IF($D1134="","",V1134-W1134)</f>
        <v/>
      </c>
      <c r="Y1134" s="7">
        <f>IF($D1134="","",X1134-N1134)</f>
        <v/>
      </c>
      <c r="AB1134">
        <f>IF($D1134="","",IF($AN1134=1,0,IF($AM1134=1,Settings!$C$6,Settings!$C$7))*100)</f>
        <v/>
      </c>
      <c r="AF1134" s="7" t="n"/>
      <c r="AI1134" s="11" t="n"/>
      <c r="AK1134">
        <f>IF($D1134="","",IF(COUNTIF($D$2:$D1134,$D1134)=1,1,0))</f>
        <v/>
      </c>
      <c r="AL1134">
        <f>IF($AK1134=1,SUMPRODUCT(--($AO$2:$AO$1501&lt;$AO1134))+1,"")</f>
        <v/>
      </c>
      <c r="AM1134">
        <f>IF($D1134="","",IF(OR($R1134=TRUE(),$R1134="TRUE"),1,0))</f>
        <v/>
      </c>
      <c r="AN1134">
        <f>IF($D1134="","",IF($AA1134="Yes",1,0))</f>
        <v/>
      </c>
      <c r="AO1134">
        <f>IF($AK1134=1,IFERROR(IF(VALUE($D1134)&lt;100000000,VALUE($D1134),1000000000),IFERROR(IF(VALUE(MID($D1134,2,20))&lt;100000000,VALUE(MID($D1134,2,20)),1000000000),1000000000))+ROW()/100000,"")</f>
        <v/>
      </c>
    </row>
    <row r="1135">
      <c r="F1135" s="11" t="n"/>
      <c r="N1135" s="7">
        <f>IF($D1135="","",M1135*V1135/100)</f>
        <v/>
      </c>
      <c r="O1135" s="7" t="n"/>
      <c r="U1135" s="7" t="n"/>
      <c r="V1135" s="7" t="n"/>
      <c r="W1135" s="7">
        <f>IF($D1135="","",V1135*AB1135/100)</f>
        <v/>
      </c>
      <c r="X1135" s="7">
        <f>IF($D1135="","",V1135-W1135)</f>
        <v/>
      </c>
      <c r="Y1135" s="7">
        <f>IF($D1135="","",X1135-N1135)</f>
        <v/>
      </c>
      <c r="AB1135">
        <f>IF($D1135="","",IF($AN1135=1,0,IF($AM1135=1,Settings!$C$6,Settings!$C$7))*100)</f>
        <v/>
      </c>
      <c r="AF1135" s="7" t="n"/>
      <c r="AI1135" s="11" t="n"/>
      <c r="AK1135">
        <f>IF($D1135="","",IF(COUNTIF($D$2:$D1135,$D1135)=1,1,0))</f>
        <v/>
      </c>
      <c r="AL1135">
        <f>IF($AK1135=1,SUMPRODUCT(--($AO$2:$AO$1501&lt;$AO1135))+1,"")</f>
        <v/>
      </c>
      <c r="AM1135">
        <f>IF($D1135="","",IF(OR($R1135=TRUE(),$R1135="TRUE"),1,0))</f>
        <v/>
      </c>
      <c r="AN1135">
        <f>IF($D1135="","",IF($AA1135="Yes",1,0))</f>
        <v/>
      </c>
      <c r="AO1135">
        <f>IF($AK1135=1,IFERROR(IF(VALUE($D1135)&lt;100000000,VALUE($D1135),1000000000),IFERROR(IF(VALUE(MID($D1135,2,20))&lt;100000000,VALUE(MID($D1135,2,20)),1000000000),1000000000))+ROW()/100000,"")</f>
        <v/>
      </c>
    </row>
    <row r="1136">
      <c r="F1136" s="11" t="n"/>
      <c r="N1136" s="7">
        <f>IF($D1136="","",M1136*V1136/100)</f>
        <v/>
      </c>
      <c r="O1136" s="7" t="n"/>
      <c r="U1136" s="7" t="n"/>
      <c r="V1136" s="7" t="n"/>
      <c r="W1136" s="7">
        <f>IF($D1136="","",V1136*AB1136/100)</f>
        <v/>
      </c>
      <c r="X1136" s="7">
        <f>IF($D1136="","",V1136-W1136)</f>
        <v/>
      </c>
      <c r="Y1136" s="7">
        <f>IF($D1136="","",X1136-N1136)</f>
        <v/>
      </c>
      <c r="AB1136">
        <f>IF($D1136="","",IF($AN1136=1,0,IF($AM1136=1,Settings!$C$6,Settings!$C$7))*100)</f>
        <v/>
      </c>
      <c r="AF1136" s="7" t="n"/>
      <c r="AI1136" s="11" t="n"/>
      <c r="AK1136">
        <f>IF($D1136="","",IF(COUNTIF($D$2:$D1136,$D1136)=1,1,0))</f>
        <v/>
      </c>
      <c r="AL1136">
        <f>IF($AK1136=1,SUMPRODUCT(--($AO$2:$AO$1501&lt;$AO1136))+1,"")</f>
        <v/>
      </c>
      <c r="AM1136">
        <f>IF($D1136="","",IF(OR($R1136=TRUE(),$R1136="TRUE"),1,0))</f>
        <v/>
      </c>
      <c r="AN1136">
        <f>IF($D1136="","",IF($AA1136="Yes",1,0))</f>
        <v/>
      </c>
      <c r="AO1136">
        <f>IF($AK1136=1,IFERROR(IF(VALUE($D1136)&lt;100000000,VALUE($D1136),1000000000),IFERROR(IF(VALUE(MID($D1136,2,20))&lt;100000000,VALUE(MID($D1136,2,20)),1000000000),1000000000))+ROW()/100000,"")</f>
        <v/>
      </c>
    </row>
    <row r="1137">
      <c r="F1137" s="11" t="n"/>
      <c r="N1137" s="7">
        <f>IF($D1137="","",M1137*V1137/100)</f>
        <v/>
      </c>
      <c r="O1137" s="7" t="n"/>
      <c r="U1137" s="7" t="n"/>
      <c r="V1137" s="7" t="n"/>
      <c r="W1137" s="7">
        <f>IF($D1137="","",V1137*AB1137/100)</f>
        <v/>
      </c>
      <c r="X1137" s="7">
        <f>IF($D1137="","",V1137-W1137)</f>
        <v/>
      </c>
      <c r="Y1137" s="7">
        <f>IF($D1137="","",X1137-N1137)</f>
        <v/>
      </c>
      <c r="AB1137">
        <f>IF($D1137="","",IF($AN1137=1,0,IF($AM1137=1,Settings!$C$6,Settings!$C$7))*100)</f>
        <v/>
      </c>
      <c r="AF1137" s="7" t="n"/>
      <c r="AI1137" s="11" t="n"/>
      <c r="AK1137">
        <f>IF($D1137="","",IF(COUNTIF($D$2:$D1137,$D1137)=1,1,0))</f>
        <v/>
      </c>
      <c r="AL1137">
        <f>IF($AK1137=1,SUMPRODUCT(--($AO$2:$AO$1501&lt;$AO1137))+1,"")</f>
        <v/>
      </c>
      <c r="AM1137">
        <f>IF($D1137="","",IF(OR($R1137=TRUE(),$R1137="TRUE"),1,0))</f>
        <v/>
      </c>
      <c r="AN1137">
        <f>IF($D1137="","",IF($AA1137="Yes",1,0))</f>
        <v/>
      </c>
      <c r="AO1137">
        <f>IF($AK1137=1,IFERROR(IF(VALUE($D1137)&lt;100000000,VALUE($D1137),1000000000),IFERROR(IF(VALUE(MID($D1137,2,20))&lt;100000000,VALUE(MID($D1137,2,20)),1000000000),1000000000))+ROW()/100000,"")</f>
        <v/>
      </c>
    </row>
    <row r="1138">
      <c r="F1138" s="11" t="n"/>
      <c r="N1138" s="7">
        <f>IF($D1138="","",M1138*V1138/100)</f>
        <v/>
      </c>
      <c r="O1138" s="7" t="n"/>
      <c r="U1138" s="7" t="n"/>
      <c r="V1138" s="7" t="n"/>
      <c r="W1138" s="7">
        <f>IF($D1138="","",V1138*AB1138/100)</f>
        <v/>
      </c>
      <c r="X1138" s="7">
        <f>IF($D1138="","",V1138-W1138)</f>
        <v/>
      </c>
      <c r="Y1138" s="7">
        <f>IF($D1138="","",X1138-N1138)</f>
        <v/>
      </c>
      <c r="AB1138">
        <f>IF($D1138="","",IF($AN1138=1,0,IF($AM1138=1,Settings!$C$6,Settings!$C$7))*100)</f>
        <v/>
      </c>
      <c r="AF1138" s="7" t="n"/>
      <c r="AI1138" s="11" t="n"/>
      <c r="AK1138">
        <f>IF($D1138="","",IF(COUNTIF($D$2:$D1138,$D1138)=1,1,0))</f>
        <v/>
      </c>
      <c r="AL1138">
        <f>IF($AK1138=1,SUMPRODUCT(--($AO$2:$AO$1501&lt;$AO1138))+1,"")</f>
        <v/>
      </c>
      <c r="AM1138">
        <f>IF($D1138="","",IF(OR($R1138=TRUE(),$R1138="TRUE"),1,0))</f>
        <v/>
      </c>
      <c r="AN1138">
        <f>IF($D1138="","",IF($AA1138="Yes",1,0))</f>
        <v/>
      </c>
      <c r="AO1138">
        <f>IF($AK1138=1,IFERROR(IF(VALUE($D1138)&lt;100000000,VALUE($D1138),1000000000),IFERROR(IF(VALUE(MID($D1138,2,20))&lt;100000000,VALUE(MID($D1138,2,20)),1000000000),1000000000))+ROW()/100000,"")</f>
        <v/>
      </c>
    </row>
    <row r="1139">
      <c r="F1139" s="11" t="n"/>
      <c r="N1139" s="7">
        <f>IF($D1139="","",M1139*V1139/100)</f>
        <v/>
      </c>
      <c r="O1139" s="7" t="n"/>
      <c r="U1139" s="7" t="n"/>
      <c r="V1139" s="7" t="n"/>
      <c r="W1139" s="7">
        <f>IF($D1139="","",V1139*AB1139/100)</f>
        <v/>
      </c>
      <c r="X1139" s="7">
        <f>IF($D1139="","",V1139-W1139)</f>
        <v/>
      </c>
      <c r="Y1139" s="7">
        <f>IF($D1139="","",X1139-N1139)</f>
        <v/>
      </c>
      <c r="AB1139">
        <f>IF($D1139="","",IF($AN1139=1,0,IF($AM1139=1,Settings!$C$6,Settings!$C$7))*100)</f>
        <v/>
      </c>
      <c r="AF1139" s="7" t="n"/>
      <c r="AI1139" s="11" t="n"/>
      <c r="AK1139">
        <f>IF($D1139="","",IF(COUNTIF($D$2:$D1139,$D1139)=1,1,0))</f>
        <v/>
      </c>
      <c r="AL1139">
        <f>IF($AK1139=1,SUMPRODUCT(--($AO$2:$AO$1501&lt;$AO1139))+1,"")</f>
        <v/>
      </c>
      <c r="AM1139">
        <f>IF($D1139="","",IF(OR($R1139=TRUE(),$R1139="TRUE"),1,0))</f>
        <v/>
      </c>
      <c r="AN1139">
        <f>IF($D1139="","",IF($AA1139="Yes",1,0))</f>
        <v/>
      </c>
      <c r="AO1139">
        <f>IF($AK1139=1,IFERROR(IF(VALUE($D1139)&lt;100000000,VALUE($D1139),1000000000),IFERROR(IF(VALUE(MID($D1139,2,20))&lt;100000000,VALUE(MID($D1139,2,20)),1000000000),1000000000))+ROW()/100000,"")</f>
        <v/>
      </c>
    </row>
    <row r="1140">
      <c r="F1140" s="11" t="n"/>
      <c r="N1140" s="7">
        <f>IF($D1140="","",M1140*V1140/100)</f>
        <v/>
      </c>
      <c r="O1140" s="7" t="n"/>
      <c r="U1140" s="7" t="n"/>
      <c r="V1140" s="7" t="n"/>
      <c r="W1140" s="7">
        <f>IF($D1140="","",V1140*AB1140/100)</f>
        <v/>
      </c>
      <c r="X1140" s="7">
        <f>IF($D1140="","",V1140-W1140)</f>
        <v/>
      </c>
      <c r="Y1140" s="7">
        <f>IF($D1140="","",X1140-N1140)</f>
        <v/>
      </c>
      <c r="AB1140">
        <f>IF($D1140="","",IF($AN1140=1,0,IF($AM1140=1,Settings!$C$6,Settings!$C$7))*100)</f>
        <v/>
      </c>
      <c r="AF1140" s="7" t="n"/>
      <c r="AI1140" s="11" t="n"/>
      <c r="AK1140">
        <f>IF($D1140="","",IF(COUNTIF($D$2:$D1140,$D1140)=1,1,0))</f>
        <v/>
      </c>
      <c r="AL1140">
        <f>IF($AK1140=1,SUMPRODUCT(--($AO$2:$AO$1501&lt;$AO1140))+1,"")</f>
        <v/>
      </c>
      <c r="AM1140">
        <f>IF($D1140="","",IF(OR($R1140=TRUE(),$R1140="TRUE"),1,0))</f>
        <v/>
      </c>
      <c r="AN1140">
        <f>IF($D1140="","",IF($AA1140="Yes",1,0))</f>
        <v/>
      </c>
      <c r="AO1140">
        <f>IF($AK1140=1,IFERROR(IF(VALUE($D1140)&lt;100000000,VALUE($D1140),1000000000),IFERROR(IF(VALUE(MID($D1140,2,20))&lt;100000000,VALUE(MID($D1140,2,20)),1000000000),1000000000))+ROW()/100000,"")</f>
        <v/>
      </c>
    </row>
    <row r="1141">
      <c r="F1141" s="11" t="n"/>
      <c r="N1141" s="7">
        <f>IF($D1141="","",M1141*V1141/100)</f>
        <v/>
      </c>
      <c r="O1141" s="7" t="n"/>
      <c r="U1141" s="7" t="n"/>
      <c r="V1141" s="7" t="n"/>
      <c r="W1141" s="7">
        <f>IF($D1141="","",V1141*AB1141/100)</f>
        <v/>
      </c>
      <c r="X1141" s="7">
        <f>IF($D1141="","",V1141-W1141)</f>
        <v/>
      </c>
      <c r="Y1141" s="7">
        <f>IF($D1141="","",X1141-N1141)</f>
        <v/>
      </c>
      <c r="AB1141">
        <f>IF($D1141="","",IF($AN1141=1,0,IF($AM1141=1,Settings!$C$6,Settings!$C$7))*100)</f>
        <v/>
      </c>
      <c r="AF1141" s="7" t="n"/>
      <c r="AI1141" s="11" t="n"/>
      <c r="AK1141">
        <f>IF($D1141="","",IF(COUNTIF($D$2:$D1141,$D1141)=1,1,0))</f>
        <v/>
      </c>
      <c r="AL1141">
        <f>IF($AK1141=1,SUMPRODUCT(--($AO$2:$AO$1501&lt;$AO1141))+1,"")</f>
        <v/>
      </c>
      <c r="AM1141">
        <f>IF($D1141="","",IF(OR($R1141=TRUE(),$R1141="TRUE"),1,0))</f>
        <v/>
      </c>
      <c r="AN1141">
        <f>IF($D1141="","",IF($AA1141="Yes",1,0))</f>
        <v/>
      </c>
      <c r="AO1141">
        <f>IF($AK1141=1,IFERROR(IF(VALUE($D1141)&lt;100000000,VALUE($D1141),1000000000),IFERROR(IF(VALUE(MID($D1141,2,20))&lt;100000000,VALUE(MID($D1141,2,20)),1000000000),1000000000))+ROW()/100000,"")</f>
        <v/>
      </c>
    </row>
    <row r="1142">
      <c r="F1142" s="11" t="n"/>
      <c r="N1142" s="7">
        <f>IF($D1142="","",M1142*V1142/100)</f>
        <v/>
      </c>
      <c r="O1142" s="7" t="n"/>
      <c r="U1142" s="7" t="n"/>
      <c r="V1142" s="7" t="n"/>
      <c r="W1142" s="7">
        <f>IF($D1142="","",V1142*AB1142/100)</f>
        <v/>
      </c>
      <c r="X1142" s="7">
        <f>IF($D1142="","",V1142-W1142)</f>
        <v/>
      </c>
      <c r="Y1142" s="7">
        <f>IF($D1142="","",X1142-N1142)</f>
        <v/>
      </c>
      <c r="AB1142">
        <f>IF($D1142="","",IF($AN1142=1,0,IF($AM1142=1,Settings!$C$6,Settings!$C$7))*100)</f>
        <v/>
      </c>
      <c r="AF1142" s="7" t="n"/>
      <c r="AI1142" s="11" t="n"/>
      <c r="AK1142">
        <f>IF($D1142="","",IF(COUNTIF($D$2:$D1142,$D1142)=1,1,0))</f>
        <v/>
      </c>
      <c r="AL1142">
        <f>IF($AK1142=1,SUMPRODUCT(--($AO$2:$AO$1501&lt;$AO1142))+1,"")</f>
        <v/>
      </c>
      <c r="AM1142">
        <f>IF($D1142="","",IF(OR($R1142=TRUE(),$R1142="TRUE"),1,0))</f>
        <v/>
      </c>
      <c r="AN1142">
        <f>IF($D1142="","",IF($AA1142="Yes",1,0))</f>
        <v/>
      </c>
      <c r="AO1142">
        <f>IF($AK1142=1,IFERROR(IF(VALUE($D1142)&lt;100000000,VALUE($D1142),1000000000),IFERROR(IF(VALUE(MID($D1142,2,20))&lt;100000000,VALUE(MID($D1142,2,20)),1000000000),1000000000))+ROW()/100000,"")</f>
        <v/>
      </c>
    </row>
    <row r="1143">
      <c r="F1143" s="11" t="n"/>
      <c r="N1143" s="7">
        <f>IF($D1143="","",M1143*V1143/100)</f>
        <v/>
      </c>
      <c r="O1143" s="7" t="n"/>
      <c r="U1143" s="7" t="n"/>
      <c r="V1143" s="7" t="n"/>
      <c r="W1143" s="7">
        <f>IF($D1143="","",V1143*AB1143/100)</f>
        <v/>
      </c>
      <c r="X1143" s="7">
        <f>IF($D1143="","",V1143-W1143)</f>
        <v/>
      </c>
      <c r="Y1143" s="7">
        <f>IF($D1143="","",X1143-N1143)</f>
        <v/>
      </c>
      <c r="AB1143">
        <f>IF($D1143="","",IF($AN1143=1,0,IF($AM1143=1,Settings!$C$6,Settings!$C$7))*100)</f>
        <v/>
      </c>
      <c r="AF1143" s="7" t="n"/>
      <c r="AI1143" s="11" t="n"/>
      <c r="AK1143">
        <f>IF($D1143="","",IF(COUNTIF($D$2:$D1143,$D1143)=1,1,0))</f>
        <v/>
      </c>
      <c r="AL1143">
        <f>IF($AK1143=1,SUMPRODUCT(--($AO$2:$AO$1501&lt;$AO1143))+1,"")</f>
        <v/>
      </c>
      <c r="AM1143">
        <f>IF($D1143="","",IF(OR($R1143=TRUE(),$R1143="TRUE"),1,0))</f>
        <v/>
      </c>
      <c r="AN1143">
        <f>IF($D1143="","",IF($AA1143="Yes",1,0))</f>
        <v/>
      </c>
      <c r="AO1143">
        <f>IF($AK1143=1,IFERROR(IF(VALUE($D1143)&lt;100000000,VALUE($D1143),1000000000),IFERROR(IF(VALUE(MID($D1143,2,20))&lt;100000000,VALUE(MID($D1143,2,20)),1000000000),1000000000))+ROW()/100000,"")</f>
        <v/>
      </c>
    </row>
    <row r="1144">
      <c r="F1144" s="11" t="n"/>
      <c r="N1144" s="7">
        <f>IF($D1144="","",M1144*V1144/100)</f>
        <v/>
      </c>
      <c r="O1144" s="7" t="n"/>
      <c r="U1144" s="7" t="n"/>
      <c r="V1144" s="7" t="n"/>
      <c r="W1144" s="7">
        <f>IF($D1144="","",V1144*AB1144/100)</f>
        <v/>
      </c>
      <c r="X1144" s="7">
        <f>IF($D1144="","",V1144-W1144)</f>
        <v/>
      </c>
      <c r="Y1144" s="7">
        <f>IF($D1144="","",X1144-N1144)</f>
        <v/>
      </c>
      <c r="AB1144">
        <f>IF($D1144="","",IF($AN1144=1,0,IF($AM1144=1,Settings!$C$6,Settings!$C$7))*100)</f>
        <v/>
      </c>
      <c r="AF1144" s="7" t="n"/>
      <c r="AI1144" s="11" t="n"/>
      <c r="AK1144">
        <f>IF($D1144="","",IF(COUNTIF($D$2:$D1144,$D1144)=1,1,0))</f>
        <v/>
      </c>
      <c r="AL1144">
        <f>IF($AK1144=1,SUMPRODUCT(--($AO$2:$AO$1501&lt;$AO1144))+1,"")</f>
        <v/>
      </c>
      <c r="AM1144">
        <f>IF($D1144="","",IF(OR($R1144=TRUE(),$R1144="TRUE"),1,0))</f>
        <v/>
      </c>
      <c r="AN1144">
        <f>IF($D1144="","",IF($AA1144="Yes",1,0))</f>
        <v/>
      </c>
      <c r="AO1144">
        <f>IF($AK1144=1,IFERROR(IF(VALUE($D1144)&lt;100000000,VALUE($D1144),1000000000),IFERROR(IF(VALUE(MID($D1144,2,20))&lt;100000000,VALUE(MID($D1144,2,20)),1000000000),1000000000))+ROW()/100000,"")</f>
        <v/>
      </c>
    </row>
    <row r="1145">
      <c r="F1145" s="11" t="n"/>
      <c r="N1145" s="7">
        <f>IF($D1145="","",M1145*V1145/100)</f>
        <v/>
      </c>
      <c r="O1145" s="7" t="n"/>
      <c r="U1145" s="7" t="n"/>
      <c r="V1145" s="7" t="n"/>
      <c r="W1145" s="7">
        <f>IF($D1145="","",V1145*AB1145/100)</f>
        <v/>
      </c>
      <c r="X1145" s="7">
        <f>IF($D1145="","",V1145-W1145)</f>
        <v/>
      </c>
      <c r="Y1145" s="7">
        <f>IF($D1145="","",X1145-N1145)</f>
        <v/>
      </c>
      <c r="AB1145">
        <f>IF($D1145="","",IF($AN1145=1,0,IF($AM1145=1,Settings!$C$6,Settings!$C$7))*100)</f>
        <v/>
      </c>
      <c r="AF1145" s="7" t="n"/>
      <c r="AI1145" s="11" t="n"/>
      <c r="AK1145">
        <f>IF($D1145="","",IF(COUNTIF($D$2:$D1145,$D1145)=1,1,0))</f>
        <v/>
      </c>
      <c r="AL1145">
        <f>IF($AK1145=1,SUMPRODUCT(--($AO$2:$AO$1501&lt;$AO1145))+1,"")</f>
        <v/>
      </c>
      <c r="AM1145">
        <f>IF($D1145="","",IF(OR($R1145=TRUE(),$R1145="TRUE"),1,0))</f>
        <v/>
      </c>
      <c r="AN1145">
        <f>IF($D1145="","",IF($AA1145="Yes",1,0))</f>
        <v/>
      </c>
      <c r="AO1145">
        <f>IF($AK1145=1,IFERROR(IF(VALUE($D1145)&lt;100000000,VALUE($D1145),1000000000),IFERROR(IF(VALUE(MID($D1145,2,20))&lt;100000000,VALUE(MID($D1145,2,20)),1000000000),1000000000))+ROW()/100000,"")</f>
        <v/>
      </c>
    </row>
    <row r="1146">
      <c r="F1146" s="11" t="n"/>
      <c r="N1146" s="7">
        <f>IF($D1146="","",M1146*V1146/100)</f>
        <v/>
      </c>
      <c r="O1146" s="7" t="n"/>
      <c r="U1146" s="7" t="n"/>
      <c r="V1146" s="7" t="n"/>
      <c r="W1146" s="7">
        <f>IF($D1146="","",V1146*AB1146/100)</f>
        <v/>
      </c>
      <c r="X1146" s="7">
        <f>IF($D1146="","",V1146-W1146)</f>
        <v/>
      </c>
      <c r="Y1146" s="7">
        <f>IF($D1146="","",X1146-N1146)</f>
        <v/>
      </c>
      <c r="AB1146">
        <f>IF($D1146="","",IF($AN1146=1,0,IF($AM1146=1,Settings!$C$6,Settings!$C$7))*100)</f>
        <v/>
      </c>
      <c r="AF1146" s="7" t="n"/>
      <c r="AI1146" s="11" t="n"/>
      <c r="AK1146">
        <f>IF($D1146="","",IF(COUNTIF($D$2:$D1146,$D1146)=1,1,0))</f>
        <v/>
      </c>
      <c r="AL1146">
        <f>IF($AK1146=1,SUMPRODUCT(--($AO$2:$AO$1501&lt;$AO1146))+1,"")</f>
        <v/>
      </c>
      <c r="AM1146">
        <f>IF($D1146="","",IF(OR($R1146=TRUE(),$R1146="TRUE"),1,0))</f>
        <v/>
      </c>
      <c r="AN1146">
        <f>IF($D1146="","",IF($AA1146="Yes",1,0))</f>
        <v/>
      </c>
      <c r="AO1146">
        <f>IF($AK1146=1,IFERROR(IF(VALUE($D1146)&lt;100000000,VALUE($D1146),1000000000),IFERROR(IF(VALUE(MID($D1146,2,20))&lt;100000000,VALUE(MID($D1146,2,20)),1000000000),1000000000))+ROW()/100000,"")</f>
        <v/>
      </c>
    </row>
    <row r="1147">
      <c r="F1147" s="11" t="n"/>
      <c r="N1147" s="7">
        <f>IF($D1147="","",M1147*V1147/100)</f>
        <v/>
      </c>
      <c r="O1147" s="7" t="n"/>
      <c r="U1147" s="7" t="n"/>
      <c r="V1147" s="7" t="n"/>
      <c r="W1147" s="7">
        <f>IF($D1147="","",V1147*AB1147/100)</f>
        <v/>
      </c>
      <c r="X1147" s="7">
        <f>IF($D1147="","",V1147-W1147)</f>
        <v/>
      </c>
      <c r="Y1147" s="7">
        <f>IF($D1147="","",X1147-N1147)</f>
        <v/>
      </c>
      <c r="AB1147">
        <f>IF($D1147="","",IF($AN1147=1,0,IF($AM1147=1,Settings!$C$6,Settings!$C$7))*100)</f>
        <v/>
      </c>
      <c r="AF1147" s="7" t="n"/>
      <c r="AI1147" s="11" t="n"/>
      <c r="AK1147">
        <f>IF($D1147="","",IF(COUNTIF($D$2:$D1147,$D1147)=1,1,0))</f>
        <v/>
      </c>
      <c r="AL1147">
        <f>IF($AK1147=1,SUMPRODUCT(--($AO$2:$AO$1501&lt;$AO1147))+1,"")</f>
        <v/>
      </c>
      <c r="AM1147">
        <f>IF($D1147="","",IF(OR($R1147=TRUE(),$R1147="TRUE"),1,0))</f>
        <v/>
      </c>
      <c r="AN1147">
        <f>IF($D1147="","",IF($AA1147="Yes",1,0))</f>
        <v/>
      </c>
      <c r="AO1147">
        <f>IF($AK1147=1,IFERROR(IF(VALUE($D1147)&lt;100000000,VALUE($D1147),1000000000),IFERROR(IF(VALUE(MID($D1147,2,20))&lt;100000000,VALUE(MID($D1147,2,20)),1000000000),1000000000))+ROW()/100000,"")</f>
        <v/>
      </c>
    </row>
    <row r="1148">
      <c r="F1148" s="11" t="n"/>
      <c r="N1148" s="7">
        <f>IF($D1148="","",M1148*V1148/100)</f>
        <v/>
      </c>
      <c r="O1148" s="7" t="n"/>
      <c r="U1148" s="7" t="n"/>
      <c r="V1148" s="7" t="n"/>
      <c r="W1148" s="7">
        <f>IF($D1148="","",V1148*AB1148/100)</f>
        <v/>
      </c>
      <c r="X1148" s="7">
        <f>IF($D1148="","",V1148-W1148)</f>
        <v/>
      </c>
      <c r="Y1148" s="7">
        <f>IF($D1148="","",X1148-N1148)</f>
        <v/>
      </c>
      <c r="AB1148">
        <f>IF($D1148="","",IF($AN1148=1,0,IF($AM1148=1,Settings!$C$6,Settings!$C$7))*100)</f>
        <v/>
      </c>
      <c r="AF1148" s="7" t="n"/>
      <c r="AI1148" s="11" t="n"/>
      <c r="AK1148">
        <f>IF($D1148="","",IF(COUNTIF($D$2:$D1148,$D1148)=1,1,0))</f>
        <v/>
      </c>
      <c r="AL1148">
        <f>IF($AK1148=1,SUMPRODUCT(--($AO$2:$AO$1501&lt;$AO1148))+1,"")</f>
        <v/>
      </c>
      <c r="AM1148">
        <f>IF($D1148="","",IF(OR($R1148=TRUE(),$R1148="TRUE"),1,0))</f>
        <v/>
      </c>
      <c r="AN1148">
        <f>IF($D1148="","",IF($AA1148="Yes",1,0))</f>
        <v/>
      </c>
      <c r="AO1148">
        <f>IF($AK1148=1,IFERROR(IF(VALUE($D1148)&lt;100000000,VALUE($D1148),1000000000),IFERROR(IF(VALUE(MID($D1148,2,20))&lt;100000000,VALUE(MID($D1148,2,20)),1000000000),1000000000))+ROW()/100000,"")</f>
        <v/>
      </c>
    </row>
    <row r="1149">
      <c r="F1149" s="11" t="n"/>
      <c r="N1149" s="7">
        <f>IF($D1149="","",M1149*V1149/100)</f>
        <v/>
      </c>
      <c r="O1149" s="7" t="n"/>
      <c r="U1149" s="7" t="n"/>
      <c r="V1149" s="7" t="n"/>
      <c r="W1149" s="7">
        <f>IF($D1149="","",V1149*AB1149/100)</f>
        <v/>
      </c>
      <c r="X1149" s="7">
        <f>IF($D1149="","",V1149-W1149)</f>
        <v/>
      </c>
      <c r="Y1149" s="7">
        <f>IF($D1149="","",X1149-N1149)</f>
        <v/>
      </c>
      <c r="AB1149">
        <f>IF($D1149="","",IF($AN1149=1,0,IF($AM1149=1,Settings!$C$6,Settings!$C$7))*100)</f>
        <v/>
      </c>
      <c r="AF1149" s="7" t="n"/>
      <c r="AI1149" s="11" t="n"/>
      <c r="AK1149">
        <f>IF($D1149="","",IF(COUNTIF($D$2:$D1149,$D1149)=1,1,0))</f>
        <v/>
      </c>
      <c r="AL1149">
        <f>IF($AK1149=1,SUMPRODUCT(--($AO$2:$AO$1501&lt;$AO1149))+1,"")</f>
        <v/>
      </c>
      <c r="AM1149">
        <f>IF($D1149="","",IF(OR($R1149=TRUE(),$R1149="TRUE"),1,0))</f>
        <v/>
      </c>
      <c r="AN1149">
        <f>IF($D1149="","",IF($AA1149="Yes",1,0))</f>
        <v/>
      </c>
      <c r="AO1149">
        <f>IF($AK1149=1,IFERROR(IF(VALUE($D1149)&lt;100000000,VALUE($D1149),1000000000),IFERROR(IF(VALUE(MID($D1149,2,20))&lt;100000000,VALUE(MID($D1149,2,20)),1000000000),1000000000))+ROW()/100000,"")</f>
        <v/>
      </c>
    </row>
    <row r="1150">
      <c r="F1150" s="11" t="n"/>
      <c r="N1150" s="7">
        <f>IF($D1150="","",M1150*V1150/100)</f>
        <v/>
      </c>
      <c r="O1150" s="7" t="n"/>
      <c r="U1150" s="7" t="n"/>
      <c r="V1150" s="7" t="n"/>
      <c r="W1150" s="7">
        <f>IF($D1150="","",V1150*AB1150/100)</f>
        <v/>
      </c>
      <c r="X1150" s="7">
        <f>IF($D1150="","",V1150-W1150)</f>
        <v/>
      </c>
      <c r="Y1150" s="7">
        <f>IF($D1150="","",X1150-N1150)</f>
        <v/>
      </c>
      <c r="AB1150">
        <f>IF($D1150="","",IF($AN1150=1,0,IF($AM1150=1,Settings!$C$6,Settings!$C$7))*100)</f>
        <v/>
      </c>
      <c r="AF1150" s="7" t="n"/>
      <c r="AI1150" s="11" t="n"/>
      <c r="AK1150">
        <f>IF($D1150="","",IF(COUNTIF($D$2:$D1150,$D1150)=1,1,0))</f>
        <v/>
      </c>
      <c r="AL1150">
        <f>IF($AK1150=1,SUMPRODUCT(--($AO$2:$AO$1501&lt;$AO1150))+1,"")</f>
        <v/>
      </c>
      <c r="AM1150">
        <f>IF($D1150="","",IF(OR($R1150=TRUE(),$R1150="TRUE"),1,0))</f>
        <v/>
      </c>
      <c r="AN1150">
        <f>IF($D1150="","",IF($AA1150="Yes",1,0))</f>
        <v/>
      </c>
      <c r="AO1150">
        <f>IF($AK1150=1,IFERROR(IF(VALUE($D1150)&lt;100000000,VALUE($D1150),1000000000),IFERROR(IF(VALUE(MID($D1150,2,20))&lt;100000000,VALUE(MID($D1150,2,20)),1000000000),1000000000))+ROW()/100000,"")</f>
        <v/>
      </c>
    </row>
    <row r="1151">
      <c r="F1151" s="11" t="n"/>
      <c r="N1151" s="7">
        <f>IF($D1151="","",M1151*V1151/100)</f>
        <v/>
      </c>
      <c r="O1151" s="7" t="n"/>
      <c r="U1151" s="7" t="n"/>
      <c r="V1151" s="7" t="n"/>
      <c r="W1151" s="7">
        <f>IF($D1151="","",V1151*AB1151/100)</f>
        <v/>
      </c>
      <c r="X1151" s="7">
        <f>IF($D1151="","",V1151-W1151)</f>
        <v/>
      </c>
      <c r="Y1151" s="7">
        <f>IF($D1151="","",X1151-N1151)</f>
        <v/>
      </c>
      <c r="AB1151">
        <f>IF($D1151="","",IF($AN1151=1,0,IF($AM1151=1,Settings!$C$6,Settings!$C$7))*100)</f>
        <v/>
      </c>
      <c r="AF1151" s="7" t="n"/>
      <c r="AI1151" s="11" t="n"/>
      <c r="AK1151">
        <f>IF($D1151="","",IF(COUNTIF($D$2:$D1151,$D1151)=1,1,0))</f>
        <v/>
      </c>
      <c r="AL1151">
        <f>IF($AK1151=1,SUMPRODUCT(--($AO$2:$AO$1501&lt;$AO1151))+1,"")</f>
        <v/>
      </c>
      <c r="AM1151">
        <f>IF($D1151="","",IF(OR($R1151=TRUE(),$R1151="TRUE"),1,0))</f>
        <v/>
      </c>
      <c r="AN1151">
        <f>IF($D1151="","",IF($AA1151="Yes",1,0))</f>
        <v/>
      </c>
      <c r="AO1151">
        <f>IF($AK1151=1,IFERROR(IF(VALUE($D1151)&lt;100000000,VALUE($D1151),1000000000),IFERROR(IF(VALUE(MID($D1151,2,20))&lt;100000000,VALUE(MID($D1151,2,20)),1000000000),1000000000))+ROW()/100000,"")</f>
        <v/>
      </c>
    </row>
    <row r="1152">
      <c r="F1152" s="11" t="n"/>
      <c r="N1152" s="7">
        <f>IF($D1152="","",M1152*V1152/100)</f>
        <v/>
      </c>
      <c r="O1152" s="7" t="n"/>
      <c r="U1152" s="7" t="n"/>
      <c r="V1152" s="7" t="n"/>
      <c r="W1152" s="7">
        <f>IF($D1152="","",V1152*AB1152/100)</f>
        <v/>
      </c>
      <c r="X1152" s="7">
        <f>IF($D1152="","",V1152-W1152)</f>
        <v/>
      </c>
      <c r="Y1152" s="7">
        <f>IF($D1152="","",X1152-N1152)</f>
        <v/>
      </c>
      <c r="AB1152">
        <f>IF($D1152="","",IF($AN1152=1,0,IF($AM1152=1,Settings!$C$6,Settings!$C$7))*100)</f>
        <v/>
      </c>
      <c r="AF1152" s="7" t="n"/>
      <c r="AI1152" s="11" t="n"/>
      <c r="AK1152">
        <f>IF($D1152="","",IF(COUNTIF($D$2:$D1152,$D1152)=1,1,0))</f>
        <v/>
      </c>
      <c r="AL1152">
        <f>IF($AK1152=1,SUMPRODUCT(--($AO$2:$AO$1501&lt;$AO1152))+1,"")</f>
        <v/>
      </c>
      <c r="AM1152">
        <f>IF($D1152="","",IF(OR($R1152=TRUE(),$R1152="TRUE"),1,0))</f>
        <v/>
      </c>
      <c r="AN1152">
        <f>IF($D1152="","",IF($AA1152="Yes",1,0))</f>
        <v/>
      </c>
      <c r="AO1152">
        <f>IF($AK1152=1,IFERROR(IF(VALUE($D1152)&lt;100000000,VALUE($D1152),1000000000),IFERROR(IF(VALUE(MID($D1152,2,20))&lt;100000000,VALUE(MID($D1152,2,20)),1000000000),1000000000))+ROW()/100000,"")</f>
        <v/>
      </c>
    </row>
    <row r="1153">
      <c r="F1153" s="11" t="n"/>
      <c r="N1153" s="7">
        <f>IF($D1153="","",M1153*V1153/100)</f>
        <v/>
      </c>
      <c r="O1153" s="7" t="n"/>
      <c r="U1153" s="7" t="n"/>
      <c r="V1153" s="7" t="n"/>
      <c r="W1153" s="7">
        <f>IF($D1153="","",V1153*AB1153/100)</f>
        <v/>
      </c>
      <c r="X1153" s="7">
        <f>IF($D1153="","",V1153-W1153)</f>
        <v/>
      </c>
      <c r="Y1153" s="7">
        <f>IF($D1153="","",X1153-N1153)</f>
        <v/>
      </c>
      <c r="AB1153">
        <f>IF($D1153="","",IF($AN1153=1,0,IF($AM1153=1,Settings!$C$6,Settings!$C$7))*100)</f>
        <v/>
      </c>
      <c r="AF1153" s="7" t="n"/>
      <c r="AI1153" s="11" t="n"/>
      <c r="AK1153">
        <f>IF($D1153="","",IF(COUNTIF($D$2:$D1153,$D1153)=1,1,0))</f>
        <v/>
      </c>
      <c r="AL1153">
        <f>IF($AK1153=1,SUMPRODUCT(--($AO$2:$AO$1501&lt;$AO1153))+1,"")</f>
        <v/>
      </c>
      <c r="AM1153">
        <f>IF($D1153="","",IF(OR($R1153=TRUE(),$R1153="TRUE"),1,0))</f>
        <v/>
      </c>
      <c r="AN1153">
        <f>IF($D1153="","",IF($AA1153="Yes",1,0))</f>
        <v/>
      </c>
      <c r="AO1153">
        <f>IF($AK1153=1,IFERROR(IF(VALUE($D1153)&lt;100000000,VALUE($D1153),1000000000),IFERROR(IF(VALUE(MID($D1153,2,20))&lt;100000000,VALUE(MID($D1153,2,20)),1000000000),1000000000))+ROW()/100000,"")</f>
        <v/>
      </c>
    </row>
    <row r="1154">
      <c r="F1154" s="11" t="n"/>
      <c r="N1154" s="7">
        <f>IF($D1154="","",M1154*V1154/100)</f>
        <v/>
      </c>
      <c r="O1154" s="7" t="n"/>
      <c r="U1154" s="7" t="n"/>
      <c r="V1154" s="7" t="n"/>
      <c r="W1154" s="7">
        <f>IF($D1154="","",V1154*AB1154/100)</f>
        <v/>
      </c>
      <c r="X1154" s="7">
        <f>IF($D1154="","",V1154-W1154)</f>
        <v/>
      </c>
      <c r="Y1154" s="7">
        <f>IF($D1154="","",X1154-N1154)</f>
        <v/>
      </c>
      <c r="AB1154">
        <f>IF($D1154="","",IF($AN1154=1,0,IF($AM1154=1,Settings!$C$6,Settings!$C$7))*100)</f>
        <v/>
      </c>
      <c r="AF1154" s="7" t="n"/>
      <c r="AI1154" s="11" t="n"/>
      <c r="AK1154">
        <f>IF($D1154="","",IF(COUNTIF($D$2:$D1154,$D1154)=1,1,0))</f>
        <v/>
      </c>
      <c r="AL1154">
        <f>IF($AK1154=1,SUMPRODUCT(--($AO$2:$AO$1501&lt;$AO1154))+1,"")</f>
        <v/>
      </c>
      <c r="AM1154">
        <f>IF($D1154="","",IF(OR($R1154=TRUE(),$R1154="TRUE"),1,0))</f>
        <v/>
      </c>
      <c r="AN1154">
        <f>IF($D1154="","",IF($AA1154="Yes",1,0))</f>
        <v/>
      </c>
      <c r="AO1154">
        <f>IF($AK1154=1,IFERROR(IF(VALUE($D1154)&lt;100000000,VALUE($D1154),1000000000),IFERROR(IF(VALUE(MID($D1154,2,20))&lt;100000000,VALUE(MID($D1154,2,20)),1000000000),1000000000))+ROW()/100000,"")</f>
        <v/>
      </c>
    </row>
    <row r="1155">
      <c r="F1155" s="11" t="n"/>
      <c r="N1155" s="7">
        <f>IF($D1155="","",M1155*V1155/100)</f>
        <v/>
      </c>
      <c r="O1155" s="7" t="n"/>
      <c r="U1155" s="7" t="n"/>
      <c r="V1155" s="7" t="n"/>
      <c r="W1155" s="7">
        <f>IF($D1155="","",V1155*AB1155/100)</f>
        <v/>
      </c>
      <c r="X1155" s="7">
        <f>IF($D1155="","",V1155-W1155)</f>
        <v/>
      </c>
      <c r="Y1155" s="7">
        <f>IF($D1155="","",X1155-N1155)</f>
        <v/>
      </c>
      <c r="AB1155">
        <f>IF($D1155="","",IF($AN1155=1,0,IF($AM1155=1,Settings!$C$6,Settings!$C$7))*100)</f>
        <v/>
      </c>
      <c r="AF1155" s="7" t="n"/>
      <c r="AI1155" s="11" t="n"/>
      <c r="AK1155">
        <f>IF($D1155="","",IF(COUNTIF($D$2:$D1155,$D1155)=1,1,0))</f>
        <v/>
      </c>
      <c r="AL1155">
        <f>IF($AK1155=1,SUMPRODUCT(--($AO$2:$AO$1501&lt;$AO1155))+1,"")</f>
        <v/>
      </c>
      <c r="AM1155">
        <f>IF($D1155="","",IF(OR($R1155=TRUE(),$R1155="TRUE"),1,0))</f>
        <v/>
      </c>
      <c r="AN1155">
        <f>IF($D1155="","",IF($AA1155="Yes",1,0))</f>
        <v/>
      </c>
      <c r="AO1155">
        <f>IF($AK1155=1,IFERROR(IF(VALUE($D1155)&lt;100000000,VALUE($D1155),1000000000),IFERROR(IF(VALUE(MID($D1155,2,20))&lt;100000000,VALUE(MID($D1155,2,20)),1000000000),1000000000))+ROW()/100000,"")</f>
        <v/>
      </c>
    </row>
    <row r="1156">
      <c r="F1156" s="11" t="n"/>
      <c r="N1156" s="7">
        <f>IF($D1156="","",M1156*V1156/100)</f>
        <v/>
      </c>
      <c r="O1156" s="7" t="n"/>
      <c r="U1156" s="7" t="n"/>
      <c r="V1156" s="7" t="n"/>
      <c r="W1156" s="7">
        <f>IF($D1156="","",V1156*AB1156/100)</f>
        <v/>
      </c>
      <c r="X1156" s="7">
        <f>IF($D1156="","",V1156-W1156)</f>
        <v/>
      </c>
      <c r="Y1156" s="7">
        <f>IF($D1156="","",X1156-N1156)</f>
        <v/>
      </c>
      <c r="AB1156">
        <f>IF($D1156="","",IF($AN1156=1,0,IF($AM1156=1,Settings!$C$6,Settings!$C$7))*100)</f>
        <v/>
      </c>
      <c r="AF1156" s="7" t="n"/>
      <c r="AI1156" s="11" t="n"/>
      <c r="AK1156">
        <f>IF($D1156="","",IF(COUNTIF($D$2:$D1156,$D1156)=1,1,0))</f>
        <v/>
      </c>
      <c r="AL1156">
        <f>IF($AK1156=1,SUMPRODUCT(--($AO$2:$AO$1501&lt;$AO1156))+1,"")</f>
        <v/>
      </c>
      <c r="AM1156">
        <f>IF($D1156="","",IF(OR($R1156=TRUE(),$R1156="TRUE"),1,0))</f>
        <v/>
      </c>
      <c r="AN1156">
        <f>IF($D1156="","",IF($AA1156="Yes",1,0))</f>
        <v/>
      </c>
      <c r="AO1156">
        <f>IF($AK1156=1,IFERROR(IF(VALUE($D1156)&lt;100000000,VALUE($D1156),1000000000),IFERROR(IF(VALUE(MID($D1156,2,20))&lt;100000000,VALUE(MID($D1156,2,20)),1000000000),1000000000))+ROW()/100000,"")</f>
        <v/>
      </c>
    </row>
    <row r="1157">
      <c r="F1157" s="11" t="n"/>
      <c r="N1157" s="7">
        <f>IF($D1157="","",M1157*V1157/100)</f>
        <v/>
      </c>
      <c r="O1157" s="7" t="n"/>
      <c r="U1157" s="7" t="n"/>
      <c r="V1157" s="7" t="n"/>
      <c r="W1157" s="7">
        <f>IF($D1157="","",V1157*AB1157/100)</f>
        <v/>
      </c>
      <c r="X1157" s="7">
        <f>IF($D1157="","",V1157-W1157)</f>
        <v/>
      </c>
      <c r="Y1157" s="7">
        <f>IF($D1157="","",X1157-N1157)</f>
        <v/>
      </c>
      <c r="AB1157">
        <f>IF($D1157="","",IF($AN1157=1,0,IF($AM1157=1,Settings!$C$6,Settings!$C$7))*100)</f>
        <v/>
      </c>
      <c r="AF1157" s="7" t="n"/>
      <c r="AI1157" s="11" t="n"/>
      <c r="AK1157">
        <f>IF($D1157="","",IF(COUNTIF($D$2:$D1157,$D1157)=1,1,0))</f>
        <v/>
      </c>
      <c r="AL1157">
        <f>IF($AK1157=1,SUMPRODUCT(--($AO$2:$AO$1501&lt;$AO1157))+1,"")</f>
        <v/>
      </c>
      <c r="AM1157">
        <f>IF($D1157="","",IF(OR($R1157=TRUE(),$R1157="TRUE"),1,0))</f>
        <v/>
      </c>
      <c r="AN1157">
        <f>IF($D1157="","",IF($AA1157="Yes",1,0))</f>
        <v/>
      </c>
      <c r="AO1157">
        <f>IF($AK1157=1,IFERROR(IF(VALUE($D1157)&lt;100000000,VALUE($D1157),1000000000),IFERROR(IF(VALUE(MID($D1157,2,20))&lt;100000000,VALUE(MID($D1157,2,20)),1000000000),1000000000))+ROW()/100000,"")</f>
        <v/>
      </c>
    </row>
    <row r="1158">
      <c r="F1158" s="11" t="n"/>
      <c r="N1158" s="7">
        <f>IF($D1158="","",M1158*V1158/100)</f>
        <v/>
      </c>
      <c r="O1158" s="7" t="n"/>
      <c r="U1158" s="7" t="n"/>
      <c r="V1158" s="7" t="n"/>
      <c r="W1158" s="7">
        <f>IF($D1158="","",V1158*AB1158/100)</f>
        <v/>
      </c>
      <c r="X1158" s="7">
        <f>IF($D1158="","",V1158-W1158)</f>
        <v/>
      </c>
      <c r="Y1158" s="7">
        <f>IF($D1158="","",X1158-N1158)</f>
        <v/>
      </c>
      <c r="AB1158">
        <f>IF($D1158="","",IF($AN1158=1,0,IF($AM1158=1,Settings!$C$6,Settings!$C$7))*100)</f>
        <v/>
      </c>
      <c r="AF1158" s="7" t="n"/>
      <c r="AI1158" s="11" t="n"/>
      <c r="AK1158">
        <f>IF($D1158="","",IF(COUNTIF($D$2:$D1158,$D1158)=1,1,0))</f>
        <v/>
      </c>
      <c r="AL1158">
        <f>IF($AK1158=1,SUMPRODUCT(--($AO$2:$AO$1501&lt;$AO1158))+1,"")</f>
        <v/>
      </c>
      <c r="AM1158">
        <f>IF($D1158="","",IF(OR($R1158=TRUE(),$R1158="TRUE"),1,0))</f>
        <v/>
      </c>
      <c r="AN1158">
        <f>IF($D1158="","",IF($AA1158="Yes",1,0))</f>
        <v/>
      </c>
      <c r="AO1158">
        <f>IF($AK1158=1,IFERROR(IF(VALUE($D1158)&lt;100000000,VALUE($D1158),1000000000),IFERROR(IF(VALUE(MID($D1158,2,20))&lt;100000000,VALUE(MID($D1158,2,20)),1000000000),1000000000))+ROW()/100000,"")</f>
        <v/>
      </c>
    </row>
    <row r="1159">
      <c r="F1159" s="11" t="n"/>
      <c r="N1159" s="7">
        <f>IF($D1159="","",M1159*V1159/100)</f>
        <v/>
      </c>
      <c r="O1159" s="7" t="n"/>
      <c r="U1159" s="7" t="n"/>
      <c r="V1159" s="7" t="n"/>
      <c r="W1159" s="7">
        <f>IF($D1159="","",V1159*AB1159/100)</f>
        <v/>
      </c>
      <c r="X1159" s="7">
        <f>IF($D1159="","",V1159-W1159)</f>
        <v/>
      </c>
      <c r="Y1159" s="7">
        <f>IF($D1159="","",X1159-N1159)</f>
        <v/>
      </c>
      <c r="AB1159">
        <f>IF($D1159="","",IF($AN1159=1,0,IF($AM1159=1,Settings!$C$6,Settings!$C$7))*100)</f>
        <v/>
      </c>
      <c r="AF1159" s="7" t="n"/>
      <c r="AI1159" s="11" t="n"/>
      <c r="AK1159">
        <f>IF($D1159="","",IF(COUNTIF($D$2:$D1159,$D1159)=1,1,0))</f>
        <v/>
      </c>
      <c r="AL1159">
        <f>IF($AK1159=1,SUMPRODUCT(--($AO$2:$AO$1501&lt;$AO1159))+1,"")</f>
        <v/>
      </c>
      <c r="AM1159">
        <f>IF($D1159="","",IF(OR($R1159=TRUE(),$R1159="TRUE"),1,0))</f>
        <v/>
      </c>
      <c r="AN1159">
        <f>IF($D1159="","",IF($AA1159="Yes",1,0))</f>
        <v/>
      </c>
      <c r="AO1159">
        <f>IF($AK1159=1,IFERROR(IF(VALUE($D1159)&lt;100000000,VALUE($D1159),1000000000),IFERROR(IF(VALUE(MID($D1159,2,20))&lt;100000000,VALUE(MID($D1159,2,20)),1000000000),1000000000))+ROW()/100000,"")</f>
        <v/>
      </c>
    </row>
    <row r="1160">
      <c r="F1160" s="11" t="n"/>
      <c r="N1160" s="7">
        <f>IF($D1160="","",M1160*V1160/100)</f>
        <v/>
      </c>
      <c r="O1160" s="7" t="n"/>
      <c r="U1160" s="7" t="n"/>
      <c r="V1160" s="7" t="n"/>
      <c r="W1160" s="7">
        <f>IF($D1160="","",V1160*AB1160/100)</f>
        <v/>
      </c>
      <c r="X1160" s="7">
        <f>IF($D1160="","",V1160-W1160)</f>
        <v/>
      </c>
      <c r="Y1160" s="7">
        <f>IF($D1160="","",X1160-N1160)</f>
        <v/>
      </c>
      <c r="AB1160">
        <f>IF($D1160="","",IF($AN1160=1,0,IF($AM1160=1,Settings!$C$6,Settings!$C$7))*100)</f>
        <v/>
      </c>
      <c r="AF1160" s="7" t="n"/>
      <c r="AI1160" s="11" t="n"/>
      <c r="AK1160">
        <f>IF($D1160="","",IF(COUNTIF($D$2:$D1160,$D1160)=1,1,0))</f>
        <v/>
      </c>
      <c r="AL1160">
        <f>IF($AK1160=1,SUMPRODUCT(--($AO$2:$AO$1501&lt;$AO1160))+1,"")</f>
        <v/>
      </c>
      <c r="AM1160">
        <f>IF($D1160="","",IF(OR($R1160=TRUE(),$R1160="TRUE"),1,0))</f>
        <v/>
      </c>
      <c r="AN1160">
        <f>IF($D1160="","",IF($AA1160="Yes",1,0))</f>
        <v/>
      </c>
      <c r="AO1160">
        <f>IF($AK1160=1,IFERROR(IF(VALUE($D1160)&lt;100000000,VALUE($D1160),1000000000),IFERROR(IF(VALUE(MID($D1160,2,20))&lt;100000000,VALUE(MID($D1160,2,20)),1000000000),1000000000))+ROW()/100000,"")</f>
        <v/>
      </c>
    </row>
    <row r="1161">
      <c r="F1161" s="11" t="n"/>
      <c r="N1161" s="7">
        <f>IF($D1161="","",M1161*V1161/100)</f>
        <v/>
      </c>
      <c r="O1161" s="7" t="n"/>
      <c r="U1161" s="7" t="n"/>
      <c r="V1161" s="7" t="n"/>
      <c r="W1161" s="7">
        <f>IF($D1161="","",V1161*AB1161/100)</f>
        <v/>
      </c>
      <c r="X1161" s="7">
        <f>IF($D1161="","",V1161-W1161)</f>
        <v/>
      </c>
      <c r="Y1161" s="7">
        <f>IF($D1161="","",X1161-N1161)</f>
        <v/>
      </c>
      <c r="AB1161">
        <f>IF($D1161="","",IF($AN1161=1,0,IF($AM1161=1,Settings!$C$6,Settings!$C$7))*100)</f>
        <v/>
      </c>
      <c r="AF1161" s="7" t="n"/>
      <c r="AI1161" s="11" t="n"/>
      <c r="AK1161">
        <f>IF($D1161="","",IF(COUNTIF($D$2:$D1161,$D1161)=1,1,0))</f>
        <v/>
      </c>
      <c r="AL1161">
        <f>IF($AK1161=1,SUMPRODUCT(--($AO$2:$AO$1501&lt;$AO1161))+1,"")</f>
        <v/>
      </c>
      <c r="AM1161">
        <f>IF($D1161="","",IF(OR($R1161=TRUE(),$R1161="TRUE"),1,0))</f>
        <v/>
      </c>
      <c r="AN1161">
        <f>IF($D1161="","",IF($AA1161="Yes",1,0))</f>
        <v/>
      </c>
      <c r="AO1161">
        <f>IF($AK1161=1,IFERROR(IF(VALUE($D1161)&lt;100000000,VALUE($D1161),1000000000),IFERROR(IF(VALUE(MID($D1161,2,20))&lt;100000000,VALUE(MID($D1161,2,20)),1000000000),1000000000))+ROW()/100000,"")</f>
        <v/>
      </c>
    </row>
    <row r="1162">
      <c r="F1162" s="11" t="n"/>
      <c r="N1162" s="7">
        <f>IF($D1162="","",M1162*V1162/100)</f>
        <v/>
      </c>
      <c r="O1162" s="7" t="n"/>
      <c r="U1162" s="7" t="n"/>
      <c r="V1162" s="7" t="n"/>
      <c r="W1162" s="7">
        <f>IF($D1162="","",V1162*AB1162/100)</f>
        <v/>
      </c>
      <c r="X1162" s="7">
        <f>IF($D1162="","",V1162-W1162)</f>
        <v/>
      </c>
      <c r="Y1162" s="7">
        <f>IF($D1162="","",X1162-N1162)</f>
        <v/>
      </c>
      <c r="AB1162">
        <f>IF($D1162="","",IF($AN1162=1,0,IF($AM1162=1,Settings!$C$6,Settings!$C$7))*100)</f>
        <v/>
      </c>
      <c r="AF1162" s="7" t="n"/>
      <c r="AI1162" s="11" t="n"/>
      <c r="AK1162">
        <f>IF($D1162="","",IF(COUNTIF($D$2:$D1162,$D1162)=1,1,0))</f>
        <v/>
      </c>
      <c r="AL1162">
        <f>IF($AK1162=1,SUMPRODUCT(--($AO$2:$AO$1501&lt;$AO1162))+1,"")</f>
        <v/>
      </c>
      <c r="AM1162">
        <f>IF($D1162="","",IF(OR($R1162=TRUE(),$R1162="TRUE"),1,0))</f>
        <v/>
      </c>
      <c r="AN1162">
        <f>IF($D1162="","",IF($AA1162="Yes",1,0))</f>
        <v/>
      </c>
      <c r="AO1162">
        <f>IF($AK1162=1,IFERROR(IF(VALUE($D1162)&lt;100000000,VALUE($D1162),1000000000),IFERROR(IF(VALUE(MID($D1162,2,20))&lt;100000000,VALUE(MID($D1162,2,20)),1000000000),1000000000))+ROW()/100000,"")</f>
        <v/>
      </c>
    </row>
    <row r="1163">
      <c r="F1163" s="11" t="n"/>
      <c r="N1163" s="7">
        <f>IF($D1163="","",M1163*V1163/100)</f>
        <v/>
      </c>
      <c r="O1163" s="7" t="n"/>
      <c r="U1163" s="7" t="n"/>
      <c r="V1163" s="7" t="n"/>
      <c r="W1163" s="7">
        <f>IF($D1163="","",V1163*AB1163/100)</f>
        <v/>
      </c>
      <c r="X1163" s="7">
        <f>IF($D1163="","",V1163-W1163)</f>
        <v/>
      </c>
      <c r="Y1163" s="7">
        <f>IF($D1163="","",X1163-N1163)</f>
        <v/>
      </c>
      <c r="AB1163">
        <f>IF($D1163="","",IF($AN1163=1,0,IF($AM1163=1,Settings!$C$6,Settings!$C$7))*100)</f>
        <v/>
      </c>
      <c r="AF1163" s="7" t="n"/>
      <c r="AI1163" s="11" t="n"/>
      <c r="AK1163">
        <f>IF($D1163="","",IF(COUNTIF($D$2:$D1163,$D1163)=1,1,0))</f>
        <v/>
      </c>
      <c r="AL1163">
        <f>IF($AK1163=1,SUMPRODUCT(--($AO$2:$AO$1501&lt;$AO1163))+1,"")</f>
        <v/>
      </c>
      <c r="AM1163">
        <f>IF($D1163="","",IF(OR($R1163=TRUE(),$R1163="TRUE"),1,0))</f>
        <v/>
      </c>
      <c r="AN1163">
        <f>IF($D1163="","",IF($AA1163="Yes",1,0))</f>
        <v/>
      </c>
      <c r="AO1163">
        <f>IF($AK1163=1,IFERROR(IF(VALUE($D1163)&lt;100000000,VALUE($D1163),1000000000),IFERROR(IF(VALUE(MID($D1163,2,20))&lt;100000000,VALUE(MID($D1163,2,20)),1000000000),1000000000))+ROW()/100000,"")</f>
        <v/>
      </c>
    </row>
    <row r="1164">
      <c r="F1164" s="11" t="n"/>
      <c r="N1164" s="7">
        <f>IF($D1164="","",M1164*V1164/100)</f>
        <v/>
      </c>
      <c r="O1164" s="7" t="n"/>
      <c r="U1164" s="7" t="n"/>
      <c r="V1164" s="7" t="n"/>
      <c r="W1164" s="7">
        <f>IF($D1164="","",V1164*AB1164/100)</f>
        <v/>
      </c>
      <c r="X1164" s="7">
        <f>IF($D1164="","",V1164-W1164)</f>
        <v/>
      </c>
      <c r="Y1164" s="7">
        <f>IF($D1164="","",X1164-N1164)</f>
        <v/>
      </c>
      <c r="AB1164">
        <f>IF($D1164="","",IF($AN1164=1,0,IF($AM1164=1,Settings!$C$6,Settings!$C$7))*100)</f>
        <v/>
      </c>
      <c r="AF1164" s="7" t="n"/>
      <c r="AI1164" s="11" t="n"/>
      <c r="AK1164">
        <f>IF($D1164="","",IF(COUNTIF($D$2:$D1164,$D1164)=1,1,0))</f>
        <v/>
      </c>
      <c r="AL1164">
        <f>IF($AK1164=1,SUMPRODUCT(--($AO$2:$AO$1501&lt;$AO1164))+1,"")</f>
        <v/>
      </c>
      <c r="AM1164">
        <f>IF($D1164="","",IF(OR($R1164=TRUE(),$R1164="TRUE"),1,0))</f>
        <v/>
      </c>
      <c r="AN1164">
        <f>IF($D1164="","",IF($AA1164="Yes",1,0))</f>
        <v/>
      </c>
      <c r="AO1164">
        <f>IF($AK1164=1,IFERROR(IF(VALUE($D1164)&lt;100000000,VALUE($D1164),1000000000),IFERROR(IF(VALUE(MID($D1164,2,20))&lt;100000000,VALUE(MID($D1164,2,20)),1000000000),1000000000))+ROW()/100000,"")</f>
        <v/>
      </c>
    </row>
    <row r="1165">
      <c r="F1165" s="11" t="n"/>
      <c r="N1165" s="7">
        <f>IF($D1165="","",M1165*V1165/100)</f>
        <v/>
      </c>
      <c r="O1165" s="7" t="n"/>
      <c r="U1165" s="7" t="n"/>
      <c r="V1165" s="7" t="n"/>
      <c r="W1165" s="7">
        <f>IF($D1165="","",V1165*AB1165/100)</f>
        <v/>
      </c>
      <c r="X1165" s="7">
        <f>IF($D1165="","",V1165-W1165)</f>
        <v/>
      </c>
      <c r="Y1165" s="7">
        <f>IF($D1165="","",X1165-N1165)</f>
        <v/>
      </c>
      <c r="AB1165">
        <f>IF($D1165="","",IF($AN1165=1,0,IF($AM1165=1,Settings!$C$6,Settings!$C$7))*100)</f>
        <v/>
      </c>
      <c r="AF1165" s="7" t="n"/>
      <c r="AI1165" s="11" t="n"/>
      <c r="AK1165">
        <f>IF($D1165="","",IF(COUNTIF($D$2:$D1165,$D1165)=1,1,0))</f>
        <v/>
      </c>
      <c r="AL1165">
        <f>IF($AK1165=1,SUMPRODUCT(--($AO$2:$AO$1501&lt;$AO1165))+1,"")</f>
        <v/>
      </c>
      <c r="AM1165">
        <f>IF($D1165="","",IF(OR($R1165=TRUE(),$R1165="TRUE"),1,0))</f>
        <v/>
      </c>
      <c r="AN1165">
        <f>IF($D1165="","",IF($AA1165="Yes",1,0))</f>
        <v/>
      </c>
      <c r="AO1165">
        <f>IF($AK1165=1,IFERROR(IF(VALUE($D1165)&lt;100000000,VALUE($D1165),1000000000),IFERROR(IF(VALUE(MID($D1165,2,20))&lt;100000000,VALUE(MID($D1165,2,20)),1000000000),1000000000))+ROW()/100000,"")</f>
        <v/>
      </c>
    </row>
    <row r="1166">
      <c r="F1166" s="11" t="n"/>
      <c r="N1166" s="7">
        <f>IF($D1166="","",M1166*V1166/100)</f>
        <v/>
      </c>
      <c r="O1166" s="7" t="n"/>
      <c r="U1166" s="7" t="n"/>
      <c r="V1166" s="7" t="n"/>
      <c r="W1166" s="7">
        <f>IF($D1166="","",V1166*AB1166/100)</f>
        <v/>
      </c>
      <c r="X1166" s="7">
        <f>IF($D1166="","",V1166-W1166)</f>
        <v/>
      </c>
      <c r="Y1166" s="7">
        <f>IF($D1166="","",X1166-N1166)</f>
        <v/>
      </c>
      <c r="AB1166">
        <f>IF($D1166="","",IF($AN1166=1,0,IF($AM1166=1,Settings!$C$6,Settings!$C$7))*100)</f>
        <v/>
      </c>
      <c r="AF1166" s="7" t="n"/>
      <c r="AI1166" s="11" t="n"/>
      <c r="AK1166">
        <f>IF($D1166="","",IF(COUNTIF($D$2:$D1166,$D1166)=1,1,0))</f>
        <v/>
      </c>
      <c r="AL1166">
        <f>IF($AK1166=1,SUMPRODUCT(--($AO$2:$AO$1501&lt;$AO1166))+1,"")</f>
        <v/>
      </c>
      <c r="AM1166">
        <f>IF($D1166="","",IF(OR($R1166=TRUE(),$R1166="TRUE"),1,0))</f>
        <v/>
      </c>
      <c r="AN1166">
        <f>IF($D1166="","",IF($AA1166="Yes",1,0))</f>
        <v/>
      </c>
      <c r="AO1166">
        <f>IF($AK1166=1,IFERROR(IF(VALUE($D1166)&lt;100000000,VALUE($D1166),1000000000),IFERROR(IF(VALUE(MID($D1166,2,20))&lt;100000000,VALUE(MID($D1166,2,20)),1000000000),1000000000))+ROW()/100000,"")</f>
        <v/>
      </c>
    </row>
    <row r="1167">
      <c r="F1167" s="11" t="n"/>
      <c r="N1167" s="7">
        <f>IF($D1167="","",M1167*V1167/100)</f>
        <v/>
      </c>
      <c r="O1167" s="7" t="n"/>
      <c r="U1167" s="7" t="n"/>
      <c r="V1167" s="7" t="n"/>
      <c r="W1167" s="7">
        <f>IF($D1167="","",V1167*AB1167/100)</f>
        <v/>
      </c>
      <c r="X1167" s="7">
        <f>IF($D1167="","",V1167-W1167)</f>
        <v/>
      </c>
      <c r="Y1167" s="7">
        <f>IF($D1167="","",X1167-N1167)</f>
        <v/>
      </c>
      <c r="AB1167">
        <f>IF($D1167="","",IF($AN1167=1,0,IF($AM1167=1,Settings!$C$6,Settings!$C$7))*100)</f>
        <v/>
      </c>
      <c r="AF1167" s="7" t="n"/>
      <c r="AI1167" s="11" t="n"/>
      <c r="AK1167">
        <f>IF($D1167="","",IF(COUNTIF($D$2:$D1167,$D1167)=1,1,0))</f>
        <v/>
      </c>
      <c r="AL1167">
        <f>IF($AK1167=1,SUMPRODUCT(--($AO$2:$AO$1501&lt;$AO1167))+1,"")</f>
        <v/>
      </c>
      <c r="AM1167">
        <f>IF($D1167="","",IF(OR($R1167=TRUE(),$R1167="TRUE"),1,0))</f>
        <v/>
      </c>
      <c r="AN1167">
        <f>IF($D1167="","",IF($AA1167="Yes",1,0))</f>
        <v/>
      </c>
      <c r="AO1167">
        <f>IF($AK1167=1,IFERROR(IF(VALUE($D1167)&lt;100000000,VALUE($D1167),1000000000),IFERROR(IF(VALUE(MID($D1167,2,20))&lt;100000000,VALUE(MID($D1167,2,20)),1000000000),1000000000))+ROW()/100000,"")</f>
        <v/>
      </c>
    </row>
    <row r="1168">
      <c r="F1168" s="11" t="n"/>
      <c r="N1168" s="7">
        <f>IF($D1168="","",M1168*V1168/100)</f>
        <v/>
      </c>
      <c r="O1168" s="7" t="n"/>
      <c r="U1168" s="7" t="n"/>
      <c r="V1168" s="7" t="n"/>
      <c r="W1168" s="7">
        <f>IF($D1168="","",V1168*AB1168/100)</f>
        <v/>
      </c>
      <c r="X1168" s="7">
        <f>IF($D1168="","",V1168-W1168)</f>
        <v/>
      </c>
      <c r="Y1168" s="7">
        <f>IF($D1168="","",X1168-N1168)</f>
        <v/>
      </c>
      <c r="AB1168">
        <f>IF($D1168="","",IF($AN1168=1,0,IF($AM1168=1,Settings!$C$6,Settings!$C$7))*100)</f>
        <v/>
      </c>
      <c r="AF1168" s="7" t="n"/>
      <c r="AI1168" s="11" t="n"/>
      <c r="AK1168">
        <f>IF($D1168="","",IF(COUNTIF($D$2:$D1168,$D1168)=1,1,0))</f>
        <v/>
      </c>
      <c r="AL1168">
        <f>IF($AK1168=1,SUMPRODUCT(--($AO$2:$AO$1501&lt;$AO1168))+1,"")</f>
        <v/>
      </c>
      <c r="AM1168">
        <f>IF($D1168="","",IF(OR($R1168=TRUE(),$R1168="TRUE"),1,0))</f>
        <v/>
      </c>
      <c r="AN1168">
        <f>IF($D1168="","",IF($AA1168="Yes",1,0))</f>
        <v/>
      </c>
      <c r="AO1168">
        <f>IF($AK1168=1,IFERROR(IF(VALUE($D1168)&lt;100000000,VALUE($D1168),1000000000),IFERROR(IF(VALUE(MID($D1168,2,20))&lt;100000000,VALUE(MID($D1168,2,20)),1000000000),1000000000))+ROW()/100000,"")</f>
        <v/>
      </c>
    </row>
    <row r="1169">
      <c r="F1169" s="11" t="n"/>
      <c r="N1169" s="7">
        <f>IF($D1169="","",M1169*V1169/100)</f>
        <v/>
      </c>
      <c r="O1169" s="7" t="n"/>
      <c r="U1169" s="7" t="n"/>
      <c r="V1169" s="7" t="n"/>
      <c r="W1169" s="7">
        <f>IF($D1169="","",V1169*AB1169/100)</f>
        <v/>
      </c>
      <c r="X1169" s="7">
        <f>IF($D1169="","",V1169-W1169)</f>
        <v/>
      </c>
      <c r="Y1169" s="7">
        <f>IF($D1169="","",X1169-N1169)</f>
        <v/>
      </c>
      <c r="AB1169">
        <f>IF($D1169="","",IF($AN1169=1,0,IF($AM1169=1,Settings!$C$6,Settings!$C$7))*100)</f>
        <v/>
      </c>
      <c r="AF1169" s="7" t="n"/>
      <c r="AI1169" s="11" t="n"/>
      <c r="AK1169">
        <f>IF($D1169="","",IF(COUNTIF($D$2:$D1169,$D1169)=1,1,0))</f>
        <v/>
      </c>
      <c r="AL1169">
        <f>IF($AK1169=1,SUMPRODUCT(--($AO$2:$AO$1501&lt;$AO1169))+1,"")</f>
        <v/>
      </c>
      <c r="AM1169">
        <f>IF($D1169="","",IF(OR($R1169=TRUE(),$R1169="TRUE"),1,0))</f>
        <v/>
      </c>
      <c r="AN1169">
        <f>IF($D1169="","",IF($AA1169="Yes",1,0))</f>
        <v/>
      </c>
      <c r="AO1169">
        <f>IF($AK1169=1,IFERROR(IF(VALUE($D1169)&lt;100000000,VALUE($D1169),1000000000),IFERROR(IF(VALUE(MID($D1169,2,20))&lt;100000000,VALUE(MID($D1169,2,20)),1000000000),1000000000))+ROW()/100000,"")</f>
        <v/>
      </c>
    </row>
    <row r="1170">
      <c r="F1170" s="11" t="n"/>
      <c r="N1170" s="7">
        <f>IF($D1170="","",M1170*V1170/100)</f>
        <v/>
      </c>
      <c r="O1170" s="7" t="n"/>
      <c r="U1170" s="7" t="n"/>
      <c r="V1170" s="7" t="n"/>
      <c r="W1170" s="7">
        <f>IF($D1170="","",V1170*AB1170/100)</f>
        <v/>
      </c>
      <c r="X1170" s="7">
        <f>IF($D1170="","",V1170-W1170)</f>
        <v/>
      </c>
      <c r="Y1170" s="7">
        <f>IF($D1170="","",X1170-N1170)</f>
        <v/>
      </c>
      <c r="AB1170">
        <f>IF($D1170="","",IF($AN1170=1,0,IF($AM1170=1,Settings!$C$6,Settings!$C$7))*100)</f>
        <v/>
      </c>
      <c r="AF1170" s="7" t="n"/>
      <c r="AI1170" s="11" t="n"/>
      <c r="AK1170">
        <f>IF($D1170="","",IF(COUNTIF($D$2:$D1170,$D1170)=1,1,0))</f>
        <v/>
      </c>
      <c r="AL1170">
        <f>IF($AK1170=1,SUMPRODUCT(--($AO$2:$AO$1501&lt;$AO1170))+1,"")</f>
        <v/>
      </c>
      <c r="AM1170">
        <f>IF($D1170="","",IF(OR($R1170=TRUE(),$R1170="TRUE"),1,0))</f>
        <v/>
      </c>
      <c r="AN1170">
        <f>IF($D1170="","",IF($AA1170="Yes",1,0))</f>
        <v/>
      </c>
      <c r="AO1170">
        <f>IF($AK1170=1,IFERROR(IF(VALUE($D1170)&lt;100000000,VALUE($D1170),1000000000),IFERROR(IF(VALUE(MID($D1170,2,20))&lt;100000000,VALUE(MID($D1170,2,20)),1000000000),1000000000))+ROW()/100000,"")</f>
        <v/>
      </c>
    </row>
    <row r="1171">
      <c r="F1171" s="11" t="n"/>
      <c r="N1171" s="7">
        <f>IF($D1171="","",M1171*V1171/100)</f>
        <v/>
      </c>
      <c r="O1171" s="7" t="n"/>
      <c r="U1171" s="7" t="n"/>
      <c r="V1171" s="7" t="n"/>
      <c r="W1171" s="7">
        <f>IF($D1171="","",V1171*AB1171/100)</f>
        <v/>
      </c>
      <c r="X1171" s="7">
        <f>IF($D1171="","",V1171-W1171)</f>
        <v/>
      </c>
      <c r="Y1171" s="7">
        <f>IF($D1171="","",X1171-N1171)</f>
        <v/>
      </c>
      <c r="AB1171">
        <f>IF($D1171="","",IF($AN1171=1,0,IF($AM1171=1,Settings!$C$6,Settings!$C$7))*100)</f>
        <v/>
      </c>
      <c r="AF1171" s="7" t="n"/>
      <c r="AI1171" s="11" t="n"/>
      <c r="AK1171">
        <f>IF($D1171="","",IF(COUNTIF($D$2:$D1171,$D1171)=1,1,0))</f>
        <v/>
      </c>
      <c r="AL1171">
        <f>IF($AK1171=1,SUMPRODUCT(--($AO$2:$AO$1501&lt;$AO1171))+1,"")</f>
        <v/>
      </c>
      <c r="AM1171">
        <f>IF($D1171="","",IF(OR($R1171=TRUE(),$R1171="TRUE"),1,0))</f>
        <v/>
      </c>
      <c r="AN1171">
        <f>IF($D1171="","",IF($AA1171="Yes",1,0))</f>
        <v/>
      </c>
      <c r="AO1171">
        <f>IF($AK1171=1,IFERROR(IF(VALUE($D1171)&lt;100000000,VALUE($D1171),1000000000),IFERROR(IF(VALUE(MID($D1171,2,20))&lt;100000000,VALUE(MID($D1171,2,20)),1000000000),1000000000))+ROW()/100000,"")</f>
        <v/>
      </c>
    </row>
    <row r="1172">
      <c r="F1172" s="11" t="n"/>
      <c r="N1172" s="7">
        <f>IF($D1172="","",M1172*V1172/100)</f>
        <v/>
      </c>
      <c r="O1172" s="7" t="n"/>
      <c r="U1172" s="7" t="n"/>
      <c r="V1172" s="7" t="n"/>
      <c r="W1172" s="7">
        <f>IF($D1172="","",V1172*AB1172/100)</f>
        <v/>
      </c>
      <c r="X1172" s="7">
        <f>IF($D1172="","",V1172-W1172)</f>
        <v/>
      </c>
      <c r="Y1172" s="7">
        <f>IF($D1172="","",X1172-N1172)</f>
        <v/>
      </c>
      <c r="AB1172">
        <f>IF($D1172="","",IF($AN1172=1,0,IF($AM1172=1,Settings!$C$6,Settings!$C$7))*100)</f>
        <v/>
      </c>
      <c r="AF1172" s="7" t="n"/>
      <c r="AI1172" s="11" t="n"/>
      <c r="AK1172">
        <f>IF($D1172="","",IF(COUNTIF($D$2:$D1172,$D1172)=1,1,0))</f>
        <v/>
      </c>
      <c r="AL1172">
        <f>IF($AK1172=1,SUMPRODUCT(--($AO$2:$AO$1501&lt;$AO1172))+1,"")</f>
        <v/>
      </c>
      <c r="AM1172">
        <f>IF($D1172="","",IF(OR($R1172=TRUE(),$R1172="TRUE"),1,0))</f>
        <v/>
      </c>
      <c r="AN1172">
        <f>IF($D1172="","",IF($AA1172="Yes",1,0))</f>
        <v/>
      </c>
      <c r="AO1172">
        <f>IF($AK1172=1,IFERROR(IF(VALUE($D1172)&lt;100000000,VALUE($D1172),1000000000),IFERROR(IF(VALUE(MID($D1172,2,20))&lt;100000000,VALUE(MID($D1172,2,20)),1000000000),1000000000))+ROW()/100000,"")</f>
        <v/>
      </c>
    </row>
    <row r="1173">
      <c r="F1173" s="11" t="n"/>
      <c r="N1173" s="7">
        <f>IF($D1173="","",M1173*V1173/100)</f>
        <v/>
      </c>
      <c r="O1173" s="7" t="n"/>
      <c r="U1173" s="7" t="n"/>
      <c r="V1173" s="7" t="n"/>
      <c r="W1173" s="7">
        <f>IF($D1173="","",V1173*AB1173/100)</f>
        <v/>
      </c>
      <c r="X1173" s="7">
        <f>IF($D1173="","",V1173-W1173)</f>
        <v/>
      </c>
      <c r="Y1173" s="7">
        <f>IF($D1173="","",X1173-N1173)</f>
        <v/>
      </c>
      <c r="AB1173">
        <f>IF($D1173="","",IF($AN1173=1,0,IF($AM1173=1,Settings!$C$6,Settings!$C$7))*100)</f>
        <v/>
      </c>
      <c r="AF1173" s="7" t="n"/>
      <c r="AI1173" s="11" t="n"/>
      <c r="AK1173">
        <f>IF($D1173="","",IF(COUNTIF($D$2:$D1173,$D1173)=1,1,0))</f>
        <v/>
      </c>
      <c r="AL1173">
        <f>IF($AK1173=1,SUMPRODUCT(--($AO$2:$AO$1501&lt;$AO1173))+1,"")</f>
        <v/>
      </c>
      <c r="AM1173">
        <f>IF($D1173="","",IF(OR($R1173=TRUE(),$R1173="TRUE"),1,0))</f>
        <v/>
      </c>
      <c r="AN1173">
        <f>IF($D1173="","",IF($AA1173="Yes",1,0))</f>
        <v/>
      </c>
      <c r="AO1173">
        <f>IF($AK1173=1,IFERROR(IF(VALUE($D1173)&lt;100000000,VALUE($D1173),1000000000),IFERROR(IF(VALUE(MID($D1173,2,20))&lt;100000000,VALUE(MID($D1173,2,20)),1000000000),1000000000))+ROW()/100000,"")</f>
        <v/>
      </c>
    </row>
    <row r="1174">
      <c r="F1174" s="11" t="n"/>
      <c r="N1174" s="7">
        <f>IF($D1174="","",M1174*V1174/100)</f>
        <v/>
      </c>
      <c r="O1174" s="7" t="n"/>
      <c r="U1174" s="7" t="n"/>
      <c r="V1174" s="7" t="n"/>
      <c r="W1174" s="7">
        <f>IF($D1174="","",V1174*AB1174/100)</f>
        <v/>
      </c>
      <c r="X1174" s="7">
        <f>IF($D1174="","",V1174-W1174)</f>
        <v/>
      </c>
      <c r="Y1174" s="7">
        <f>IF($D1174="","",X1174-N1174)</f>
        <v/>
      </c>
      <c r="AB1174">
        <f>IF($D1174="","",IF($AN1174=1,0,IF($AM1174=1,Settings!$C$6,Settings!$C$7))*100)</f>
        <v/>
      </c>
      <c r="AF1174" s="7" t="n"/>
      <c r="AI1174" s="11" t="n"/>
      <c r="AK1174">
        <f>IF($D1174="","",IF(COUNTIF($D$2:$D1174,$D1174)=1,1,0))</f>
        <v/>
      </c>
      <c r="AL1174">
        <f>IF($AK1174=1,SUMPRODUCT(--($AO$2:$AO$1501&lt;$AO1174))+1,"")</f>
        <v/>
      </c>
      <c r="AM1174">
        <f>IF($D1174="","",IF(OR($R1174=TRUE(),$R1174="TRUE"),1,0))</f>
        <v/>
      </c>
      <c r="AN1174">
        <f>IF($D1174="","",IF($AA1174="Yes",1,0))</f>
        <v/>
      </c>
      <c r="AO1174">
        <f>IF($AK1174=1,IFERROR(IF(VALUE($D1174)&lt;100000000,VALUE($D1174),1000000000),IFERROR(IF(VALUE(MID($D1174,2,20))&lt;100000000,VALUE(MID($D1174,2,20)),1000000000),1000000000))+ROW()/100000,"")</f>
        <v/>
      </c>
    </row>
    <row r="1175">
      <c r="F1175" s="11" t="n"/>
      <c r="N1175" s="7">
        <f>IF($D1175="","",M1175*V1175/100)</f>
        <v/>
      </c>
      <c r="O1175" s="7" t="n"/>
      <c r="U1175" s="7" t="n"/>
      <c r="V1175" s="7" t="n"/>
      <c r="W1175" s="7">
        <f>IF($D1175="","",V1175*AB1175/100)</f>
        <v/>
      </c>
      <c r="X1175" s="7">
        <f>IF($D1175="","",V1175-W1175)</f>
        <v/>
      </c>
      <c r="Y1175" s="7">
        <f>IF($D1175="","",X1175-N1175)</f>
        <v/>
      </c>
      <c r="AB1175">
        <f>IF($D1175="","",IF($AN1175=1,0,IF($AM1175=1,Settings!$C$6,Settings!$C$7))*100)</f>
        <v/>
      </c>
      <c r="AF1175" s="7" t="n"/>
      <c r="AI1175" s="11" t="n"/>
      <c r="AK1175">
        <f>IF($D1175="","",IF(COUNTIF($D$2:$D1175,$D1175)=1,1,0))</f>
        <v/>
      </c>
      <c r="AL1175">
        <f>IF($AK1175=1,SUMPRODUCT(--($AO$2:$AO$1501&lt;$AO1175))+1,"")</f>
        <v/>
      </c>
      <c r="AM1175">
        <f>IF($D1175="","",IF(OR($R1175=TRUE(),$R1175="TRUE"),1,0))</f>
        <v/>
      </c>
      <c r="AN1175">
        <f>IF($D1175="","",IF($AA1175="Yes",1,0))</f>
        <v/>
      </c>
      <c r="AO1175">
        <f>IF($AK1175=1,IFERROR(IF(VALUE($D1175)&lt;100000000,VALUE($D1175),1000000000),IFERROR(IF(VALUE(MID($D1175,2,20))&lt;100000000,VALUE(MID($D1175,2,20)),1000000000),1000000000))+ROW()/100000,"")</f>
        <v/>
      </c>
    </row>
    <row r="1176">
      <c r="F1176" s="11" t="n"/>
      <c r="N1176" s="7">
        <f>IF($D1176="","",M1176*V1176/100)</f>
        <v/>
      </c>
      <c r="O1176" s="7" t="n"/>
      <c r="U1176" s="7" t="n"/>
      <c r="V1176" s="7" t="n"/>
      <c r="W1176" s="7">
        <f>IF($D1176="","",V1176*AB1176/100)</f>
        <v/>
      </c>
      <c r="X1176" s="7">
        <f>IF($D1176="","",V1176-W1176)</f>
        <v/>
      </c>
      <c r="Y1176" s="7">
        <f>IF($D1176="","",X1176-N1176)</f>
        <v/>
      </c>
      <c r="AB1176">
        <f>IF($D1176="","",IF($AN1176=1,0,IF($AM1176=1,Settings!$C$6,Settings!$C$7))*100)</f>
        <v/>
      </c>
      <c r="AF1176" s="7" t="n"/>
      <c r="AI1176" s="11" t="n"/>
      <c r="AK1176">
        <f>IF($D1176="","",IF(COUNTIF($D$2:$D1176,$D1176)=1,1,0))</f>
        <v/>
      </c>
      <c r="AL1176">
        <f>IF($AK1176=1,SUMPRODUCT(--($AO$2:$AO$1501&lt;$AO1176))+1,"")</f>
        <v/>
      </c>
      <c r="AM1176">
        <f>IF($D1176="","",IF(OR($R1176=TRUE(),$R1176="TRUE"),1,0))</f>
        <v/>
      </c>
      <c r="AN1176">
        <f>IF($D1176="","",IF($AA1176="Yes",1,0))</f>
        <v/>
      </c>
      <c r="AO1176">
        <f>IF($AK1176=1,IFERROR(IF(VALUE($D1176)&lt;100000000,VALUE($D1176),1000000000),IFERROR(IF(VALUE(MID($D1176,2,20))&lt;100000000,VALUE(MID($D1176,2,20)),1000000000),1000000000))+ROW()/100000,"")</f>
        <v/>
      </c>
    </row>
    <row r="1177">
      <c r="F1177" s="11" t="n"/>
      <c r="N1177" s="7">
        <f>IF($D1177="","",M1177*V1177/100)</f>
        <v/>
      </c>
      <c r="O1177" s="7" t="n"/>
      <c r="U1177" s="7" t="n"/>
      <c r="V1177" s="7" t="n"/>
      <c r="W1177" s="7">
        <f>IF($D1177="","",V1177*AB1177/100)</f>
        <v/>
      </c>
      <c r="X1177" s="7">
        <f>IF($D1177="","",V1177-W1177)</f>
        <v/>
      </c>
      <c r="Y1177" s="7">
        <f>IF($D1177="","",X1177-N1177)</f>
        <v/>
      </c>
      <c r="AB1177">
        <f>IF($D1177="","",IF($AN1177=1,0,IF($AM1177=1,Settings!$C$6,Settings!$C$7))*100)</f>
        <v/>
      </c>
      <c r="AF1177" s="7" t="n"/>
      <c r="AI1177" s="11" t="n"/>
      <c r="AK1177">
        <f>IF($D1177="","",IF(COUNTIF($D$2:$D1177,$D1177)=1,1,0))</f>
        <v/>
      </c>
      <c r="AL1177">
        <f>IF($AK1177=1,SUMPRODUCT(--($AO$2:$AO$1501&lt;$AO1177))+1,"")</f>
        <v/>
      </c>
      <c r="AM1177">
        <f>IF($D1177="","",IF(OR($R1177=TRUE(),$R1177="TRUE"),1,0))</f>
        <v/>
      </c>
      <c r="AN1177">
        <f>IF($D1177="","",IF($AA1177="Yes",1,0))</f>
        <v/>
      </c>
      <c r="AO1177">
        <f>IF($AK1177=1,IFERROR(IF(VALUE($D1177)&lt;100000000,VALUE($D1177),1000000000),IFERROR(IF(VALUE(MID($D1177,2,20))&lt;100000000,VALUE(MID($D1177,2,20)),1000000000),1000000000))+ROW()/100000,"")</f>
        <v/>
      </c>
    </row>
    <row r="1178">
      <c r="F1178" s="11" t="n"/>
      <c r="N1178" s="7">
        <f>IF($D1178="","",M1178*V1178/100)</f>
        <v/>
      </c>
      <c r="O1178" s="7" t="n"/>
      <c r="U1178" s="7" t="n"/>
      <c r="V1178" s="7" t="n"/>
      <c r="W1178" s="7">
        <f>IF($D1178="","",V1178*AB1178/100)</f>
        <v/>
      </c>
      <c r="X1178" s="7">
        <f>IF($D1178="","",V1178-W1178)</f>
        <v/>
      </c>
      <c r="Y1178" s="7">
        <f>IF($D1178="","",X1178-N1178)</f>
        <v/>
      </c>
      <c r="AB1178">
        <f>IF($D1178="","",IF($AN1178=1,0,IF($AM1178=1,Settings!$C$6,Settings!$C$7))*100)</f>
        <v/>
      </c>
      <c r="AF1178" s="7" t="n"/>
      <c r="AI1178" s="11" t="n"/>
      <c r="AK1178">
        <f>IF($D1178="","",IF(COUNTIF($D$2:$D1178,$D1178)=1,1,0))</f>
        <v/>
      </c>
      <c r="AL1178">
        <f>IF($AK1178=1,SUMPRODUCT(--($AO$2:$AO$1501&lt;$AO1178))+1,"")</f>
        <v/>
      </c>
      <c r="AM1178">
        <f>IF($D1178="","",IF(OR($R1178=TRUE(),$R1178="TRUE"),1,0))</f>
        <v/>
      </c>
      <c r="AN1178">
        <f>IF($D1178="","",IF($AA1178="Yes",1,0))</f>
        <v/>
      </c>
      <c r="AO1178">
        <f>IF($AK1178=1,IFERROR(IF(VALUE($D1178)&lt;100000000,VALUE($D1178),1000000000),IFERROR(IF(VALUE(MID($D1178,2,20))&lt;100000000,VALUE(MID($D1178,2,20)),1000000000),1000000000))+ROW()/100000,"")</f>
        <v/>
      </c>
    </row>
    <row r="1179">
      <c r="F1179" s="11" t="n"/>
      <c r="N1179" s="7">
        <f>IF($D1179="","",M1179*V1179/100)</f>
        <v/>
      </c>
      <c r="O1179" s="7" t="n"/>
      <c r="U1179" s="7" t="n"/>
      <c r="V1179" s="7" t="n"/>
      <c r="W1179" s="7">
        <f>IF($D1179="","",V1179*AB1179/100)</f>
        <v/>
      </c>
      <c r="X1179" s="7">
        <f>IF($D1179="","",V1179-W1179)</f>
        <v/>
      </c>
      <c r="Y1179" s="7">
        <f>IF($D1179="","",X1179-N1179)</f>
        <v/>
      </c>
      <c r="AB1179">
        <f>IF($D1179="","",IF($AN1179=1,0,IF($AM1179=1,Settings!$C$6,Settings!$C$7))*100)</f>
        <v/>
      </c>
      <c r="AF1179" s="7" t="n"/>
      <c r="AI1179" s="11" t="n"/>
      <c r="AK1179">
        <f>IF($D1179="","",IF(COUNTIF($D$2:$D1179,$D1179)=1,1,0))</f>
        <v/>
      </c>
      <c r="AL1179">
        <f>IF($AK1179=1,SUMPRODUCT(--($AO$2:$AO$1501&lt;$AO1179))+1,"")</f>
        <v/>
      </c>
      <c r="AM1179">
        <f>IF($D1179="","",IF(OR($R1179=TRUE(),$R1179="TRUE"),1,0))</f>
        <v/>
      </c>
      <c r="AN1179">
        <f>IF($D1179="","",IF($AA1179="Yes",1,0))</f>
        <v/>
      </c>
      <c r="AO1179">
        <f>IF($AK1179=1,IFERROR(IF(VALUE($D1179)&lt;100000000,VALUE($D1179),1000000000),IFERROR(IF(VALUE(MID($D1179,2,20))&lt;100000000,VALUE(MID($D1179,2,20)),1000000000),1000000000))+ROW()/100000,"")</f>
        <v/>
      </c>
    </row>
    <row r="1180">
      <c r="F1180" s="11" t="n"/>
      <c r="N1180" s="7">
        <f>IF($D1180="","",M1180*V1180/100)</f>
        <v/>
      </c>
      <c r="O1180" s="7" t="n"/>
      <c r="U1180" s="7" t="n"/>
      <c r="V1180" s="7" t="n"/>
      <c r="W1180" s="7">
        <f>IF($D1180="","",V1180*AB1180/100)</f>
        <v/>
      </c>
      <c r="X1180" s="7">
        <f>IF($D1180="","",V1180-W1180)</f>
        <v/>
      </c>
      <c r="Y1180" s="7">
        <f>IF($D1180="","",X1180-N1180)</f>
        <v/>
      </c>
      <c r="AB1180">
        <f>IF($D1180="","",IF($AN1180=1,0,IF($AM1180=1,Settings!$C$6,Settings!$C$7))*100)</f>
        <v/>
      </c>
      <c r="AF1180" s="7" t="n"/>
      <c r="AI1180" s="11" t="n"/>
      <c r="AK1180">
        <f>IF($D1180="","",IF(COUNTIF($D$2:$D1180,$D1180)=1,1,0))</f>
        <v/>
      </c>
      <c r="AL1180">
        <f>IF($AK1180=1,SUMPRODUCT(--($AO$2:$AO$1501&lt;$AO1180))+1,"")</f>
        <v/>
      </c>
      <c r="AM1180">
        <f>IF($D1180="","",IF(OR($R1180=TRUE(),$R1180="TRUE"),1,0))</f>
        <v/>
      </c>
      <c r="AN1180">
        <f>IF($D1180="","",IF($AA1180="Yes",1,0))</f>
        <v/>
      </c>
      <c r="AO1180">
        <f>IF($AK1180=1,IFERROR(IF(VALUE($D1180)&lt;100000000,VALUE($D1180),1000000000),IFERROR(IF(VALUE(MID($D1180,2,20))&lt;100000000,VALUE(MID($D1180,2,20)),1000000000),1000000000))+ROW()/100000,"")</f>
        <v/>
      </c>
    </row>
    <row r="1181">
      <c r="F1181" s="11" t="n"/>
      <c r="N1181" s="7">
        <f>IF($D1181="","",M1181*V1181/100)</f>
        <v/>
      </c>
      <c r="O1181" s="7" t="n"/>
      <c r="U1181" s="7" t="n"/>
      <c r="V1181" s="7" t="n"/>
      <c r="W1181" s="7">
        <f>IF($D1181="","",V1181*AB1181/100)</f>
        <v/>
      </c>
      <c r="X1181" s="7">
        <f>IF($D1181="","",V1181-W1181)</f>
        <v/>
      </c>
      <c r="Y1181" s="7">
        <f>IF($D1181="","",X1181-N1181)</f>
        <v/>
      </c>
      <c r="AB1181">
        <f>IF($D1181="","",IF($AN1181=1,0,IF($AM1181=1,Settings!$C$6,Settings!$C$7))*100)</f>
        <v/>
      </c>
      <c r="AF1181" s="7" t="n"/>
      <c r="AI1181" s="11" t="n"/>
      <c r="AK1181">
        <f>IF($D1181="","",IF(COUNTIF($D$2:$D1181,$D1181)=1,1,0))</f>
        <v/>
      </c>
      <c r="AL1181">
        <f>IF($AK1181=1,SUMPRODUCT(--($AO$2:$AO$1501&lt;$AO1181))+1,"")</f>
        <v/>
      </c>
      <c r="AM1181">
        <f>IF($D1181="","",IF(OR($R1181=TRUE(),$R1181="TRUE"),1,0))</f>
        <v/>
      </c>
      <c r="AN1181">
        <f>IF($D1181="","",IF($AA1181="Yes",1,0))</f>
        <v/>
      </c>
      <c r="AO1181">
        <f>IF($AK1181=1,IFERROR(IF(VALUE($D1181)&lt;100000000,VALUE($D1181),1000000000),IFERROR(IF(VALUE(MID($D1181,2,20))&lt;100000000,VALUE(MID($D1181,2,20)),1000000000),1000000000))+ROW()/100000,"")</f>
        <v/>
      </c>
    </row>
    <row r="1182">
      <c r="F1182" s="11" t="n"/>
      <c r="N1182" s="7">
        <f>IF($D1182="","",M1182*V1182/100)</f>
        <v/>
      </c>
      <c r="O1182" s="7" t="n"/>
      <c r="U1182" s="7" t="n"/>
      <c r="V1182" s="7" t="n"/>
      <c r="W1182" s="7">
        <f>IF($D1182="","",V1182*AB1182/100)</f>
        <v/>
      </c>
      <c r="X1182" s="7">
        <f>IF($D1182="","",V1182-W1182)</f>
        <v/>
      </c>
      <c r="Y1182" s="7">
        <f>IF($D1182="","",X1182-N1182)</f>
        <v/>
      </c>
      <c r="AB1182">
        <f>IF($D1182="","",IF($AN1182=1,0,IF($AM1182=1,Settings!$C$6,Settings!$C$7))*100)</f>
        <v/>
      </c>
      <c r="AF1182" s="7" t="n"/>
      <c r="AI1182" s="11" t="n"/>
      <c r="AK1182">
        <f>IF($D1182="","",IF(COUNTIF($D$2:$D1182,$D1182)=1,1,0))</f>
        <v/>
      </c>
      <c r="AL1182">
        <f>IF($AK1182=1,SUMPRODUCT(--($AO$2:$AO$1501&lt;$AO1182))+1,"")</f>
        <v/>
      </c>
      <c r="AM1182">
        <f>IF($D1182="","",IF(OR($R1182=TRUE(),$R1182="TRUE"),1,0))</f>
        <v/>
      </c>
      <c r="AN1182">
        <f>IF($D1182="","",IF($AA1182="Yes",1,0))</f>
        <v/>
      </c>
      <c r="AO1182">
        <f>IF($AK1182=1,IFERROR(IF(VALUE($D1182)&lt;100000000,VALUE($D1182),1000000000),IFERROR(IF(VALUE(MID($D1182,2,20))&lt;100000000,VALUE(MID($D1182,2,20)),1000000000),1000000000))+ROW()/100000,"")</f>
        <v/>
      </c>
    </row>
    <row r="1183">
      <c r="F1183" s="11" t="n"/>
      <c r="N1183" s="7">
        <f>IF($D1183="","",M1183*V1183/100)</f>
        <v/>
      </c>
      <c r="O1183" s="7" t="n"/>
      <c r="U1183" s="7" t="n"/>
      <c r="V1183" s="7" t="n"/>
      <c r="W1183" s="7">
        <f>IF($D1183="","",V1183*AB1183/100)</f>
        <v/>
      </c>
      <c r="X1183" s="7">
        <f>IF($D1183="","",V1183-W1183)</f>
        <v/>
      </c>
      <c r="Y1183" s="7">
        <f>IF($D1183="","",X1183-N1183)</f>
        <v/>
      </c>
      <c r="AB1183">
        <f>IF($D1183="","",IF($AN1183=1,0,IF($AM1183=1,Settings!$C$6,Settings!$C$7))*100)</f>
        <v/>
      </c>
      <c r="AF1183" s="7" t="n"/>
      <c r="AI1183" s="11" t="n"/>
      <c r="AK1183">
        <f>IF($D1183="","",IF(COUNTIF($D$2:$D1183,$D1183)=1,1,0))</f>
        <v/>
      </c>
      <c r="AL1183">
        <f>IF($AK1183=1,SUMPRODUCT(--($AO$2:$AO$1501&lt;$AO1183))+1,"")</f>
        <v/>
      </c>
      <c r="AM1183">
        <f>IF($D1183="","",IF(OR($R1183=TRUE(),$R1183="TRUE"),1,0))</f>
        <v/>
      </c>
      <c r="AN1183">
        <f>IF($D1183="","",IF($AA1183="Yes",1,0))</f>
        <v/>
      </c>
      <c r="AO1183">
        <f>IF($AK1183=1,IFERROR(IF(VALUE($D1183)&lt;100000000,VALUE($D1183),1000000000),IFERROR(IF(VALUE(MID($D1183,2,20))&lt;100000000,VALUE(MID($D1183,2,20)),1000000000),1000000000))+ROW()/100000,"")</f>
        <v/>
      </c>
    </row>
    <row r="1184">
      <c r="F1184" s="11" t="n"/>
      <c r="N1184" s="7">
        <f>IF($D1184="","",M1184*V1184/100)</f>
        <v/>
      </c>
      <c r="O1184" s="7" t="n"/>
      <c r="U1184" s="7" t="n"/>
      <c r="V1184" s="7" t="n"/>
      <c r="W1184" s="7">
        <f>IF($D1184="","",V1184*AB1184/100)</f>
        <v/>
      </c>
      <c r="X1184" s="7">
        <f>IF($D1184="","",V1184-W1184)</f>
        <v/>
      </c>
      <c r="Y1184" s="7">
        <f>IF($D1184="","",X1184-N1184)</f>
        <v/>
      </c>
      <c r="AB1184">
        <f>IF($D1184="","",IF($AN1184=1,0,IF($AM1184=1,Settings!$C$6,Settings!$C$7))*100)</f>
        <v/>
      </c>
      <c r="AF1184" s="7" t="n"/>
      <c r="AI1184" s="11" t="n"/>
      <c r="AK1184">
        <f>IF($D1184="","",IF(COUNTIF($D$2:$D1184,$D1184)=1,1,0))</f>
        <v/>
      </c>
      <c r="AL1184">
        <f>IF($AK1184=1,SUMPRODUCT(--($AO$2:$AO$1501&lt;$AO1184))+1,"")</f>
        <v/>
      </c>
      <c r="AM1184">
        <f>IF($D1184="","",IF(OR($R1184=TRUE(),$R1184="TRUE"),1,0))</f>
        <v/>
      </c>
      <c r="AN1184">
        <f>IF($D1184="","",IF($AA1184="Yes",1,0))</f>
        <v/>
      </c>
      <c r="AO1184">
        <f>IF($AK1184=1,IFERROR(IF(VALUE($D1184)&lt;100000000,VALUE($D1184),1000000000),IFERROR(IF(VALUE(MID($D1184,2,20))&lt;100000000,VALUE(MID($D1184,2,20)),1000000000),1000000000))+ROW()/100000,"")</f>
        <v/>
      </c>
    </row>
    <row r="1185">
      <c r="F1185" s="11" t="n"/>
      <c r="N1185" s="7">
        <f>IF($D1185="","",M1185*V1185/100)</f>
        <v/>
      </c>
      <c r="O1185" s="7" t="n"/>
      <c r="U1185" s="7" t="n"/>
      <c r="V1185" s="7" t="n"/>
      <c r="W1185" s="7">
        <f>IF($D1185="","",V1185*AB1185/100)</f>
        <v/>
      </c>
      <c r="X1185" s="7">
        <f>IF($D1185="","",V1185-W1185)</f>
        <v/>
      </c>
      <c r="Y1185" s="7">
        <f>IF($D1185="","",X1185-N1185)</f>
        <v/>
      </c>
      <c r="AB1185">
        <f>IF($D1185="","",IF($AN1185=1,0,IF($AM1185=1,Settings!$C$6,Settings!$C$7))*100)</f>
        <v/>
      </c>
      <c r="AF1185" s="7" t="n"/>
      <c r="AI1185" s="11" t="n"/>
      <c r="AK1185">
        <f>IF($D1185="","",IF(COUNTIF($D$2:$D1185,$D1185)=1,1,0))</f>
        <v/>
      </c>
      <c r="AL1185">
        <f>IF($AK1185=1,SUMPRODUCT(--($AO$2:$AO$1501&lt;$AO1185))+1,"")</f>
        <v/>
      </c>
      <c r="AM1185">
        <f>IF($D1185="","",IF(OR($R1185=TRUE(),$R1185="TRUE"),1,0))</f>
        <v/>
      </c>
      <c r="AN1185">
        <f>IF($D1185="","",IF($AA1185="Yes",1,0))</f>
        <v/>
      </c>
      <c r="AO1185">
        <f>IF($AK1185=1,IFERROR(IF(VALUE($D1185)&lt;100000000,VALUE($D1185),1000000000),IFERROR(IF(VALUE(MID($D1185,2,20))&lt;100000000,VALUE(MID($D1185,2,20)),1000000000),1000000000))+ROW()/100000,"")</f>
        <v/>
      </c>
    </row>
    <row r="1186">
      <c r="F1186" s="11" t="n"/>
      <c r="N1186" s="7">
        <f>IF($D1186="","",M1186*V1186/100)</f>
        <v/>
      </c>
      <c r="O1186" s="7" t="n"/>
      <c r="U1186" s="7" t="n"/>
      <c r="V1186" s="7" t="n"/>
      <c r="W1186" s="7">
        <f>IF($D1186="","",V1186*AB1186/100)</f>
        <v/>
      </c>
      <c r="X1186" s="7">
        <f>IF($D1186="","",V1186-W1186)</f>
        <v/>
      </c>
      <c r="Y1186" s="7">
        <f>IF($D1186="","",X1186-N1186)</f>
        <v/>
      </c>
      <c r="AB1186">
        <f>IF($D1186="","",IF($AN1186=1,0,IF($AM1186=1,Settings!$C$6,Settings!$C$7))*100)</f>
        <v/>
      </c>
      <c r="AF1186" s="7" t="n"/>
      <c r="AI1186" s="11" t="n"/>
      <c r="AK1186">
        <f>IF($D1186="","",IF(COUNTIF($D$2:$D1186,$D1186)=1,1,0))</f>
        <v/>
      </c>
      <c r="AL1186">
        <f>IF($AK1186=1,SUMPRODUCT(--($AO$2:$AO$1501&lt;$AO1186))+1,"")</f>
        <v/>
      </c>
      <c r="AM1186">
        <f>IF($D1186="","",IF(OR($R1186=TRUE(),$R1186="TRUE"),1,0))</f>
        <v/>
      </c>
      <c r="AN1186">
        <f>IF($D1186="","",IF($AA1186="Yes",1,0))</f>
        <v/>
      </c>
      <c r="AO1186">
        <f>IF($AK1186=1,IFERROR(IF(VALUE($D1186)&lt;100000000,VALUE($D1186),1000000000),IFERROR(IF(VALUE(MID($D1186,2,20))&lt;100000000,VALUE(MID($D1186,2,20)),1000000000),1000000000))+ROW()/100000,"")</f>
        <v/>
      </c>
    </row>
    <row r="1187">
      <c r="F1187" s="11" t="n"/>
      <c r="N1187" s="7">
        <f>IF($D1187="","",M1187*V1187/100)</f>
        <v/>
      </c>
      <c r="O1187" s="7" t="n"/>
      <c r="U1187" s="7" t="n"/>
      <c r="V1187" s="7" t="n"/>
      <c r="W1187" s="7">
        <f>IF($D1187="","",V1187*AB1187/100)</f>
        <v/>
      </c>
      <c r="X1187" s="7">
        <f>IF($D1187="","",V1187-W1187)</f>
        <v/>
      </c>
      <c r="Y1187" s="7">
        <f>IF($D1187="","",X1187-N1187)</f>
        <v/>
      </c>
      <c r="AB1187">
        <f>IF($D1187="","",IF($AN1187=1,0,IF($AM1187=1,Settings!$C$6,Settings!$C$7))*100)</f>
        <v/>
      </c>
      <c r="AF1187" s="7" t="n"/>
      <c r="AI1187" s="11" t="n"/>
      <c r="AK1187">
        <f>IF($D1187="","",IF(COUNTIF($D$2:$D1187,$D1187)=1,1,0))</f>
        <v/>
      </c>
      <c r="AL1187">
        <f>IF($AK1187=1,SUMPRODUCT(--($AO$2:$AO$1501&lt;$AO1187))+1,"")</f>
        <v/>
      </c>
      <c r="AM1187">
        <f>IF($D1187="","",IF(OR($R1187=TRUE(),$R1187="TRUE"),1,0))</f>
        <v/>
      </c>
      <c r="AN1187">
        <f>IF($D1187="","",IF($AA1187="Yes",1,0))</f>
        <v/>
      </c>
      <c r="AO1187">
        <f>IF($AK1187=1,IFERROR(IF(VALUE($D1187)&lt;100000000,VALUE($D1187),1000000000),IFERROR(IF(VALUE(MID($D1187,2,20))&lt;100000000,VALUE(MID($D1187,2,20)),1000000000),1000000000))+ROW()/100000,"")</f>
        <v/>
      </c>
    </row>
    <row r="1188">
      <c r="F1188" s="11" t="n"/>
      <c r="N1188" s="7">
        <f>IF($D1188="","",M1188*V1188/100)</f>
        <v/>
      </c>
      <c r="O1188" s="7" t="n"/>
      <c r="U1188" s="7" t="n"/>
      <c r="V1188" s="7" t="n"/>
      <c r="W1188" s="7">
        <f>IF($D1188="","",V1188*AB1188/100)</f>
        <v/>
      </c>
      <c r="X1188" s="7">
        <f>IF($D1188="","",V1188-W1188)</f>
        <v/>
      </c>
      <c r="Y1188" s="7">
        <f>IF($D1188="","",X1188-N1188)</f>
        <v/>
      </c>
      <c r="AB1188">
        <f>IF($D1188="","",IF($AN1188=1,0,IF($AM1188=1,Settings!$C$6,Settings!$C$7))*100)</f>
        <v/>
      </c>
      <c r="AF1188" s="7" t="n"/>
      <c r="AI1188" s="11" t="n"/>
      <c r="AK1188">
        <f>IF($D1188="","",IF(COUNTIF($D$2:$D1188,$D1188)=1,1,0))</f>
        <v/>
      </c>
      <c r="AL1188">
        <f>IF($AK1188=1,SUMPRODUCT(--($AO$2:$AO$1501&lt;$AO1188))+1,"")</f>
        <v/>
      </c>
      <c r="AM1188">
        <f>IF($D1188="","",IF(OR($R1188=TRUE(),$R1188="TRUE"),1,0))</f>
        <v/>
      </c>
      <c r="AN1188">
        <f>IF($D1188="","",IF($AA1188="Yes",1,0))</f>
        <v/>
      </c>
      <c r="AO1188">
        <f>IF($AK1188=1,IFERROR(IF(VALUE($D1188)&lt;100000000,VALUE($D1188),1000000000),IFERROR(IF(VALUE(MID($D1188,2,20))&lt;100000000,VALUE(MID($D1188,2,20)),1000000000),1000000000))+ROW()/100000,"")</f>
        <v/>
      </c>
    </row>
    <row r="1189">
      <c r="F1189" s="11" t="n"/>
      <c r="N1189" s="7">
        <f>IF($D1189="","",M1189*V1189/100)</f>
        <v/>
      </c>
      <c r="O1189" s="7" t="n"/>
      <c r="U1189" s="7" t="n"/>
      <c r="V1189" s="7" t="n"/>
      <c r="W1189" s="7">
        <f>IF($D1189="","",V1189*AB1189/100)</f>
        <v/>
      </c>
      <c r="X1189" s="7">
        <f>IF($D1189="","",V1189-W1189)</f>
        <v/>
      </c>
      <c r="Y1189" s="7">
        <f>IF($D1189="","",X1189-N1189)</f>
        <v/>
      </c>
      <c r="AB1189">
        <f>IF($D1189="","",IF($AN1189=1,0,IF($AM1189=1,Settings!$C$6,Settings!$C$7))*100)</f>
        <v/>
      </c>
      <c r="AF1189" s="7" t="n"/>
      <c r="AI1189" s="11" t="n"/>
      <c r="AK1189">
        <f>IF($D1189="","",IF(COUNTIF($D$2:$D1189,$D1189)=1,1,0))</f>
        <v/>
      </c>
      <c r="AL1189">
        <f>IF($AK1189=1,SUMPRODUCT(--($AO$2:$AO$1501&lt;$AO1189))+1,"")</f>
        <v/>
      </c>
      <c r="AM1189">
        <f>IF($D1189="","",IF(OR($R1189=TRUE(),$R1189="TRUE"),1,0))</f>
        <v/>
      </c>
      <c r="AN1189">
        <f>IF($D1189="","",IF($AA1189="Yes",1,0))</f>
        <v/>
      </c>
      <c r="AO1189">
        <f>IF($AK1189=1,IFERROR(IF(VALUE($D1189)&lt;100000000,VALUE($D1189),1000000000),IFERROR(IF(VALUE(MID($D1189,2,20))&lt;100000000,VALUE(MID($D1189,2,20)),1000000000),1000000000))+ROW()/100000,"")</f>
        <v/>
      </c>
    </row>
    <row r="1190">
      <c r="F1190" s="11" t="n"/>
      <c r="N1190" s="7">
        <f>IF($D1190="","",M1190*V1190/100)</f>
        <v/>
      </c>
      <c r="O1190" s="7" t="n"/>
      <c r="U1190" s="7" t="n"/>
      <c r="V1190" s="7" t="n"/>
      <c r="W1190" s="7">
        <f>IF($D1190="","",V1190*AB1190/100)</f>
        <v/>
      </c>
      <c r="X1190" s="7">
        <f>IF($D1190="","",V1190-W1190)</f>
        <v/>
      </c>
      <c r="Y1190" s="7">
        <f>IF($D1190="","",X1190-N1190)</f>
        <v/>
      </c>
      <c r="AB1190">
        <f>IF($D1190="","",IF($AN1190=1,0,IF($AM1190=1,Settings!$C$6,Settings!$C$7))*100)</f>
        <v/>
      </c>
      <c r="AF1190" s="7" t="n"/>
      <c r="AI1190" s="11" t="n"/>
      <c r="AK1190">
        <f>IF($D1190="","",IF(COUNTIF($D$2:$D1190,$D1190)=1,1,0))</f>
        <v/>
      </c>
      <c r="AL1190">
        <f>IF($AK1190=1,SUMPRODUCT(--($AO$2:$AO$1501&lt;$AO1190))+1,"")</f>
        <v/>
      </c>
      <c r="AM1190">
        <f>IF($D1190="","",IF(OR($R1190=TRUE(),$R1190="TRUE"),1,0))</f>
        <v/>
      </c>
      <c r="AN1190">
        <f>IF($D1190="","",IF($AA1190="Yes",1,0))</f>
        <v/>
      </c>
      <c r="AO1190">
        <f>IF($AK1190=1,IFERROR(IF(VALUE($D1190)&lt;100000000,VALUE($D1190),1000000000),IFERROR(IF(VALUE(MID($D1190,2,20))&lt;100000000,VALUE(MID($D1190,2,20)),1000000000),1000000000))+ROW()/100000,"")</f>
        <v/>
      </c>
    </row>
    <row r="1191">
      <c r="F1191" s="11" t="n"/>
      <c r="N1191" s="7">
        <f>IF($D1191="","",M1191*V1191/100)</f>
        <v/>
      </c>
      <c r="O1191" s="7" t="n"/>
      <c r="U1191" s="7" t="n"/>
      <c r="V1191" s="7" t="n"/>
      <c r="W1191" s="7">
        <f>IF($D1191="","",V1191*AB1191/100)</f>
        <v/>
      </c>
      <c r="X1191" s="7">
        <f>IF($D1191="","",V1191-W1191)</f>
        <v/>
      </c>
      <c r="Y1191" s="7">
        <f>IF($D1191="","",X1191-N1191)</f>
        <v/>
      </c>
      <c r="AB1191">
        <f>IF($D1191="","",IF($AN1191=1,0,IF($AM1191=1,Settings!$C$6,Settings!$C$7))*100)</f>
        <v/>
      </c>
      <c r="AF1191" s="7" t="n"/>
      <c r="AI1191" s="11" t="n"/>
      <c r="AK1191">
        <f>IF($D1191="","",IF(COUNTIF($D$2:$D1191,$D1191)=1,1,0))</f>
        <v/>
      </c>
      <c r="AL1191">
        <f>IF($AK1191=1,SUMPRODUCT(--($AO$2:$AO$1501&lt;$AO1191))+1,"")</f>
        <v/>
      </c>
      <c r="AM1191">
        <f>IF($D1191="","",IF(OR($R1191=TRUE(),$R1191="TRUE"),1,0))</f>
        <v/>
      </c>
      <c r="AN1191">
        <f>IF($D1191="","",IF($AA1191="Yes",1,0))</f>
        <v/>
      </c>
      <c r="AO1191">
        <f>IF($AK1191=1,IFERROR(IF(VALUE($D1191)&lt;100000000,VALUE($D1191),1000000000),IFERROR(IF(VALUE(MID($D1191,2,20))&lt;100000000,VALUE(MID($D1191,2,20)),1000000000),1000000000))+ROW()/100000,"")</f>
        <v/>
      </c>
    </row>
    <row r="1192">
      <c r="F1192" s="11" t="n"/>
      <c r="N1192" s="7">
        <f>IF($D1192="","",M1192*V1192/100)</f>
        <v/>
      </c>
      <c r="O1192" s="7" t="n"/>
      <c r="U1192" s="7" t="n"/>
      <c r="V1192" s="7" t="n"/>
      <c r="W1192" s="7">
        <f>IF($D1192="","",V1192*AB1192/100)</f>
        <v/>
      </c>
      <c r="X1192" s="7">
        <f>IF($D1192="","",V1192-W1192)</f>
        <v/>
      </c>
      <c r="Y1192" s="7">
        <f>IF($D1192="","",X1192-N1192)</f>
        <v/>
      </c>
      <c r="AB1192">
        <f>IF($D1192="","",IF($AN1192=1,0,IF($AM1192=1,Settings!$C$6,Settings!$C$7))*100)</f>
        <v/>
      </c>
      <c r="AF1192" s="7" t="n"/>
      <c r="AI1192" s="11" t="n"/>
      <c r="AK1192">
        <f>IF($D1192="","",IF(COUNTIF($D$2:$D1192,$D1192)=1,1,0))</f>
        <v/>
      </c>
      <c r="AL1192">
        <f>IF($AK1192=1,SUMPRODUCT(--($AO$2:$AO$1501&lt;$AO1192))+1,"")</f>
        <v/>
      </c>
      <c r="AM1192">
        <f>IF($D1192="","",IF(OR($R1192=TRUE(),$R1192="TRUE"),1,0))</f>
        <v/>
      </c>
      <c r="AN1192">
        <f>IF($D1192="","",IF($AA1192="Yes",1,0))</f>
        <v/>
      </c>
      <c r="AO1192">
        <f>IF($AK1192=1,IFERROR(IF(VALUE($D1192)&lt;100000000,VALUE($D1192),1000000000),IFERROR(IF(VALUE(MID($D1192,2,20))&lt;100000000,VALUE(MID($D1192,2,20)),1000000000),1000000000))+ROW()/100000,"")</f>
        <v/>
      </c>
    </row>
    <row r="1193">
      <c r="F1193" s="11" t="n"/>
      <c r="N1193" s="7">
        <f>IF($D1193="","",M1193*V1193/100)</f>
        <v/>
      </c>
      <c r="O1193" s="7" t="n"/>
      <c r="U1193" s="7" t="n"/>
      <c r="V1193" s="7" t="n"/>
      <c r="W1193" s="7">
        <f>IF($D1193="","",V1193*AB1193/100)</f>
        <v/>
      </c>
      <c r="X1193" s="7">
        <f>IF($D1193="","",V1193-W1193)</f>
        <v/>
      </c>
      <c r="Y1193" s="7">
        <f>IF($D1193="","",X1193-N1193)</f>
        <v/>
      </c>
      <c r="AB1193">
        <f>IF($D1193="","",IF($AN1193=1,0,IF($AM1193=1,Settings!$C$6,Settings!$C$7))*100)</f>
        <v/>
      </c>
      <c r="AF1193" s="7" t="n"/>
      <c r="AI1193" s="11" t="n"/>
      <c r="AK1193">
        <f>IF($D1193="","",IF(COUNTIF($D$2:$D1193,$D1193)=1,1,0))</f>
        <v/>
      </c>
      <c r="AL1193">
        <f>IF($AK1193=1,SUMPRODUCT(--($AO$2:$AO$1501&lt;$AO1193))+1,"")</f>
        <v/>
      </c>
      <c r="AM1193">
        <f>IF($D1193="","",IF(OR($R1193=TRUE(),$R1193="TRUE"),1,0))</f>
        <v/>
      </c>
      <c r="AN1193">
        <f>IF($D1193="","",IF($AA1193="Yes",1,0))</f>
        <v/>
      </c>
      <c r="AO1193">
        <f>IF($AK1193=1,IFERROR(IF(VALUE($D1193)&lt;100000000,VALUE($D1193),1000000000),IFERROR(IF(VALUE(MID($D1193,2,20))&lt;100000000,VALUE(MID($D1193,2,20)),1000000000),1000000000))+ROW()/100000,"")</f>
        <v/>
      </c>
    </row>
    <row r="1194">
      <c r="F1194" s="11" t="n"/>
      <c r="N1194" s="7">
        <f>IF($D1194="","",M1194*V1194/100)</f>
        <v/>
      </c>
      <c r="O1194" s="7" t="n"/>
      <c r="U1194" s="7" t="n"/>
      <c r="V1194" s="7" t="n"/>
      <c r="W1194" s="7">
        <f>IF($D1194="","",V1194*AB1194/100)</f>
        <v/>
      </c>
      <c r="X1194" s="7">
        <f>IF($D1194="","",V1194-W1194)</f>
        <v/>
      </c>
      <c r="Y1194" s="7">
        <f>IF($D1194="","",X1194-N1194)</f>
        <v/>
      </c>
      <c r="AB1194">
        <f>IF($D1194="","",IF($AN1194=1,0,IF($AM1194=1,Settings!$C$6,Settings!$C$7))*100)</f>
        <v/>
      </c>
      <c r="AF1194" s="7" t="n"/>
      <c r="AI1194" s="11" t="n"/>
      <c r="AK1194">
        <f>IF($D1194="","",IF(COUNTIF($D$2:$D1194,$D1194)=1,1,0))</f>
        <v/>
      </c>
      <c r="AL1194">
        <f>IF($AK1194=1,SUMPRODUCT(--($AO$2:$AO$1501&lt;$AO1194))+1,"")</f>
        <v/>
      </c>
      <c r="AM1194">
        <f>IF($D1194="","",IF(OR($R1194=TRUE(),$R1194="TRUE"),1,0))</f>
        <v/>
      </c>
      <c r="AN1194">
        <f>IF($D1194="","",IF($AA1194="Yes",1,0))</f>
        <v/>
      </c>
      <c r="AO1194">
        <f>IF($AK1194=1,IFERROR(IF(VALUE($D1194)&lt;100000000,VALUE($D1194),1000000000),IFERROR(IF(VALUE(MID($D1194,2,20))&lt;100000000,VALUE(MID($D1194,2,20)),1000000000),1000000000))+ROW()/100000,"")</f>
        <v/>
      </c>
    </row>
    <row r="1195">
      <c r="F1195" s="11" t="n"/>
      <c r="N1195" s="7">
        <f>IF($D1195="","",M1195*V1195/100)</f>
        <v/>
      </c>
      <c r="O1195" s="7" t="n"/>
      <c r="U1195" s="7" t="n"/>
      <c r="V1195" s="7" t="n"/>
      <c r="W1195" s="7">
        <f>IF($D1195="","",V1195*AB1195/100)</f>
        <v/>
      </c>
      <c r="X1195" s="7">
        <f>IF($D1195="","",V1195-W1195)</f>
        <v/>
      </c>
      <c r="Y1195" s="7">
        <f>IF($D1195="","",X1195-N1195)</f>
        <v/>
      </c>
      <c r="AB1195">
        <f>IF($D1195="","",IF($AN1195=1,0,IF($AM1195=1,Settings!$C$6,Settings!$C$7))*100)</f>
        <v/>
      </c>
      <c r="AF1195" s="7" t="n"/>
      <c r="AI1195" s="11" t="n"/>
      <c r="AK1195">
        <f>IF($D1195="","",IF(COUNTIF($D$2:$D1195,$D1195)=1,1,0))</f>
        <v/>
      </c>
      <c r="AL1195">
        <f>IF($AK1195=1,SUMPRODUCT(--($AO$2:$AO$1501&lt;$AO1195))+1,"")</f>
        <v/>
      </c>
      <c r="AM1195">
        <f>IF($D1195="","",IF(OR($R1195=TRUE(),$R1195="TRUE"),1,0))</f>
        <v/>
      </c>
      <c r="AN1195">
        <f>IF($D1195="","",IF($AA1195="Yes",1,0))</f>
        <v/>
      </c>
      <c r="AO1195">
        <f>IF($AK1195=1,IFERROR(IF(VALUE($D1195)&lt;100000000,VALUE($D1195),1000000000),IFERROR(IF(VALUE(MID($D1195,2,20))&lt;100000000,VALUE(MID($D1195,2,20)),1000000000),1000000000))+ROW()/100000,"")</f>
        <v/>
      </c>
    </row>
    <row r="1196">
      <c r="F1196" s="11" t="n"/>
      <c r="N1196" s="7">
        <f>IF($D1196="","",M1196*V1196/100)</f>
        <v/>
      </c>
      <c r="O1196" s="7" t="n"/>
      <c r="U1196" s="7" t="n"/>
      <c r="V1196" s="7" t="n"/>
      <c r="W1196" s="7">
        <f>IF($D1196="","",V1196*AB1196/100)</f>
        <v/>
      </c>
      <c r="X1196" s="7">
        <f>IF($D1196="","",V1196-W1196)</f>
        <v/>
      </c>
      <c r="Y1196" s="7">
        <f>IF($D1196="","",X1196-N1196)</f>
        <v/>
      </c>
      <c r="AB1196">
        <f>IF($D1196="","",IF($AN1196=1,0,IF($AM1196=1,Settings!$C$6,Settings!$C$7))*100)</f>
        <v/>
      </c>
      <c r="AF1196" s="7" t="n"/>
      <c r="AI1196" s="11" t="n"/>
      <c r="AK1196">
        <f>IF($D1196="","",IF(COUNTIF($D$2:$D1196,$D1196)=1,1,0))</f>
        <v/>
      </c>
      <c r="AL1196">
        <f>IF($AK1196=1,SUMPRODUCT(--($AO$2:$AO$1501&lt;$AO1196))+1,"")</f>
        <v/>
      </c>
      <c r="AM1196">
        <f>IF($D1196="","",IF(OR($R1196=TRUE(),$R1196="TRUE"),1,0))</f>
        <v/>
      </c>
      <c r="AN1196">
        <f>IF($D1196="","",IF($AA1196="Yes",1,0))</f>
        <v/>
      </c>
      <c r="AO1196">
        <f>IF($AK1196=1,IFERROR(IF(VALUE($D1196)&lt;100000000,VALUE($D1196),1000000000),IFERROR(IF(VALUE(MID($D1196,2,20))&lt;100000000,VALUE(MID($D1196,2,20)),1000000000),1000000000))+ROW()/100000,"")</f>
        <v/>
      </c>
    </row>
    <row r="1197">
      <c r="F1197" s="11" t="n"/>
      <c r="N1197" s="7">
        <f>IF($D1197="","",M1197*V1197/100)</f>
        <v/>
      </c>
      <c r="O1197" s="7" t="n"/>
      <c r="U1197" s="7" t="n"/>
      <c r="V1197" s="7" t="n"/>
      <c r="W1197" s="7">
        <f>IF($D1197="","",V1197*AB1197/100)</f>
        <v/>
      </c>
      <c r="X1197" s="7">
        <f>IF($D1197="","",V1197-W1197)</f>
        <v/>
      </c>
      <c r="Y1197" s="7">
        <f>IF($D1197="","",X1197-N1197)</f>
        <v/>
      </c>
      <c r="AB1197">
        <f>IF($D1197="","",IF($AN1197=1,0,IF($AM1197=1,Settings!$C$6,Settings!$C$7))*100)</f>
        <v/>
      </c>
      <c r="AF1197" s="7" t="n"/>
      <c r="AI1197" s="11" t="n"/>
      <c r="AK1197">
        <f>IF($D1197="","",IF(COUNTIF($D$2:$D1197,$D1197)=1,1,0))</f>
        <v/>
      </c>
      <c r="AL1197">
        <f>IF($AK1197=1,SUMPRODUCT(--($AO$2:$AO$1501&lt;$AO1197))+1,"")</f>
        <v/>
      </c>
      <c r="AM1197">
        <f>IF($D1197="","",IF(OR($R1197=TRUE(),$R1197="TRUE"),1,0))</f>
        <v/>
      </c>
      <c r="AN1197">
        <f>IF($D1197="","",IF($AA1197="Yes",1,0))</f>
        <v/>
      </c>
      <c r="AO1197">
        <f>IF($AK1197=1,IFERROR(IF(VALUE($D1197)&lt;100000000,VALUE($D1197),1000000000),IFERROR(IF(VALUE(MID($D1197,2,20))&lt;100000000,VALUE(MID($D1197,2,20)),1000000000),1000000000))+ROW()/100000,"")</f>
        <v/>
      </c>
    </row>
    <row r="1198">
      <c r="F1198" s="11" t="n"/>
      <c r="N1198" s="7">
        <f>IF($D1198="","",M1198*V1198/100)</f>
        <v/>
      </c>
      <c r="O1198" s="7" t="n"/>
      <c r="U1198" s="7" t="n"/>
      <c r="V1198" s="7" t="n"/>
      <c r="W1198" s="7">
        <f>IF($D1198="","",V1198*AB1198/100)</f>
        <v/>
      </c>
      <c r="X1198" s="7">
        <f>IF($D1198="","",V1198-W1198)</f>
        <v/>
      </c>
      <c r="Y1198" s="7">
        <f>IF($D1198="","",X1198-N1198)</f>
        <v/>
      </c>
      <c r="AB1198">
        <f>IF($D1198="","",IF($AN1198=1,0,IF($AM1198=1,Settings!$C$6,Settings!$C$7))*100)</f>
        <v/>
      </c>
      <c r="AF1198" s="7" t="n"/>
      <c r="AI1198" s="11" t="n"/>
      <c r="AK1198">
        <f>IF($D1198="","",IF(COUNTIF($D$2:$D1198,$D1198)=1,1,0))</f>
        <v/>
      </c>
      <c r="AL1198">
        <f>IF($AK1198=1,SUMPRODUCT(--($AO$2:$AO$1501&lt;$AO1198))+1,"")</f>
        <v/>
      </c>
      <c r="AM1198">
        <f>IF($D1198="","",IF(OR($R1198=TRUE(),$R1198="TRUE"),1,0))</f>
        <v/>
      </c>
      <c r="AN1198">
        <f>IF($D1198="","",IF($AA1198="Yes",1,0))</f>
        <v/>
      </c>
      <c r="AO1198">
        <f>IF($AK1198=1,IFERROR(IF(VALUE($D1198)&lt;100000000,VALUE($D1198),1000000000),IFERROR(IF(VALUE(MID($D1198,2,20))&lt;100000000,VALUE(MID($D1198,2,20)),1000000000),1000000000))+ROW()/100000,"")</f>
        <v/>
      </c>
    </row>
    <row r="1199">
      <c r="F1199" s="11" t="n"/>
      <c r="N1199" s="7">
        <f>IF($D1199="","",M1199*V1199/100)</f>
        <v/>
      </c>
      <c r="O1199" s="7" t="n"/>
      <c r="U1199" s="7" t="n"/>
      <c r="V1199" s="7" t="n"/>
      <c r="W1199" s="7">
        <f>IF($D1199="","",V1199*AB1199/100)</f>
        <v/>
      </c>
      <c r="X1199" s="7">
        <f>IF($D1199="","",V1199-W1199)</f>
        <v/>
      </c>
      <c r="Y1199" s="7">
        <f>IF($D1199="","",X1199-N1199)</f>
        <v/>
      </c>
      <c r="AB1199">
        <f>IF($D1199="","",IF($AN1199=1,0,IF($AM1199=1,Settings!$C$6,Settings!$C$7))*100)</f>
        <v/>
      </c>
      <c r="AF1199" s="7" t="n"/>
      <c r="AI1199" s="11" t="n"/>
      <c r="AK1199">
        <f>IF($D1199="","",IF(COUNTIF($D$2:$D1199,$D1199)=1,1,0))</f>
        <v/>
      </c>
      <c r="AL1199">
        <f>IF($AK1199=1,SUMPRODUCT(--($AO$2:$AO$1501&lt;$AO1199))+1,"")</f>
        <v/>
      </c>
      <c r="AM1199">
        <f>IF($D1199="","",IF(OR($R1199=TRUE(),$R1199="TRUE"),1,0))</f>
        <v/>
      </c>
      <c r="AN1199">
        <f>IF($D1199="","",IF($AA1199="Yes",1,0))</f>
        <v/>
      </c>
      <c r="AO1199">
        <f>IF($AK1199=1,IFERROR(IF(VALUE($D1199)&lt;100000000,VALUE($D1199),1000000000),IFERROR(IF(VALUE(MID($D1199,2,20))&lt;100000000,VALUE(MID($D1199,2,20)),1000000000),1000000000))+ROW()/100000,"")</f>
        <v/>
      </c>
    </row>
    <row r="1200">
      <c r="F1200" s="11" t="n"/>
      <c r="N1200" s="7">
        <f>IF($D1200="","",M1200*V1200/100)</f>
        <v/>
      </c>
      <c r="O1200" s="7" t="n"/>
      <c r="U1200" s="7" t="n"/>
      <c r="V1200" s="7" t="n"/>
      <c r="W1200" s="7">
        <f>IF($D1200="","",V1200*AB1200/100)</f>
        <v/>
      </c>
      <c r="X1200" s="7">
        <f>IF($D1200="","",V1200-W1200)</f>
        <v/>
      </c>
      <c r="Y1200" s="7">
        <f>IF($D1200="","",X1200-N1200)</f>
        <v/>
      </c>
      <c r="AB1200">
        <f>IF($D1200="","",IF($AN1200=1,0,IF($AM1200=1,Settings!$C$6,Settings!$C$7))*100)</f>
        <v/>
      </c>
      <c r="AF1200" s="7" t="n"/>
      <c r="AI1200" s="11" t="n"/>
      <c r="AK1200">
        <f>IF($D1200="","",IF(COUNTIF($D$2:$D1200,$D1200)=1,1,0))</f>
        <v/>
      </c>
      <c r="AL1200">
        <f>IF($AK1200=1,SUMPRODUCT(--($AO$2:$AO$1501&lt;$AO1200))+1,"")</f>
        <v/>
      </c>
      <c r="AM1200">
        <f>IF($D1200="","",IF(OR($R1200=TRUE(),$R1200="TRUE"),1,0))</f>
        <v/>
      </c>
      <c r="AN1200">
        <f>IF($D1200="","",IF($AA1200="Yes",1,0))</f>
        <v/>
      </c>
      <c r="AO1200">
        <f>IF($AK1200=1,IFERROR(IF(VALUE($D1200)&lt;100000000,VALUE($D1200),1000000000),IFERROR(IF(VALUE(MID($D1200,2,20))&lt;100000000,VALUE(MID($D1200,2,20)),1000000000),1000000000))+ROW()/100000,"")</f>
        <v/>
      </c>
    </row>
    <row r="1201">
      <c r="F1201" s="11" t="n"/>
      <c r="N1201" s="7">
        <f>IF($D1201="","",M1201*V1201/100)</f>
        <v/>
      </c>
      <c r="O1201" s="7" t="n"/>
      <c r="U1201" s="7" t="n"/>
      <c r="V1201" s="7" t="n"/>
      <c r="W1201" s="7">
        <f>IF($D1201="","",V1201*AB1201/100)</f>
        <v/>
      </c>
      <c r="X1201" s="7">
        <f>IF($D1201="","",V1201-W1201)</f>
        <v/>
      </c>
      <c r="Y1201" s="7">
        <f>IF($D1201="","",X1201-N1201)</f>
        <v/>
      </c>
      <c r="AB1201">
        <f>IF($D1201="","",IF($AN1201=1,0,IF($AM1201=1,Settings!$C$6,Settings!$C$7))*100)</f>
        <v/>
      </c>
      <c r="AF1201" s="7" t="n"/>
      <c r="AI1201" s="11" t="n"/>
      <c r="AK1201">
        <f>IF($D1201="","",IF(COUNTIF($D$2:$D1201,$D1201)=1,1,0))</f>
        <v/>
      </c>
      <c r="AL1201">
        <f>IF($AK1201=1,SUMPRODUCT(--($AO$2:$AO$1501&lt;$AO1201))+1,"")</f>
        <v/>
      </c>
      <c r="AM1201">
        <f>IF($D1201="","",IF(OR($R1201=TRUE(),$R1201="TRUE"),1,0))</f>
        <v/>
      </c>
      <c r="AN1201">
        <f>IF($D1201="","",IF($AA1201="Yes",1,0))</f>
        <v/>
      </c>
      <c r="AO1201">
        <f>IF($AK1201=1,IFERROR(IF(VALUE($D1201)&lt;100000000,VALUE($D1201),1000000000),IFERROR(IF(VALUE(MID($D1201,2,20))&lt;100000000,VALUE(MID($D1201,2,20)),1000000000),1000000000))+ROW()/100000,"")</f>
        <v/>
      </c>
    </row>
    <row r="1202">
      <c r="F1202" s="11" t="n"/>
      <c r="N1202" s="7">
        <f>IF($D1202="","",M1202*V1202/100)</f>
        <v/>
      </c>
      <c r="O1202" s="7" t="n"/>
      <c r="U1202" s="7" t="n"/>
      <c r="V1202" s="7" t="n"/>
      <c r="W1202" s="7">
        <f>IF($D1202="","",V1202*AB1202/100)</f>
        <v/>
      </c>
      <c r="X1202" s="7">
        <f>IF($D1202="","",V1202-W1202)</f>
        <v/>
      </c>
      <c r="Y1202" s="7">
        <f>IF($D1202="","",X1202-N1202)</f>
        <v/>
      </c>
      <c r="AB1202">
        <f>IF($D1202="","",IF($AN1202=1,0,IF($AM1202=1,Settings!$C$6,Settings!$C$7))*100)</f>
        <v/>
      </c>
      <c r="AF1202" s="7" t="n"/>
      <c r="AI1202" s="11" t="n"/>
      <c r="AK1202">
        <f>IF($D1202="","",IF(COUNTIF($D$2:$D1202,$D1202)=1,1,0))</f>
        <v/>
      </c>
      <c r="AL1202">
        <f>IF($AK1202=1,SUMPRODUCT(--($AO$2:$AO$1501&lt;$AO1202))+1,"")</f>
        <v/>
      </c>
      <c r="AM1202">
        <f>IF($D1202="","",IF(OR($R1202=TRUE(),$R1202="TRUE"),1,0))</f>
        <v/>
      </c>
      <c r="AN1202">
        <f>IF($D1202="","",IF($AA1202="Yes",1,0))</f>
        <v/>
      </c>
      <c r="AO1202">
        <f>IF($AK1202=1,IFERROR(IF(VALUE($D1202)&lt;100000000,VALUE($D1202),1000000000),IFERROR(IF(VALUE(MID($D1202,2,20))&lt;100000000,VALUE(MID($D1202,2,20)),1000000000),1000000000))+ROW()/100000,"")</f>
        <v/>
      </c>
    </row>
    <row r="1203">
      <c r="F1203" s="11" t="n"/>
      <c r="N1203" s="7">
        <f>IF($D1203="","",M1203*V1203/100)</f>
        <v/>
      </c>
      <c r="O1203" s="7" t="n"/>
      <c r="U1203" s="7" t="n"/>
      <c r="V1203" s="7" t="n"/>
      <c r="W1203" s="7">
        <f>IF($D1203="","",V1203*AB1203/100)</f>
        <v/>
      </c>
      <c r="X1203" s="7">
        <f>IF($D1203="","",V1203-W1203)</f>
        <v/>
      </c>
      <c r="Y1203" s="7">
        <f>IF($D1203="","",X1203-N1203)</f>
        <v/>
      </c>
      <c r="AB1203">
        <f>IF($D1203="","",IF($AN1203=1,0,IF($AM1203=1,Settings!$C$6,Settings!$C$7))*100)</f>
        <v/>
      </c>
      <c r="AF1203" s="7" t="n"/>
      <c r="AI1203" s="11" t="n"/>
      <c r="AK1203">
        <f>IF($D1203="","",IF(COUNTIF($D$2:$D1203,$D1203)=1,1,0))</f>
        <v/>
      </c>
      <c r="AL1203">
        <f>IF($AK1203=1,SUMPRODUCT(--($AO$2:$AO$1501&lt;$AO1203))+1,"")</f>
        <v/>
      </c>
      <c r="AM1203">
        <f>IF($D1203="","",IF(OR($R1203=TRUE(),$R1203="TRUE"),1,0))</f>
        <v/>
      </c>
      <c r="AN1203">
        <f>IF($D1203="","",IF($AA1203="Yes",1,0))</f>
        <v/>
      </c>
      <c r="AO1203">
        <f>IF($AK1203=1,IFERROR(IF(VALUE($D1203)&lt;100000000,VALUE($D1203),1000000000),IFERROR(IF(VALUE(MID($D1203,2,20))&lt;100000000,VALUE(MID($D1203,2,20)),1000000000),1000000000))+ROW()/100000,"")</f>
        <v/>
      </c>
    </row>
    <row r="1204">
      <c r="F1204" s="11" t="n"/>
      <c r="N1204" s="7">
        <f>IF($D1204="","",M1204*V1204/100)</f>
        <v/>
      </c>
      <c r="O1204" s="7" t="n"/>
      <c r="U1204" s="7" t="n"/>
      <c r="V1204" s="7" t="n"/>
      <c r="W1204" s="7">
        <f>IF($D1204="","",V1204*AB1204/100)</f>
        <v/>
      </c>
      <c r="X1204" s="7">
        <f>IF($D1204="","",V1204-W1204)</f>
        <v/>
      </c>
      <c r="Y1204" s="7">
        <f>IF($D1204="","",X1204-N1204)</f>
        <v/>
      </c>
      <c r="AB1204">
        <f>IF($D1204="","",IF($AN1204=1,0,IF($AM1204=1,Settings!$C$6,Settings!$C$7))*100)</f>
        <v/>
      </c>
      <c r="AF1204" s="7" t="n"/>
      <c r="AI1204" s="11" t="n"/>
      <c r="AK1204">
        <f>IF($D1204="","",IF(COUNTIF($D$2:$D1204,$D1204)=1,1,0))</f>
        <v/>
      </c>
      <c r="AL1204">
        <f>IF($AK1204=1,SUMPRODUCT(--($AO$2:$AO$1501&lt;$AO1204))+1,"")</f>
        <v/>
      </c>
      <c r="AM1204">
        <f>IF($D1204="","",IF(OR($R1204=TRUE(),$R1204="TRUE"),1,0))</f>
        <v/>
      </c>
      <c r="AN1204">
        <f>IF($D1204="","",IF($AA1204="Yes",1,0))</f>
        <v/>
      </c>
      <c r="AO1204">
        <f>IF($AK1204=1,IFERROR(IF(VALUE($D1204)&lt;100000000,VALUE($D1204),1000000000),IFERROR(IF(VALUE(MID($D1204,2,20))&lt;100000000,VALUE(MID($D1204,2,20)),1000000000),1000000000))+ROW()/100000,"")</f>
        <v/>
      </c>
    </row>
    <row r="1205">
      <c r="F1205" s="11" t="n"/>
      <c r="N1205" s="7">
        <f>IF($D1205="","",M1205*V1205/100)</f>
        <v/>
      </c>
      <c r="O1205" s="7" t="n"/>
      <c r="U1205" s="7" t="n"/>
      <c r="V1205" s="7" t="n"/>
      <c r="W1205" s="7">
        <f>IF($D1205="","",V1205*AB1205/100)</f>
        <v/>
      </c>
      <c r="X1205" s="7">
        <f>IF($D1205="","",V1205-W1205)</f>
        <v/>
      </c>
      <c r="Y1205" s="7">
        <f>IF($D1205="","",X1205-N1205)</f>
        <v/>
      </c>
      <c r="AB1205">
        <f>IF($D1205="","",IF($AN1205=1,0,IF($AM1205=1,Settings!$C$6,Settings!$C$7))*100)</f>
        <v/>
      </c>
      <c r="AF1205" s="7" t="n"/>
      <c r="AI1205" s="11" t="n"/>
      <c r="AK1205">
        <f>IF($D1205="","",IF(COUNTIF($D$2:$D1205,$D1205)=1,1,0))</f>
        <v/>
      </c>
      <c r="AL1205">
        <f>IF($AK1205=1,SUMPRODUCT(--($AO$2:$AO$1501&lt;$AO1205))+1,"")</f>
        <v/>
      </c>
      <c r="AM1205">
        <f>IF($D1205="","",IF(OR($R1205=TRUE(),$R1205="TRUE"),1,0))</f>
        <v/>
      </c>
      <c r="AN1205">
        <f>IF($D1205="","",IF($AA1205="Yes",1,0))</f>
        <v/>
      </c>
      <c r="AO1205">
        <f>IF($AK1205=1,IFERROR(IF(VALUE($D1205)&lt;100000000,VALUE($D1205),1000000000),IFERROR(IF(VALUE(MID($D1205,2,20))&lt;100000000,VALUE(MID($D1205,2,20)),1000000000),1000000000))+ROW()/100000,"")</f>
        <v/>
      </c>
    </row>
    <row r="1206">
      <c r="F1206" s="11" t="n"/>
      <c r="N1206" s="7">
        <f>IF($D1206="","",M1206*V1206/100)</f>
        <v/>
      </c>
      <c r="O1206" s="7" t="n"/>
      <c r="U1206" s="7" t="n"/>
      <c r="V1206" s="7" t="n"/>
      <c r="W1206" s="7">
        <f>IF($D1206="","",V1206*AB1206/100)</f>
        <v/>
      </c>
      <c r="X1206" s="7">
        <f>IF($D1206="","",V1206-W1206)</f>
        <v/>
      </c>
      <c r="Y1206" s="7">
        <f>IF($D1206="","",X1206-N1206)</f>
        <v/>
      </c>
      <c r="AB1206">
        <f>IF($D1206="","",IF($AN1206=1,0,IF($AM1206=1,Settings!$C$6,Settings!$C$7))*100)</f>
        <v/>
      </c>
      <c r="AF1206" s="7" t="n"/>
      <c r="AI1206" s="11" t="n"/>
      <c r="AK1206">
        <f>IF($D1206="","",IF(COUNTIF($D$2:$D1206,$D1206)=1,1,0))</f>
        <v/>
      </c>
      <c r="AL1206">
        <f>IF($AK1206=1,SUMPRODUCT(--($AO$2:$AO$1501&lt;$AO1206))+1,"")</f>
        <v/>
      </c>
      <c r="AM1206">
        <f>IF($D1206="","",IF(OR($R1206=TRUE(),$R1206="TRUE"),1,0))</f>
        <v/>
      </c>
      <c r="AN1206">
        <f>IF($D1206="","",IF($AA1206="Yes",1,0))</f>
        <v/>
      </c>
      <c r="AO1206">
        <f>IF($AK1206=1,IFERROR(IF(VALUE($D1206)&lt;100000000,VALUE($D1206),1000000000),IFERROR(IF(VALUE(MID($D1206,2,20))&lt;100000000,VALUE(MID($D1206,2,20)),1000000000),1000000000))+ROW()/100000,"")</f>
        <v/>
      </c>
    </row>
    <row r="1207">
      <c r="F1207" s="11" t="n"/>
      <c r="N1207" s="7">
        <f>IF($D1207="","",M1207*V1207/100)</f>
        <v/>
      </c>
      <c r="O1207" s="7" t="n"/>
      <c r="U1207" s="7" t="n"/>
      <c r="V1207" s="7" t="n"/>
      <c r="W1207" s="7">
        <f>IF($D1207="","",V1207*AB1207/100)</f>
        <v/>
      </c>
      <c r="X1207" s="7">
        <f>IF($D1207="","",V1207-W1207)</f>
        <v/>
      </c>
      <c r="Y1207" s="7">
        <f>IF($D1207="","",X1207-N1207)</f>
        <v/>
      </c>
      <c r="AB1207">
        <f>IF($D1207="","",IF($AN1207=1,0,IF($AM1207=1,Settings!$C$6,Settings!$C$7))*100)</f>
        <v/>
      </c>
      <c r="AF1207" s="7" t="n"/>
      <c r="AI1207" s="11" t="n"/>
      <c r="AK1207">
        <f>IF($D1207="","",IF(COUNTIF($D$2:$D1207,$D1207)=1,1,0))</f>
        <v/>
      </c>
      <c r="AL1207">
        <f>IF($AK1207=1,SUMPRODUCT(--($AO$2:$AO$1501&lt;$AO1207))+1,"")</f>
        <v/>
      </c>
      <c r="AM1207">
        <f>IF($D1207="","",IF(OR($R1207=TRUE(),$R1207="TRUE"),1,0))</f>
        <v/>
      </c>
      <c r="AN1207">
        <f>IF($D1207="","",IF($AA1207="Yes",1,0))</f>
        <v/>
      </c>
      <c r="AO1207">
        <f>IF($AK1207=1,IFERROR(IF(VALUE($D1207)&lt;100000000,VALUE($D1207),1000000000),IFERROR(IF(VALUE(MID($D1207,2,20))&lt;100000000,VALUE(MID($D1207,2,20)),1000000000),1000000000))+ROW()/100000,"")</f>
        <v/>
      </c>
    </row>
    <row r="1208">
      <c r="F1208" s="11" t="n"/>
      <c r="N1208" s="7">
        <f>IF($D1208="","",M1208*V1208/100)</f>
        <v/>
      </c>
      <c r="O1208" s="7" t="n"/>
      <c r="U1208" s="7" t="n"/>
      <c r="V1208" s="7" t="n"/>
      <c r="W1208" s="7">
        <f>IF($D1208="","",V1208*AB1208/100)</f>
        <v/>
      </c>
      <c r="X1208" s="7">
        <f>IF($D1208="","",V1208-W1208)</f>
        <v/>
      </c>
      <c r="Y1208" s="7">
        <f>IF($D1208="","",X1208-N1208)</f>
        <v/>
      </c>
      <c r="AB1208">
        <f>IF($D1208="","",IF($AN1208=1,0,IF($AM1208=1,Settings!$C$6,Settings!$C$7))*100)</f>
        <v/>
      </c>
      <c r="AF1208" s="7" t="n"/>
      <c r="AI1208" s="11" t="n"/>
      <c r="AK1208">
        <f>IF($D1208="","",IF(COUNTIF($D$2:$D1208,$D1208)=1,1,0))</f>
        <v/>
      </c>
      <c r="AL1208">
        <f>IF($AK1208=1,SUMPRODUCT(--($AO$2:$AO$1501&lt;$AO1208))+1,"")</f>
        <v/>
      </c>
      <c r="AM1208">
        <f>IF($D1208="","",IF(OR($R1208=TRUE(),$R1208="TRUE"),1,0))</f>
        <v/>
      </c>
      <c r="AN1208">
        <f>IF($D1208="","",IF($AA1208="Yes",1,0))</f>
        <v/>
      </c>
      <c r="AO1208">
        <f>IF($AK1208=1,IFERROR(IF(VALUE($D1208)&lt;100000000,VALUE($D1208),1000000000),IFERROR(IF(VALUE(MID($D1208,2,20))&lt;100000000,VALUE(MID($D1208,2,20)),1000000000),1000000000))+ROW()/100000,"")</f>
        <v/>
      </c>
    </row>
    <row r="1209">
      <c r="F1209" s="11" t="n"/>
      <c r="N1209" s="7">
        <f>IF($D1209="","",M1209*V1209/100)</f>
        <v/>
      </c>
      <c r="O1209" s="7" t="n"/>
      <c r="U1209" s="7" t="n"/>
      <c r="V1209" s="7" t="n"/>
      <c r="W1209" s="7">
        <f>IF($D1209="","",V1209*AB1209/100)</f>
        <v/>
      </c>
      <c r="X1209" s="7">
        <f>IF($D1209="","",V1209-W1209)</f>
        <v/>
      </c>
      <c r="Y1209" s="7">
        <f>IF($D1209="","",X1209-N1209)</f>
        <v/>
      </c>
      <c r="AB1209">
        <f>IF($D1209="","",IF($AN1209=1,0,IF($AM1209=1,Settings!$C$6,Settings!$C$7))*100)</f>
        <v/>
      </c>
      <c r="AF1209" s="7" t="n"/>
      <c r="AI1209" s="11" t="n"/>
      <c r="AK1209">
        <f>IF($D1209="","",IF(COUNTIF($D$2:$D1209,$D1209)=1,1,0))</f>
        <v/>
      </c>
      <c r="AL1209">
        <f>IF($AK1209=1,SUMPRODUCT(--($AO$2:$AO$1501&lt;$AO1209))+1,"")</f>
        <v/>
      </c>
      <c r="AM1209">
        <f>IF($D1209="","",IF(OR($R1209=TRUE(),$R1209="TRUE"),1,0))</f>
        <v/>
      </c>
      <c r="AN1209">
        <f>IF($D1209="","",IF($AA1209="Yes",1,0))</f>
        <v/>
      </c>
      <c r="AO1209">
        <f>IF($AK1209=1,IFERROR(IF(VALUE($D1209)&lt;100000000,VALUE($D1209),1000000000),IFERROR(IF(VALUE(MID($D1209,2,20))&lt;100000000,VALUE(MID($D1209,2,20)),1000000000),1000000000))+ROW()/100000,"")</f>
        <v/>
      </c>
    </row>
    <row r="1210">
      <c r="F1210" s="11" t="n"/>
      <c r="N1210" s="7">
        <f>IF($D1210="","",M1210*V1210/100)</f>
        <v/>
      </c>
      <c r="O1210" s="7" t="n"/>
      <c r="U1210" s="7" t="n"/>
      <c r="V1210" s="7" t="n"/>
      <c r="W1210" s="7">
        <f>IF($D1210="","",V1210*AB1210/100)</f>
        <v/>
      </c>
      <c r="X1210" s="7">
        <f>IF($D1210="","",V1210-W1210)</f>
        <v/>
      </c>
      <c r="Y1210" s="7">
        <f>IF($D1210="","",X1210-N1210)</f>
        <v/>
      </c>
      <c r="AB1210">
        <f>IF($D1210="","",IF($AN1210=1,0,IF($AM1210=1,Settings!$C$6,Settings!$C$7))*100)</f>
        <v/>
      </c>
      <c r="AF1210" s="7" t="n"/>
      <c r="AI1210" s="11" t="n"/>
      <c r="AK1210">
        <f>IF($D1210="","",IF(COUNTIF($D$2:$D1210,$D1210)=1,1,0))</f>
        <v/>
      </c>
      <c r="AL1210">
        <f>IF($AK1210=1,SUMPRODUCT(--($AO$2:$AO$1501&lt;$AO1210))+1,"")</f>
        <v/>
      </c>
      <c r="AM1210">
        <f>IF($D1210="","",IF(OR($R1210=TRUE(),$R1210="TRUE"),1,0))</f>
        <v/>
      </c>
      <c r="AN1210">
        <f>IF($D1210="","",IF($AA1210="Yes",1,0))</f>
        <v/>
      </c>
      <c r="AO1210">
        <f>IF($AK1210=1,IFERROR(IF(VALUE($D1210)&lt;100000000,VALUE($D1210),1000000000),IFERROR(IF(VALUE(MID($D1210,2,20))&lt;100000000,VALUE(MID($D1210,2,20)),1000000000),1000000000))+ROW()/100000,"")</f>
        <v/>
      </c>
    </row>
    <row r="1211">
      <c r="F1211" s="11" t="n"/>
      <c r="N1211" s="7">
        <f>IF($D1211="","",M1211*V1211/100)</f>
        <v/>
      </c>
      <c r="O1211" s="7" t="n"/>
      <c r="U1211" s="7" t="n"/>
      <c r="V1211" s="7" t="n"/>
      <c r="W1211" s="7">
        <f>IF($D1211="","",V1211*AB1211/100)</f>
        <v/>
      </c>
      <c r="X1211" s="7">
        <f>IF($D1211="","",V1211-W1211)</f>
        <v/>
      </c>
      <c r="Y1211" s="7">
        <f>IF($D1211="","",X1211-N1211)</f>
        <v/>
      </c>
      <c r="AB1211">
        <f>IF($D1211="","",IF($AN1211=1,0,IF($AM1211=1,Settings!$C$6,Settings!$C$7))*100)</f>
        <v/>
      </c>
      <c r="AF1211" s="7" t="n"/>
      <c r="AI1211" s="11" t="n"/>
      <c r="AK1211">
        <f>IF($D1211="","",IF(COUNTIF($D$2:$D1211,$D1211)=1,1,0))</f>
        <v/>
      </c>
      <c r="AL1211">
        <f>IF($AK1211=1,SUMPRODUCT(--($AO$2:$AO$1501&lt;$AO1211))+1,"")</f>
        <v/>
      </c>
      <c r="AM1211">
        <f>IF($D1211="","",IF(OR($R1211=TRUE(),$R1211="TRUE"),1,0))</f>
        <v/>
      </c>
      <c r="AN1211">
        <f>IF($D1211="","",IF($AA1211="Yes",1,0))</f>
        <v/>
      </c>
      <c r="AO1211">
        <f>IF($AK1211=1,IFERROR(IF(VALUE($D1211)&lt;100000000,VALUE($D1211),1000000000),IFERROR(IF(VALUE(MID($D1211,2,20))&lt;100000000,VALUE(MID($D1211,2,20)),1000000000),1000000000))+ROW()/100000,"")</f>
        <v/>
      </c>
    </row>
    <row r="1212">
      <c r="F1212" s="11" t="n"/>
      <c r="N1212" s="7">
        <f>IF($D1212="","",M1212*V1212/100)</f>
        <v/>
      </c>
      <c r="O1212" s="7" t="n"/>
      <c r="U1212" s="7" t="n"/>
      <c r="V1212" s="7" t="n"/>
      <c r="W1212" s="7">
        <f>IF($D1212="","",V1212*AB1212/100)</f>
        <v/>
      </c>
      <c r="X1212" s="7">
        <f>IF($D1212="","",V1212-W1212)</f>
        <v/>
      </c>
      <c r="Y1212" s="7">
        <f>IF($D1212="","",X1212-N1212)</f>
        <v/>
      </c>
      <c r="AB1212">
        <f>IF($D1212="","",IF($AN1212=1,0,IF($AM1212=1,Settings!$C$6,Settings!$C$7))*100)</f>
        <v/>
      </c>
      <c r="AF1212" s="7" t="n"/>
      <c r="AI1212" s="11" t="n"/>
      <c r="AK1212">
        <f>IF($D1212="","",IF(COUNTIF($D$2:$D1212,$D1212)=1,1,0))</f>
        <v/>
      </c>
      <c r="AL1212">
        <f>IF($AK1212=1,SUMPRODUCT(--($AO$2:$AO$1501&lt;$AO1212))+1,"")</f>
        <v/>
      </c>
      <c r="AM1212">
        <f>IF($D1212="","",IF(OR($R1212=TRUE(),$R1212="TRUE"),1,0))</f>
        <v/>
      </c>
      <c r="AN1212">
        <f>IF($D1212="","",IF($AA1212="Yes",1,0))</f>
        <v/>
      </c>
      <c r="AO1212">
        <f>IF($AK1212=1,IFERROR(IF(VALUE($D1212)&lt;100000000,VALUE($D1212),1000000000),IFERROR(IF(VALUE(MID($D1212,2,20))&lt;100000000,VALUE(MID($D1212,2,20)),1000000000),1000000000))+ROW()/100000,"")</f>
        <v/>
      </c>
    </row>
    <row r="1213">
      <c r="F1213" s="11" t="n"/>
      <c r="N1213" s="7">
        <f>IF($D1213="","",M1213*V1213/100)</f>
        <v/>
      </c>
      <c r="O1213" s="7" t="n"/>
      <c r="U1213" s="7" t="n"/>
      <c r="V1213" s="7" t="n"/>
      <c r="W1213" s="7">
        <f>IF($D1213="","",V1213*AB1213/100)</f>
        <v/>
      </c>
      <c r="X1213" s="7">
        <f>IF($D1213="","",V1213-W1213)</f>
        <v/>
      </c>
      <c r="Y1213" s="7">
        <f>IF($D1213="","",X1213-N1213)</f>
        <v/>
      </c>
      <c r="AB1213">
        <f>IF($D1213="","",IF($AN1213=1,0,IF($AM1213=1,Settings!$C$6,Settings!$C$7))*100)</f>
        <v/>
      </c>
      <c r="AF1213" s="7" t="n"/>
      <c r="AI1213" s="11" t="n"/>
      <c r="AK1213">
        <f>IF($D1213="","",IF(COUNTIF($D$2:$D1213,$D1213)=1,1,0))</f>
        <v/>
      </c>
      <c r="AL1213">
        <f>IF($AK1213=1,SUMPRODUCT(--($AO$2:$AO$1501&lt;$AO1213))+1,"")</f>
        <v/>
      </c>
      <c r="AM1213">
        <f>IF($D1213="","",IF(OR($R1213=TRUE(),$R1213="TRUE"),1,0))</f>
        <v/>
      </c>
      <c r="AN1213">
        <f>IF($D1213="","",IF($AA1213="Yes",1,0))</f>
        <v/>
      </c>
      <c r="AO1213">
        <f>IF($AK1213=1,IFERROR(IF(VALUE($D1213)&lt;100000000,VALUE($D1213),1000000000),IFERROR(IF(VALUE(MID($D1213,2,20))&lt;100000000,VALUE(MID($D1213,2,20)),1000000000),1000000000))+ROW()/100000,"")</f>
        <v/>
      </c>
    </row>
    <row r="1214">
      <c r="F1214" s="11" t="n"/>
      <c r="N1214" s="7">
        <f>IF($D1214="","",M1214*V1214/100)</f>
        <v/>
      </c>
      <c r="O1214" s="7" t="n"/>
      <c r="U1214" s="7" t="n"/>
      <c r="V1214" s="7" t="n"/>
      <c r="W1214" s="7">
        <f>IF($D1214="","",V1214*AB1214/100)</f>
        <v/>
      </c>
      <c r="X1214" s="7">
        <f>IF($D1214="","",V1214-W1214)</f>
        <v/>
      </c>
      <c r="Y1214" s="7">
        <f>IF($D1214="","",X1214-N1214)</f>
        <v/>
      </c>
      <c r="AB1214">
        <f>IF($D1214="","",IF($AN1214=1,0,IF($AM1214=1,Settings!$C$6,Settings!$C$7))*100)</f>
        <v/>
      </c>
      <c r="AF1214" s="7" t="n"/>
      <c r="AI1214" s="11" t="n"/>
      <c r="AK1214">
        <f>IF($D1214="","",IF(COUNTIF($D$2:$D1214,$D1214)=1,1,0))</f>
        <v/>
      </c>
      <c r="AL1214">
        <f>IF($AK1214=1,SUMPRODUCT(--($AO$2:$AO$1501&lt;$AO1214))+1,"")</f>
        <v/>
      </c>
      <c r="AM1214">
        <f>IF($D1214="","",IF(OR($R1214=TRUE(),$R1214="TRUE"),1,0))</f>
        <v/>
      </c>
      <c r="AN1214">
        <f>IF($D1214="","",IF($AA1214="Yes",1,0))</f>
        <v/>
      </c>
      <c r="AO1214">
        <f>IF($AK1214=1,IFERROR(IF(VALUE($D1214)&lt;100000000,VALUE($D1214),1000000000),IFERROR(IF(VALUE(MID($D1214,2,20))&lt;100000000,VALUE(MID($D1214,2,20)),1000000000),1000000000))+ROW()/100000,"")</f>
        <v/>
      </c>
    </row>
    <row r="1215">
      <c r="F1215" s="11" t="n"/>
      <c r="N1215" s="7">
        <f>IF($D1215="","",M1215*V1215/100)</f>
        <v/>
      </c>
      <c r="O1215" s="7" t="n"/>
      <c r="U1215" s="7" t="n"/>
      <c r="V1215" s="7" t="n"/>
      <c r="W1215" s="7">
        <f>IF($D1215="","",V1215*AB1215/100)</f>
        <v/>
      </c>
      <c r="X1215" s="7">
        <f>IF($D1215="","",V1215-W1215)</f>
        <v/>
      </c>
      <c r="Y1215" s="7">
        <f>IF($D1215="","",X1215-N1215)</f>
        <v/>
      </c>
      <c r="AB1215">
        <f>IF($D1215="","",IF($AN1215=1,0,IF($AM1215=1,Settings!$C$6,Settings!$C$7))*100)</f>
        <v/>
      </c>
      <c r="AF1215" s="7" t="n"/>
      <c r="AI1215" s="11" t="n"/>
      <c r="AK1215">
        <f>IF($D1215="","",IF(COUNTIF($D$2:$D1215,$D1215)=1,1,0))</f>
        <v/>
      </c>
      <c r="AL1215">
        <f>IF($AK1215=1,SUMPRODUCT(--($AO$2:$AO$1501&lt;$AO1215))+1,"")</f>
        <v/>
      </c>
      <c r="AM1215">
        <f>IF($D1215="","",IF(OR($R1215=TRUE(),$R1215="TRUE"),1,0))</f>
        <v/>
      </c>
      <c r="AN1215">
        <f>IF($D1215="","",IF($AA1215="Yes",1,0))</f>
        <v/>
      </c>
      <c r="AO1215">
        <f>IF($AK1215=1,IFERROR(IF(VALUE($D1215)&lt;100000000,VALUE($D1215),1000000000),IFERROR(IF(VALUE(MID($D1215,2,20))&lt;100000000,VALUE(MID($D1215,2,20)),1000000000),1000000000))+ROW()/100000,"")</f>
        <v/>
      </c>
    </row>
    <row r="1216">
      <c r="F1216" s="11" t="n"/>
      <c r="N1216" s="7">
        <f>IF($D1216="","",M1216*V1216/100)</f>
        <v/>
      </c>
      <c r="O1216" s="7" t="n"/>
      <c r="U1216" s="7" t="n"/>
      <c r="V1216" s="7" t="n"/>
      <c r="W1216" s="7">
        <f>IF($D1216="","",V1216*AB1216/100)</f>
        <v/>
      </c>
      <c r="X1216" s="7">
        <f>IF($D1216="","",V1216-W1216)</f>
        <v/>
      </c>
      <c r="Y1216" s="7">
        <f>IF($D1216="","",X1216-N1216)</f>
        <v/>
      </c>
      <c r="AB1216">
        <f>IF($D1216="","",IF($AN1216=1,0,IF($AM1216=1,Settings!$C$6,Settings!$C$7))*100)</f>
        <v/>
      </c>
      <c r="AF1216" s="7" t="n"/>
      <c r="AI1216" s="11" t="n"/>
      <c r="AK1216">
        <f>IF($D1216="","",IF(COUNTIF($D$2:$D1216,$D1216)=1,1,0))</f>
        <v/>
      </c>
      <c r="AL1216">
        <f>IF($AK1216=1,SUMPRODUCT(--($AO$2:$AO$1501&lt;$AO1216))+1,"")</f>
        <v/>
      </c>
      <c r="AM1216">
        <f>IF($D1216="","",IF(OR($R1216=TRUE(),$R1216="TRUE"),1,0))</f>
        <v/>
      </c>
      <c r="AN1216">
        <f>IF($D1216="","",IF($AA1216="Yes",1,0))</f>
        <v/>
      </c>
      <c r="AO1216">
        <f>IF($AK1216=1,IFERROR(IF(VALUE($D1216)&lt;100000000,VALUE($D1216),1000000000),IFERROR(IF(VALUE(MID($D1216,2,20))&lt;100000000,VALUE(MID($D1216,2,20)),1000000000),1000000000))+ROW()/100000,"")</f>
        <v/>
      </c>
    </row>
    <row r="1217">
      <c r="F1217" s="11" t="n"/>
      <c r="N1217" s="7">
        <f>IF($D1217="","",M1217*V1217/100)</f>
        <v/>
      </c>
      <c r="O1217" s="7" t="n"/>
      <c r="U1217" s="7" t="n"/>
      <c r="V1217" s="7" t="n"/>
      <c r="W1217" s="7">
        <f>IF($D1217="","",V1217*AB1217/100)</f>
        <v/>
      </c>
      <c r="X1217" s="7">
        <f>IF($D1217="","",V1217-W1217)</f>
        <v/>
      </c>
      <c r="Y1217" s="7">
        <f>IF($D1217="","",X1217-N1217)</f>
        <v/>
      </c>
      <c r="AB1217">
        <f>IF($D1217="","",IF($AN1217=1,0,IF($AM1217=1,Settings!$C$6,Settings!$C$7))*100)</f>
        <v/>
      </c>
      <c r="AF1217" s="7" t="n"/>
      <c r="AI1217" s="11" t="n"/>
      <c r="AK1217">
        <f>IF($D1217="","",IF(COUNTIF($D$2:$D1217,$D1217)=1,1,0))</f>
        <v/>
      </c>
      <c r="AL1217">
        <f>IF($AK1217=1,SUMPRODUCT(--($AO$2:$AO$1501&lt;$AO1217))+1,"")</f>
        <v/>
      </c>
      <c r="AM1217">
        <f>IF($D1217="","",IF(OR($R1217=TRUE(),$R1217="TRUE"),1,0))</f>
        <v/>
      </c>
      <c r="AN1217">
        <f>IF($D1217="","",IF($AA1217="Yes",1,0))</f>
        <v/>
      </c>
      <c r="AO1217">
        <f>IF($AK1217=1,IFERROR(IF(VALUE($D1217)&lt;100000000,VALUE($D1217),1000000000),IFERROR(IF(VALUE(MID($D1217,2,20))&lt;100000000,VALUE(MID($D1217,2,20)),1000000000),1000000000))+ROW()/100000,"")</f>
        <v/>
      </c>
    </row>
    <row r="1218">
      <c r="F1218" s="11" t="n"/>
      <c r="N1218" s="7">
        <f>IF($D1218="","",M1218*V1218/100)</f>
        <v/>
      </c>
      <c r="O1218" s="7" t="n"/>
      <c r="U1218" s="7" t="n"/>
      <c r="V1218" s="7" t="n"/>
      <c r="W1218" s="7">
        <f>IF($D1218="","",V1218*AB1218/100)</f>
        <v/>
      </c>
      <c r="X1218" s="7">
        <f>IF($D1218="","",V1218-W1218)</f>
        <v/>
      </c>
      <c r="Y1218" s="7">
        <f>IF($D1218="","",X1218-N1218)</f>
        <v/>
      </c>
      <c r="AB1218">
        <f>IF($D1218="","",IF($AN1218=1,0,IF($AM1218=1,Settings!$C$6,Settings!$C$7))*100)</f>
        <v/>
      </c>
      <c r="AF1218" s="7" t="n"/>
      <c r="AI1218" s="11" t="n"/>
      <c r="AK1218">
        <f>IF($D1218="","",IF(COUNTIF($D$2:$D1218,$D1218)=1,1,0))</f>
        <v/>
      </c>
      <c r="AL1218">
        <f>IF($AK1218=1,SUMPRODUCT(--($AO$2:$AO$1501&lt;$AO1218))+1,"")</f>
        <v/>
      </c>
      <c r="AM1218">
        <f>IF($D1218="","",IF(OR($R1218=TRUE(),$R1218="TRUE"),1,0))</f>
        <v/>
      </c>
      <c r="AN1218">
        <f>IF($D1218="","",IF($AA1218="Yes",1,0))</f>
        <v/>
      </c>
      <c r="AO1218">
        <f>IF($AK1218=1,IFERROR(IF(VALUE($D1218)&lt;100000000,VALUE($D1218),1000000000),IFERROR(IF(VALUE(MID($D1218,2,20))&lt;100000000,VALUE(MID($D1218,2,20)),1000000000),1000000000))+ROW()/100000,"")</f>
        <v/>
      </c>
    </row>
    <row r="1219">
      <c r="F1219" s="11" t="n"/>
      <c r="N1219" s="7">
        <f>IF($D1219="","",M1219*V1219/100)</f>
        <v/>
      </c>
      <c r="O1219" s="7" t="n"/>
      <c r="U1219" s="7" t="n"/>
      <c r="V1219" s="7" t="n"/>
      <c r="W1219" s="7">
        <f>IF($D1219="","",V1219*AB1219/100)</f>
        <v/>
      </c>
      <c r="X1219" s="7">
        <f>IF($D1219="","",V1219-W1219)</f>
        <v/>
      </c>
      <c r="Y1219" s="7">
        <f>IF($D1219="","",X1219-N1219)</f>
        <v/>
      </c>
      <c r="AB1219">
        <f>IF($D1219="","",IF($AN1219=1,0,IF($AM1219=1,Settings!$C$6,Settings!$C$7))*100)</f>
        <v/>
      </c>
      <c r="AF1219" s="7" t="n"/>
      <c r="AI1219" s="11" t="n"/>
      <c r="AK1219">
        <f>IF($D1219="","",IF(COUNTIF($D$2:$D1219,$D1219)=1,1,0))</f>
        <v/>
      </c>
      <c r="AL1219">
        <f>IF($AK1219=1,SUMPRODUCT(--($AO$2:$AO$1501&lt;$AO1219))+1,"")</f>
        <v/>
      </c>
      <c r="AM1219">
        <f>IF($D1219="","",IF(OR($R1219=TRUE(),$R1219="TRUE"),1,0))</f>
        <v/>
      </c>
      <c r="AN1219">
        <f>IF($D1219="","",IF($AA1219="Yes",1,0))</f>
        <v/>
      </c>
      <c r="AO1219">
        <f>IF($AK1219=1,IFERROR(IF(VALUE($D1219)&lt;100000000,VALUE($D1219),1000000000),IFERROR(IF(VALUE(MID($D1219,2,20))&lt;100000000,VALUE(MID($D1219,2,20)),1000000000),1000000000))+ROW()/100000,"")</f>
        <v/>
      </c>
    </row>
    <row r="1220">
      <c r="F1220" s="11" t="n"/>
      <c r="N1220" s="7">
        <f>IF($D1220="","",M1220*V1220/100)</f>
        <v/>
      </c>
      <c r="O1220" s="7" t="n"/>
      <c r="U1220" s="7" t="n"/>
      <c r="V1220" s="7" t="n"/>
      <c r="W1220" s="7">
        <f>IF($D1220="","",V1220*AB1220/100)</f>
        <v/>
      </c>
      <c r="X1220" s="7">
        <f>IF($D1220="","",V1220-W1220)</f>
        <v/>
      </c>
      <c r="Y1220" s="7">
        <f>IF($D1220="","",X1220-N1220)</f>
        <v/>
      </c>
      <c r="AB1220">
        <f>IF($D1220="","",IF($AN1220=1,0,IF($AM1220=1,Settings!$C$6,Settings!$C$7))*100)</f>
        <v/>
      </c>
      <c r="AF1220" s="7" t="n"/>
      <c r="AI1220" s="11" t="n"/>
      <c r="AK1220">
        <f>IF($D1220="","",IF(COUNTIF($D$2:$D1220,$D1220)=1,1,0))</f>
        <v/>
      </c>
      <c r="AL1220">
        <f>IF($AK1220=1,SUMPRODUCT(--($AO$2:$AO$1501&lt;$AO1220))+1,"")</f>
        <v/>
      </c>
      <c r="AM1220">
        <f>IF($D1220="","",IF(OR($R1220=TRUE(),$R1220="TRUE"),1,0))</f>
        <v/>
      </c>
      <c r="AN1220">
        <f>IF($D1220="","",IF($AA1220="Yes",1,0))</f>
        <v/>
      </c>
      <c r="AO1220">
        <f>IF($AK1220=1,IFERROR(IF(VALUE($D1220)&lt;100000000,VALUE($D1220),1000000000),IFERROR(IF(VALUE(MID($D1220,2,20))&lt;100000000,VALUE(MID($D1220,2,20)),1000000000),1000000000))+ROW()/100000,"")</f>
        <v/>
      </c>
    </row>
    <row r="1221">
      <c r="F1221" s="11" t="n"/>
      <c r="N1221" s="7">
        <f>IF($D1221="","",M1221*V1221/100)</f>
        <v/>
      </c>
      <c r="O1221" s="7" t="n"/>
      <c r="U1221" s="7" t="n"/>
      <c r="V1221" s="7" t="n"/>
      <c r="W1221" s="7">
        <f>IF($D1221="","",V1221*AB1221/100)</f>
        <v/>
      </c>
      <c r="X1221" s="7">
        <f>IF($D1221="","",V1221-W1221)</f>
        <v/>
      </c>
      <c r="Y1221" s="7">
        <f>IF($D1221="","",X1221-N1221)</f>
        <v/>
      </c>
      <c r="AB1221">
        <f>IF($D1221="","",IF($AN1221=1,0,IF($AM1221=1,Settings!$C$6,Settings!$C$7))*100)</f>
        <v/>
      </c>
      <c r="AF1221" s="7" t="n"/>
      <c r="AI1221" s="11" t="n"/>
      <c r="AK1221">
        <f>IF($D1221="","",IF(COUNTIF($D$2:$D1221,$D1221)=1,1,0))</f>
        <v/>
      </c>
      <c r="AL1221">
        <f>IF($AK1221=1,SUMPRODUCT(--($AO$2:$AO$1501&lt;$AO1221))+1,"")</f>
        <v/>
      </c>
      <c r="AM1221">
        <f>IF($D1221="","",IF(OR($R1221=TRUE(),$R1221="TRUE"),1,0))</f>
        <v/>
      </c>
      <c r="AN1221">
        <f>IF($D1221="","",IF($AA1221="Yes",1,0))</f>
        <v/>
      </c>
      <c r="AO1221">
        <f>IF($AK1221=1,IFERROR(IF(VALUE($D1221)&lt;100000000,VALUE($D1221),1000000000),IFERROR(IF(VALUE(MID($D1221,2,20))&lt;100000000,VALUE(MID($D1221,2,20)),1000000000),1000000000))+ROW()/100000,"")</f>
        <v/>
      </c>
    </row>
    <row r="1222">
      <c r="F1222" s="11" t="n"/>
      <c r="N1222" s="7">
        <f>IF($D1222="","",M1222*V1222/100)</f>
        <v/>
      </c>
      <c r="O1222" s="7" t="n"/>
      <c r="U1222" s="7" t="n"/>
      <c r="V1222" s="7" t="n"/>
      <c r="W1222" s="7">
        <f>IF($D1222="","",V1222*AB1222/100)</f>
        <v/>
      </c>
      <c r="X1222" s="7">
        <f>IF($D1222="","",V1222-W1222)</f>
        <v/>
      </c>
      <c r="Y1222" s="7">
        <f>IF($D1222="","",X1222-N1222)</f>
        <v/>
      </c>
      <c r="AB1222">
        <f>IF($D1222="","",IF($AN1222=1,0,IF($AM1222=1,Settings!$C$6,Settings!$C$7))*100)</f>
        <v/>
      </c>
      <c r="AF1222" s="7" t="n"/>
      <c r="AI1222" s="11" t="n"/>
      <c r="AK1222">
        <f>IF($D1222="","",IF(COUNTIF($D$2:$D1222,$D1222)=1,1,0))</f>
        <v/>
      </c>
      <c r="AL1222">
        <f>IF($AK1222=1,SUMPRODUCT(--($AO$2:$AO$1501&lt;$AO1222))+1,"")</f>
        <v/>
      </c>
      <c r="AM1222">
        <f>IF($D1222="","",IF(OR($R1222=TRUE(),$R1222="TRUE"),1,0))</f>
        <v/>
      </c>
      <c r="AN1222">
        <f>IF($D1222="","",IF($AA1222="Yes",1,0))</f>
        <v/>
      </c>
      <c r="AO1222">
        <f>IF($AK1222=1,IFERROR(IF(VALUE($D1222)&lt;100000000,VALUE($D1222),1000000000),IFERROR(IF(VALUE(MID($D1222,2,20))&lt;100000000,VALUE(MID($D1222,2,20)),1000000000),1000000000))+ROW()/100000,"")</f>
        <v/>
      </c>
    </row>
    <row r="1223">
      <c r="F1223" s="11" t="n"/>
      <c r="N1223" s="7">
        <f>IF($D1223="","",M1223*V1223/100)</f>
        <v/>
      </c>
      <c r="O1223" s="7" t="n"/>
      <c r="U1223" s="7" t="n"/>
      <c r="V1223" s="7" t="n"/>
      <c r="W1223" s="7">
        <f>IF($D1223="","",V1223*AB1223/100)</f>
        <v/>
      </c>
      <c r="X1223" s="7">
        <f>IF($D1223="","",V1223-W1223)</f>
        <v/>
      </c>
      <c r="Y1223" s="7">
        <f>IF($D1223="","",X1223-N1223)</f>
        <v/>
      </c>
      <c r="AB1223">
        <f>IF($D1223="","",IF($AN1223=1,0,IF($AM1223=1,Settings!$C$6,Settings!$C$7))*100)</f>
        <v/>
      </c>
      <c r="AF1223" s="7" t="n"/>
      <c r="AI1223" s="11" t="n"/>
      <c r="AK1223">
        <f>IF($D1223="","",IF(COUNTIF($D$2:$D1223,$D1223)=1,1,0))</f>
        <v/>
      </c>
      <c r="AL1223">
        <f>IF($AK1223=1,SUMPRODUCT(--($AO$2:$AO$1501&lt;$AO1223))+1,"")</f>
        <v/>
      </c>
      <c r="AM1223">
        <f>IF($D1223="","",IF(OR($R1223=TRUE(),$R1223="TRUE"),1,0))</f>
        <v/>
      </c>
      <c r="AN1223">
        <f>IF($D1223="","",IF($AA1223="Yes",1,0))</f>
        <v/>
      </c>
      <c r="AO1223">
        <f>IF($AK1223=1,IFERROR(IF(VALUE($D1223)&lt;100000000,VALUE($D1223),1000000000),IFERROR(IF(VALUE(MID($D1223,2,20))&lt;100000000,VALUE(MID($D1223,2,20)),1000000000),1000000000))+ROW()/100000,"")</f>
        <v/>
      </c>
    </row>
    <row r="1224">
      <c r="F1224" s="11" t="n"/>
      <c r="N1224" s="7">
        <f>IF($D1224="","",M1224*V1224/100)</f>
        <v/>
      </c>
      <c r="O1224" s="7" t="n"/>
      <c r="U1224" s="7" t="n"/>
      <c r="V1224" s="7" t="n"/>
      <c r="W1224" s="7">
        <f>IF($D1224="","",V1224*AB1224/100)</f>
        <v/>
      </c>
      <c r="X1224" s="7">
        <f>IF($D1224="","",V1224-W1224)</f>
        <v/>
      </c>
      <c r="Y1224" s="7">
        <f>IF($D1224="","",X1224-N1224)</f>
        <v/>
      </c>
      <c r="AB1224">
        <f>IF($D1224="","",IF($AN1224=1,0,IF($AM1224=1,Settings!$C$6,Settings!$C$7))*100)</f>
        <v/>
      </c>
      <c r="AF1224" s="7" t="n"/>
      <c r="AI1224" s="11" t="n"/>
      <c r="AK1224">
        <f>IF($D1224="","",IF(COUNTIF($D$2:$D1224,$D1224)=1,1,0))</f>
        <v/>
      </c>
      <c r="AL1224">
        <f>IF($AK1224=1,SUMPRODUCT(--($AO$2:$AO$1501&lt;$AO1224))+1,"")</f>
        <v/>
      </c>
      <c r="AM1224">
        <f>IF($D1224="","",IF(OR($R1224=TRUE(),$R1224="TRUE"),1,0))</f>
        <v/>
      </c>
      <c r="AN1224">
        <f>IF($D1224="","",IF($AA1224="Yes",1,0))</f>
        <v/>
      </c>
      <c r="AO1224">
        <f>IF($AK1224=1,IFERROR(IF(VALUE($D1224)&lt;100000000,VALUE($D1224),1000000000),IFERROR(IF(VALUE(MID($D1224,2,20))&lt;100000000,VALUE(MID($D1224,2,20)),1000000000),1000000000))+ROW()/100000,"")</f>
        <v/>
      </c>
    </row>
    <row r="1225">
      <c r="F1225" s="11" t="n"/>
      <c r="N1225" s="7">
        <f>IF($D1225="","",M1225*V1225/100)</f>
        <v/>
      </c>
      <c r="O1225" s="7" t="n"/>
      <c r="U1225" s="7" t="n"/>
      <c r="V1225" s="7" t="n"/>
      <c r="W1225" s="7">
        <f>IF($D1225="","",V1225*AB1225/100)</f>
        <v/>
      </c>
      <c r="X1225" s="7">
        <f>IF($D1225="","",V1225-W1225)</f>
        <v/>
      </c>
      <c r="Y1225" s="7">
        <f>IF($D1225="","",X1225-N1225)</f>
        <v/>
      </c>
      <c r="AB1225">
        <f>IF($D1225="","",IF($AN1225=1,0,IF($AM1225=1,Settings!$C$6,Settings!$C$7))*100)</f>
        <v/>
      </c>
      <c r="AF1225" s="7" t="n"/>
      <c r="AI1225" s="11" t="n"/>
      <c r="AK1225">
        <f>IF($D1225="","",IF(COUNTIF($D$2:$D1225,$D1225)=1,1,0))</f>
        <v/>
      </c>
      <c r="AL1225">
        <f>IF($AK1225=1,SUMPRODUCT(--($AO$2:$AO$1501&lt;$AO1225))+1,"")</f>
        <v/>
      </c>
      <c r="AM1225">
        <f>IF($D1225="","",IF(OR($R1225=TRUE(),$R1225="TRUE"),1,0))</f>
        <v/>
      </c>
      <c r="AN1225">
        <f>IF($D1225="","",IF($AA1225="Yes",1,0))</f>
        <v/>
      </c>
      <c r="AO1225">
        <f>IF($AK1225=1,IFERROR(IF(VALUE($D1225)&lt;100000000,VALUE($D1225),1000000000),IFERROR(IF(VALUE(MID($D1225,2,20))&lt;100000000,VALUE(MID($D1225,2,20)),1000000000),1000000000))+ROW()/100000,"")</f>
        <v/>
      </c>
    </row>
    <row r="1226">
      <c r="F1226" s="11" t="n"/>
      <c r="N1226" s="7">
        <f>IF($D1226="","",M1226*V1226/100)</f>
        <v/>
      </c>
      <c r="O1226" s="7" t="n"/>
      <c r="U1226" s="7" t="n"/>
      <c r="V1226" s="7" t="n"/>
      <c r="W1226" s="7">
        <f>IF($D1226="","",V1226*AB1226/100)</f>
        <v/>
      </c>
      <c r="X1226" s="7">
        <f>IF($D1226="","",V1226-W1226)</f>
        <v/>
      </c>
      <c r="Y1226" s="7">
        <f>IF($D1226="","",X1226-N1226)</f>
        <v/>
      </c>
      <c r="AB1226">
        <f>IF($D1226="","",IF($AN1226=1,0,IF($AM1226=1,Settings!$C$6,Settings!$C$7))*100)</f>
        <v/>
      </c>
      <c r="AF1226" s="7" t="n"/>
      <c r="AI1226" s="11" t="n"/>
      <c r="AK1226">
        <f>IF($D1226="","",IF(COUNTIF($D$2:$D1226,$D1226)=1,1,0))</f>
        <v/>
      </c>
      <c r="AL1226">
        <f>IF($AK1226=1,SUMPRODUCT(--($AO$2:$AO$1501&lt;$AO1226))+1,"")</f>
        <v/>
      </c>
      <c r="AM1226">
        <f>IF($D1226="","",IF(OR($R1226=TRUE(),$R1226="TRUE"),1,0))</f>
        <v/>
      </c>
      <c r="AN1226">
        <f>IF($D1226="","",IF($AA1226="Yes",1,0))</f>
        <v/>
      </c>
      <c r="AO1226">
        <f>IF($AK1226=1,IFERROR(IF(VALUE($D1226)&lt;100000000,VALUE($D1226),1000000000),IFERROR(IF(VALUE(MID($D1226,2,20))&lt;100000000,VALUE(MID($D1226,2,20)),1000000000),1000000000))+ROW()/100000,"")</f>
        <v/>
      </c>
    </row>
    <row r="1227">
      <c r="F1227" s="11" t="n"/>
      <c r="N1227" s="7">
        <f>IF($D1227="","",M1227*V1227/100)</f>
        <v/>
      </c>
      <c r="O1227" s="7" t="n"/>
      <c r="U1227" s="7" t="n"/>
      <c r="V1227" s="7" t="n"/>
      <c r="W1227" s="7">
        <f>IF($D1227="","",V1227*AB1227/100)</f>
        <v/>
      </c>
      <c r="X1227" s="7">
        <f>IF($D1227="","",V1227-W1227)</f>
        <v/>
      </c>
      <c r="Y1227" s="7">
        <f>IF($D1227="","",X1227-N1227)</f>
        <v/>
      </c>
      <c r="AB1227">
        <f>IF($D1227="","",IF($AN1227=1,0,IF($AM1227=1,Settings!$C$6,Settings!$C$7))*100)</f>
        <v/>
      </c>
      <c r="AF1227" s="7" t="n"/>
      <c r="AI1227" s="11" t="n"/>
      <c r="AK1227">
        <f>IF($D1227="","",IF(COUNTIF($D$2:$D1227,$D1227)=1,1,0))</f>
        <v/>
      </c>
      <c r="AL1227">
        <f>IF($AK1227=1,SUMPRODUCT(--($AO$2:$AO$1501&lt;$AO1227))+1,"")</f>
        <v/>
      </c>
      <c r="AM1227">
        <f>IF($D1227="","",IF(OR($R1227=TRUE(),$R1227="TRUE"),1,0))</f>
        <v/>
      </c>
      <c r="AN1227">
        <f>IF($D1227="","",IF($AA1227="Yes",1,0))</f>
        <v/>
      </c>
      <c r="AO1227">
        <f>IF($AK1227=1,IFERROR(IF(VALUE($D1227)&lt;100000000,VALUE($D1227),1000000000),IFERROR(IF(VALUE(MID($D1227,2,20))&lt;100000000,VALUE(MID($D1227,2,20)),1000000000),1000000000))+ROW()/100000,"")</f>
        <v/>
      </c>
    </row>
    <row r="1228">
      <c r="F1228" s="11" t="n"/>
      <c r="N1228" s="7">
        <f>IF($D1228="","",M1228*V1228/100)</f>
        <v/>
      </c>
      <c r="O1228" s="7" t="n"/>
      <c r="U1228" s="7" t="n"/>
      <c r="V1228" s="7" t="n"/>
      <c r="W1228" s="7">
        <f>IF($D1228="","",V1228*AB1228/100)</f>
        <v/>
      </c>
      <c r="X1228" s="7">
        <f>IF($D1228="","",V1228-W1228)</f>
        <v/>
      </c>
      <c r="Y1228" s="7">
        <f>IF($D1228="","",X1228-N1228)</f>
        <v/>
      </c>
      <c r="AB1228">
        <f>IF($D1228="","",IF($AN1228=1,0,IF($AM1228=1,Settings!$C$6,Settings!$C$7))*100)</f>
        <v/>
      </c>
      <c r="AF1228" s="7" t="n"/>
      <c r="AI1228" s="11" t="n"/>
      <c r="AK1228">
        <f>IF($D1228="","",IF(COUNTIF($D$2:$D1228,$D1228)=1,1,0))</f>
        <v/>
      </c>
      <c r="AL1228">
        <f>IF($AK1228=1,SUMPRODUCT(--($AO$2:$AO$1501&lt;$AO1228))+1,"")</f>
        <v/>
      </c>
      <c r="AM1228">
        <f>IF($D1228="","",IF(OR($R1228=TRUE(),$R1228="TRUE"),1,0))</f>
        <v/>
      </c>
      <c r="AN1228">
        <f>IF($D1228="","",IF($AA1228="Yes",1,0))</f>
        <v/>
      </c>
      <c r="AO1228">
        <f>IF($AK1228=1,IFERROR(IF(VALUE($D1228)&lt;100000000,VALUE($D1228),1000000000),IFERROR(IF(VALUE(MID($D1228,2,20))&lt;100000000,VALUE(MID($D1228,2,20)),1000000000),1000000000))+ROW()/100000,"")</f>
        <v/>
      </c>
    </row>
    <row r="1229">
      <c r="F1229" s="11" t="n"/>
      <c r="N1229" s="7">
        <f>IF($D1229="","",M1229*V1229/100)</f>
        <v/>
      </c>
      <c r="O1229" s="7" t="n"/>
      <c r="U1229" s="7" t="n"/>
      <c r="V1229" s="7" t="n"/>
      <c r="W1229" s="7">
        <f>IF($D1229="","",V1229*AB1229/100)</f>
        <v/>
      </c>
      <c r="X1229" s="7">
        <f>IF($D1229="","",V1229-W1229)</f>
        <v/>
      </c>
      <c r="Y1229" s="7">
        <f>IF($D1229="","",X1229-N1229)</f>
        <v/>
      </c>
      <c r="AB1229">
        <f>IF($D1229="","",IF($AN1229=1,0,IF($AM1229=1,Settings!$C$6,Settings!$C$7))*100)</f>
        <v/>
      </c>
      <c r="AF1229" s="7" t="n"/>
      <c r="AI1229" s="11" t="n"/>
      <c r="AK1229">
        <f>IF($D1229="","",IF(COUNTIF($D$2:$D1229,$D1229)=1,1,0))</f>
        <v/>
      </c>
      <c r="AL1229">
        <f>IF($AK1229=1,SUMPRODUCT(--($AO$2:$AO$1501&lt;$AO1229))+1,"")</f>
        <v/>
      </c>
      <c r="AM1229">
        <f>IF($D1229="","",IF(OR($R1229=TRUE(),$R1229="TRUE"),1,0))</f>
        <v/>
      </c>
      <c r="AN1229">
        <f>IF($D1229="","",IF($AA1229="Yes",1,0))</f>
        <v/>
      </c>
      <c r="AO1229">
        <f>IF($AK1229=1,IFERROR(IF(VALUE($D1229)&lt;100000000,VALUE($D1229),1000000000),IFERROR(IF(VALUE(MID($D1229,2,20))&lt;100000000,VALUE(MID($D1229,2,20)),1000000000),1000000000))+ROW()/100000,"")</f>
        <v/>
      </c>
    </row>
    <row r="1230">
      <c r="F1230" s="11" t="n"/>
      <c r="N1230" s="7">
        <f>IF($D1230="","",M1230*V1230/100)</f>
        <v/>
      </c>
      <c r="O1230" s="7" t="n"/>
      <c r="U1230" s="7" t="n"/>
      <c r="V1230" s="7" t="n"/>
      <c r="W1230" s="7">
        <f>IF($D1230="","",V1230*AB1230/100)</f>
        <v/>
      </c>
      <c r="X1230" s="7">
        <f>IF($D1230="","",V1230-W1230)</f>
        <v/>
      </c>
      <c r="Y1230" s="7">
        <f>IF($D1230="","",X1230-N1230)</f>
        <v/>
      </c>
      <c r="AB1230">
        <f>IF($D1230="","",IF($AN1230=1,0,IF($AM1230=1,Settings!$C$6,Settings!$C$7))*100)</f>
        <v/>
      </c>
      <c r="AF1230" s="7" t="n"/>
      <c r="AI1230" s="11" t="n"/>
      <c r="AK1230">
        <f>IF($D1230="","",IF(COUNTIF($D$2:$D1230,$D1230)=1,1,0))</f>
        <v/>
      </c>
      <c r="AL1230">
        <f>IF($AK1230=1,SUMPRODUCT(--($AO$2:$AO$1501&lt;$AO1230))+1,"")</f>
        <v/>
      </c>
      <c r="AM1230">
        <f>IF($D1230="","",IF(OR($R1230=TRUE(),$R1230="TRUE"),1,0))</f>
        <v/>
      </c>
      <c r="AN1230">
        <f>IF($D1230="","",IF($AA1230="Yes",1,0))</f>
        <v/>
      </c>
      <c r="AO1230">
        <f>IF($AK1230=1,IFERROR(IF(VALUE($D1230)&lt;100000000,VALUE($D1230),1000000000),IFERROR(IF(VALUE(MID($D1230,2,20))&lt;100000000,VALUE(MID($D1230,2,20)),1000000000),1000000000))+ROW()/100000,"")</f>
        <v/>
      </c>
    </row>
    <row r="1231">
      <c r="F1231" s="11" t="n"/>
      <c r="N1231" s="7">
        <f>IF($D1231="","",M1231*V1231/100)</f>
        <v/>
      </c>
      <c r="O1231" s="7" t="n"/>
      <c r="U1231" s="7" t="n"/>
      <c r="V1231" s="7" t="n"/>
      <c r="W1231" s="7">
        <f>IF($D1231="","",V1231*AB1231/100)</f>
        <v/>
      </c>
      <c r="X1231" s="7">
        <f>IF($D1231="","",V1231-W1231)</f>
        <v/>
      </c>
      <c r="Y1231" s="7">
        <f>IF($D1231="","",X1231-N1231)</f>
        <v/>
      </c>
      <c r="AB1231">
        <f>IF($D1231="","",IF($AN1231=1,0,IF($AM1231=1,Settings!$C$6,Settings!$C$7))*100)</f>
        <v/>
      </c>
      <c r="AF1231" s="7" t="n"/>
      <c r="AI1231" s="11" t="n"/>
      <c r="AK1231">
        <f>IF($D1231="","",IF(COUNTIF($D$2:$D1231,$D1231)=1,1,0))</f>
        <v/>
      </c>
      <c r="AL1231">
        <f>IF($AK1231=1,SUMPRODUCT(--($AO$2:$AO$1501&lt;$AO1231))+1,"")</f>
        <v/>
      </c>
      <c r="AM1231">
        <f>IF($D1231="","",IF(OR($R1231=TRUE(),$R1231="TRUE"),1,0))</f>
        <v/>
      </c>
      <c r="AN1231">
        <f>IF($D1231="","",IF($AA1231="Yes",1,0))</f>
        <v/>
      </c>
      <c r="AO1231">
        <f>IF($AK1231=1,IFERROR(IF(VALUE($D1231)&lt;100000000,VALUE($D1231),1000000000),IFERROR(IF(VALUE(MID($D1231,2,20))&lt;100000000,VALUE(MID($D1231,2,20)),1000000000),1000000000))+ROW()/100000,"")</f>
        <v/>
      </c>
    </row>
    <row r="1232">
      <c r="F1232" s="11" t="n"/>
      <c r="N1232" s="7">
        <f>IF($D1232="","",M1232*V1232/100)</f>
        <v/>
      </c>
      <c r="O1232" s="7" t="n"/>
      <c r="U1232" s="7" t="n"/>
      <c r="V1232" s="7" t="n"/>
      <c r="W1232" s="7">
        <f>IF($D1232="","",V1232*AB1232/100)</f>
        <v/>
      </c>
      <c r="X1232" s="7">
        <f>IF($D1232="","",V1232-W1232)</f>
        <v/>
      </c>
      <c r="Y1232" s="7">
        <f>IF($D1232="","",X1232-N1232)</f>
        <v/>
      </c>
      <c r="AB1232">
        <f>IF($D1232="","",IF($AN1232=1,0,IF($AM1232=1,Settings!$C$6,Settings!$C$7))*100)</f>
        <v/>
      </c>
      <c r="AF1232" s="7" t="n"/>
      <c r="AI1232" s="11" t="n"/>
      <c r="AK1232">
        <f>IF($D1232="","",IF(COUNTIF($D$2:$D1232,$D1232)=1,1,0))</f>
        <v/>
      </c>
      <c r="AL1232">
        <f>IF($AK1232=1,SUMPRODUCT(--($AO$2:$AO$1501&lt;$AO1232))+1,"")</f>
        <v/>
      </c>
      <c r="AM1232">
        <f>IF($D1232="","",IF(OR($R1232=TRUE(),$R1232="TRUE"),1,0))</f>
        <v/>
      </c>
      <c r="AN1232">
        <f>IF($D1232="","",IF($AA1232="Yes",1,0))</f>
        <v/>
      </c>
      <c r="AO1232">
        <f>IF($AK1232=1,IFERROR(IF(VALUE($D1232)&lt;100000000,VALUE($D1232),1000000000),IFERROR(IF(VALUE(MID($D1232,2,20))&lt;100000000,VALUE(MID($D1232,2,20)),1000000000),1000000000))+ROW()/100000,"")</f>
        <v/>
      </c>
    </row>
    <row r="1233">
      <c r="F1233" s="11" t="n"/>
      <c r="N1233" s="7">
        <f>IF($D1233="","",M1233*V1233/100)</f>
        <v/>
      </c>
      <c r="O1233" s="7" t="n"/>
      <c r="U1233" s="7" t="n"/>
      <c r="V1233" s="7" t="n"/>
      <c r="W1233" s="7">
        <f>IF($D1233="","",V1233*AB1233/100)</f>
        <v/>
      </c>
      <c r="X1233" s="7">
        <f>IF($D1233="","",V1233-W1233)</f>
        <v/>
      </c>
      <c r="Y1233" s="7">
        <f>IF($D1233="","",X1233-N1233)</f>
        <v/>
      </c>
      <c r="AB1233">
        <f>IF($D1233="","",IF($AN1233=1,0,IF($AM1233=1,Settings!$C$6,Settings!$C$7))*100)</f>
        <v/>
      </c>
      <c r="AF1233" s="7" t="n"/>
      <c r="AI1233" s="11" t="n"/>
      <c r="AK1233">
        <f>IF($D1233="","",IF(COUNTIF($D$2:$D1233,$D1233)=1,1,0))</f>
        <v/>
      </c>
      <c r="AL1233">
        <f>IF($AK1233=1,SUMPRODUCT(--($AO$2:$AO$1501&lt;$AO1233))+1,"")</f>
        <v/>
      </c>
      <c r="AM1233">
        <f>IF($D1233="","",IF(OR($R1233=TRUE(),$R1233="TRUE"),1,0))</f>
        <v/>
      </c>
      <c r="AN1233">
        <f>IF($D1233="","",IF($AA1233="Yes",1,0))</f>
        <v/>
      </c>
      <c r="AO1233">
        <f>IF($AK1233=1,IFERROR(IF(VALUE($D1233)&lt;100000000,VALUE($D1233),1000000000),IFERROR(IF(VALUE(MID($D1233,2,20))&lt;100000000,VALUE(MID($D1233,2,20)),1000000000),1000000000))+ROW()/100000,"")</f>
        <v/>
      </c>
    </row>
    <row r="1234">
      <c r="F1234" s="11" t="n"/>
      <c r="N1234" s="7">
        <f>IF($D1234="","",M1234*V1234/100)</f>
        <v/>
      </c>
      <c r="O1234" s="7" t="n"/>
      <c r="U1234" s="7" t="n"/>
      <c r="V1234" s="7" t="n"/>
      <c r="W1234" s="7">
        <f>IF($D1234="","",V1234*AB1234/100)</f>
        <v/>
      </c>
      <c r="X1234" s="7">
        <f>IF($D1234="","",V1234-W1234)</f>
        <v/>
      </c>
      <c r="Y1234" s="7">
        <f>IF($D1234="","",X1234-N1234)</f>
        <v/>
      </c>
      <c r="AB1234">
        <f>IF($D1234="","",IF($AN1234=1,0,IF($AM1234=1,Settings!$C$6,Settings!$C$7))*100)</f>
        <v/>
      </c>
      <c r="AF1234" s="7" t="n"/>
      <c r="AI1234" s="11" t="n"/>
      <c r="AK1234">
        <f>IF($D1234="","",IF(COUNTIF($D$2:$D1234,$D1234)=1,1,0))</f>
        <v/>
      </c>
      <c r="AL1234">
        <f>IF($AK1234=1,SUMPRODUCT(--($AO$2:$AO$1501&lt;$AO1234))+1,"")</f>
        <v/>
      </c>
      <c r="AM1234">
        <f>IF($D1234="","",IF(OR($R1234=TRUE(),$R1234="TRUE"),1,0))</f>
        <v/>
      </c>
      <c r="AN1234">
        <f>IF($D1234="","",IF($AA1234="Yes",1,0))</f>
        <v/>
      </c>
      <c r="AO1234">
        <f>IF($AK1234=1,IFERROR(IF(VALUE($D1234)&lt;100000000,VALUE($D1234),1000000000),IFERROR(IF(VALUE(MID($D1234,2,20))&lt;100000000,VALUE(MID($D1234,2,20)),1000000000),1000000000))+ROW()/100000,"")</f>
        <v/>
      </c>
    </row>
    <row r="1235">
      <c r="F1235" s="11" t="n"/>
      <c r="N1235" s="7">
        <f>IF($D1235="","",M1235*V1235/100)</f>
        <v/>
      </c>
      <c r="O1235" s="7" t="n"/>
      <c r="U1235" s="7" t="n"/>
      <c r="V1235" s="7" t="n"/>
      <c r="W1235" s="7">
        <f>IF($D1235="","",V1235*AB1235/100)</f>
        <v/>
      </c>
      <c r="X1235" s="7">
        <f>IF($D1235="","",V1235-W1235)</f>
        <v/>
      </c>
      <c r="Y1235" s="7">
        <f>IF($D1235="","",X1235-N1235)</f>
        <v/>
      </c>
      <c r="AB1235">
        <f>IF($D1235="","",IF($AN1235=1,0,IF($AM1235=1,Settings!$C$6,Settings!$C$7))*100)</f>
        <v/>
      </c>
      <c r="AF1235" s="7" t="n"/>
      <c r="AI1235" s="11" t="n"/>
      <c r="AK1235">
        <f>IF($D1235="","",IF(COUNTIF($D$2:$D1235,$D1235)=1,1,0))</f>
        <v/>
      </c>
      <c r="AL1235">
        <f>IF($AK1235=1,SUMPRODUCT(--($AO$2:$AO$1501&lt;$AO1235))+1,"")</f>
        <v/>
      </c>
      <c r="AM1235">
        <f>IF($D1235="","",IF(OR($R1235=TRUE(),$R1235="TRUE"),1,0))</f>
        <v/>
      </c>
      <c r="AN1235">
        <f>IF($D1235="","",IF($AA1235="Yes",1,0))</f>
        <v/>
      </c>
      <c r="AO1235">
        <f>IF($AK1235=1,IFERROR(IF(VALUE($D1235)&lt;100000000,VALUE($D1235),1000000000),IFERROR(IF(VALUE(MID($D1235,2,20))&lt;100000000,VALUE(MID($D1235,2,20)),1000000000),1000000000))+ROW()/100000,"")</f>
        <v/>
      </c>
    </row>
    <row r="1236">
      <c r="F1236" s="11" t="n"/>
      <c r="N1236" s="7">
        <f>IF($D1236="","",M1236*V1236/100)</f>
        <v/>
      </c>
      <c r="O1236" s="7" t="n"/>
      <c r="U1236" s="7" t="n"/>
      <c r="V1236" s="7" t="n"/>
      <c r="W1236" s="7">
        <f>IF($D1236="","",V1236*AB1236/100)</f>
        <v/>
      </c>
      <c r="X1236" s="7">
        <f>IF($D1236="","",V1236-W1236)</f>
        <v/>
      </c>
      <c r="Y1236" s="7">
        <f>IF($D1236="","",X1236-N1236)</f>
        <v/>
      </c>
      <c r="AB1236">
        <f>IF($D1236="","",IF($AN1236=1,0,IF($AM1236=1,Settings!$C$6,Settings!$C$7))*100)</f>
        <v/>
      </c>
      <c r="AF1236" s="7" t="n"/>
      <c r="AI1236" s="11" t="n"/>
      <c r="AK1236">
        <f>IF($D1236="","",IF(COUNTIF($D$2:$D1236,$D1236)=1,1,0))</f>
        <v/>
      </c>
      <c r="AL1236">
        <f>IF($AK1236=1,SUMPRODUCT(--($AO$2:$AO$1501&lt;$AO1236))+1,"")</f>
        <v/>
      </c>
      <c r="AM1236">
        <f>IF($D1236="","",IF(OR($R1236=TRUE(),$R1236="TRUE"),1,0))</f>
        <v/>
      </c>
      <c r="AN1236">
        <f>IF($D1236="","",IF($AA1236="Yes",1,0))</f>
        <v/>
      </c>
      <c r="AO1236">
        <f>IF($AK1236=1,IFERROR(IF(VALUE($D1236)&lt;100000000,VALUE($D1236),1000000000),IFERROR(IF(VALUE(MID($D1236,2,20))&lt;100000000,VALUE(MID($D1236,2,20)),1000000000),1000000000))+ROW()/100000,"")</f>
        <v/>
      </c>
    </row>
    <row r="1237">
      <c r="F1237" s="11" t="n"/>
      <c r="N1237" s="7">
        <f>IF($D1237="","",M1237*V1237/100)</f>
        <v/>
      </c>
      <c r="O1237" s="7" t="n"/>
      <c r="U1237" s="7" t="n"/>
      <c r="V1237" s="7" t="n"/>
      <c r="W1237" s="7">
        <f>IF($D1237="","",V1237*AB1237/100)</f>
        <v/>
      </c>
      <c r="X1237" s="7">
        <f>IF($D1237="","",V1237-W1237)</f>
        <v/>
      </c>
      <c r="Y1237" s="7">
        <f>IF($D1237="","",X1237-N1237)</f>
        <v/>
      </c>
      <c r="AB1237">
        <f>IF($D1237="","",IF($AN1237=1,0,IF($AM1237=1,Settings!$C$6,Settings!$C$7))*100)</f>
        <v/>
      </c>
      <c r="AF1237" s="7" t="n"/>
      <c r="AI1237" s="11" t="n"/>
      <c r="AK1237">
        <f>IF($D1237="","",IF(COUNTIF($D$2:$D1237,$D1237)=1,1,0))</f>
        <v/>
      </c>
      <c r="AL1237">
        <f>IF($AK1237=1,SUMPRODUCT(--($AO$2:$AO$1501&lt;$AO1237))+1,"")</f>
        <v/>
      </c>
      <c r="AM1237">
        <f>IF($D1237="","",IF(OR($R1237=TRUE(),$R1237="TRUE"),1,0))</f>
        <v/>
      </c>
      <c r="AN1237">
        <f>IF($D1237="","",IF($AA1237="Yes",1,0))</f>
        <v/>
      </c>
      <c r="AO1237">
        <f>IF($AK1237=1,IFERROR(IF(VALUE($D1237)&lt;100000000,VALUE($D1237),1000000000),IFERROR(IF(VALUE(MID($D1237,2,20))&lt;100000000,VALUE(MID($D1237,2,20)),1000000000),1000000000))+ROW()/100000,"")</f>
        <v/>
      </c>
    </row>
    <row r="1238">
      <c r="F1238" s="11" t="n"/>
      <c r="N1238" s="7">
        <f>IF($D1238="","",M1238*V1238/100)</f>
        <v/>
      </c>
      <c r="O1238" s="7" t="n"/>
      <c r="U1238" s="7" t="n"/>
      <c r="V1238" s="7" t="n"/>
      <c r="W1238" s="7">
        <f>IF($D1238="","",V1238*AB1238/100)</f>
        <v/>
      </c>
      <c r="X1238" s="7">
        <f>IF($D1238="","",V1238-W1238)</f>
        <v/>
      </c>
      <c r="Y1238" s="7">
        <f>IF($D1238="","",X1238-N1238)</f>
        <v/>
      </c>
      <c r="AB1238">
        <f>IF($D1238="","",IF($AN1238=1,0,IF($AM1238=1,Settings!$C$6,Settings!$C$7))*100)</f>
        <v/>
      </c>
      <c r="AF1238" s="7" t="n"/>
      <c r="AI1238" s="11" t="n"/>
      <c r="AK1238">
        <f>IF($D1238="","",IF(COUNTIF($D$2:$D1238,$D1238)=1,1,0))</f>
        <v/>
      </c>
      <c r="AL1238">
        <f>IF($AK1238=1,SUMPRODUCT(--($AO$2:$AO$1501&lt;$AO1238))+1,"")</f>
        <v/>
      </c>
      <c r="AM1238">
        <f>IF($D1238="","",IF(OR($R1238=TRUE(),$R1238="TRUE"),1,0))</f>
        <v/>
      </c>
      <c r="AN1238">
        <f>IF($D1238="","",IF($AA1238="Yes",1,0))</f>
        <v/>
      </c>
      <c r="AO1238">
        <f>IF($AK1238=1,IFERROR(IF(VALUE($D1238)&lt;100000000,VALUE($D1238),1000000000),IFERROR(IF(VALUE(MID($D1238,2,20))&lt;100000000,VALUE(MID($D1238,2,20)),1000000000),1000000000))+ROW()/100000,"")</f>
        <v/>
      </c>
    </row>
    <row r="1239">
      <c r="F1239" s="11" t="n"/>
      <c r="N1239" s="7">
        <f>IF($D1239="","",M1239*V1239/100)</f>
        <v/>
      </c>
      <c r="O1239" s="7" t="n"/>
      <c r="U1239" s="7" t="n"/>
      <c r="V1239" s="7" t="n"/>
      <c r="W1239" s="7">
        <f>IF($D1239="","",V1239*AB1239/100)</f>
        <v/>
      </c>
      <c r="X1239" s="7">
        <f>IF($D1239="","",V1239-W1239)</f>
        <v/>
      </c>
      <c r="Y1239" s="7">
        <f>IF($D1239="","",X1239-N1239)</f>
        <v/>
      </c>
      <c r="AB1239">
        <f>IF($D1239="","",IF($AN1239=1,0,IF($AM1239=1,Settings!$C$6,Settings!$C$7))*100)</f>
        <v/>
      </c>
      <c r="AF1239" s="7" t="n"/>
      <c r="AI1239" s="11" t="n"/>
      <c r="AK1239">
        <f>IF($D1239="","",IF(COUNTIF($D$2:$D1239,$D1239)=1,1,0))</f>
        <v/>
      </c>
      <c r="AL1239">
        <f>IF($AK1239=1,SUMPRODUCT(--($AO$2:$AO$1501&lt;$AO1239))+1,"")</f>
        <v/>
      </c>
      <c r="AM1239">
        <f>IF($D1239="","",IF(OR($R1239=TRUE(),$R1239="TRUE"),1,0))</f>
        <v/>
      </c>
      <c r="AN1239">
        <f>IF($D1239="","",IF($AA1239="Yes",1,0))</f>
        <v/>
      </c>
      <c r="AO1239">
        <f>IF($AK1239=1,IFERROR(IF(VALUE($D1239)&lt;100000000,VALUE($D1239),1000000000),IFERROR(IF(VALUE(MID($D1239,2,20))&lt;100000000,VALUE(MID($D1239,2,20)),1000000000),1000000000))+ROW()/100000,"")</f>
        <v/>
      </c>
    </row>
    <row r="1240">
      <c r="F1240" s="11" t="n"/>
      <c r="N1240" s="7">
        <f>IF($D1240="","",M1240*V1240/100)</f>
        <v/>
      </c>
      <c r="O1240" s="7" t="n"/>
      <c r="U1240" s="7" t="n"/>
      <c r="V1240" s="7" t="n"/>
      <c r="W1240" s="7">
        <f>IF($D1240="","",V1240*AB1240/100)</f>
        <v/>
      </c>
      <c r="X1240" s="7">
        <f>IF($D1240="","",V1240-W1240)</f>
        <v/>
      </c>
      <c r="Y1240" s="7">
        <f>IF($D1240="","",X1240-N1240)</f>
        <v/>
      </c>
      <c r="AB1240">
        <f>IF($D1240="","",IF($AN1240=1,0,IF($AM1240=1,Settings!$C$6,Settings!$C$7))*100)</f>
        <v/>
      </c>
      <c r="AF1240" s="7" t="n"/>
      <c r="AI1240" s="11" t="n"/>
      <c r="AK1240">
        <f>IF($D1240="","",IF(COUNTIF($D$2:$D1240,$D1240)=1,1,0))</f>
        <v/>
      </c>
      <c r="AL1240">
        <f>IF($AK1240=1,SUMPRODUCT(--($AO$2:$AO$1501&lt;$AO1240))+1,"")</f>
        <v/>
      </c>
      <c r="AM1240">
        <f>IF($D1240="","",IF(OR($R1240=TRUE(),$R1240="TRUE"),1,0))</f>
        <v/>
      </c>
      <c r="AN1240">
        <f>IF($D1240="","",IF($AA1240="Yes",1,0))</f>
        <v/>
      </c>
      <c r="AO1240">
        <f>IF($AK1240=1,IFERROR(IF(VALUE($D1240)&lt;100000000,VALUE($D1240),1000000000),IFERROR(IF(VALUE(MID($D1240,2,20))&lt;100000000,VALUE(MID($D1240,2,20)),1000000000),1000000000))+ROW()/100000,"")</f>
        <v/>
      </c>
    </row>
    <row r="1241">
      <c r="F1241" s="11" t="n"/>
      <c r="N1241" s="7">
        <f>IF($D1241="","",M1241*V1241/100)</f>
        <v/>
      </c>
      <c r="O1241" s="7" t="n"/>
      <c r="U1241" s="7" t="n"/>
      <c r="V1241" s="7" t="n"/>
      <c r="W1241" s="7">
        <f>IF($D1241="","",V1241*AB1241/100)</f>
        <v/>
      </c>
      <c r="X1241" s="7">
        <f>IF($D1241="","",V1241-W1241)</f>
        <v/>
      </c>
      <c r="Y1241" s="7">
        <f>IF($D1241="","",X1241-N1241)</f>
        <v/>
      </c>
      <c r="AB1241">
        <f>IF($D1241="","",IF($AN1241=1,0,IF($AM1241=1,Settings!$C$6,Settings!$C$7))*100)</f>
        <v/>
      </c>
      <c r="AF1241" s="7" t="n"/>
      <c r="AI1241" s="11" t="n"/>
      <c r="AK1241">
        <f>IF($D1241="","",IF(COUNTIF($D$2:$D1241,$D1241)=1,1,0))</f>
        <v/>
      </c>
      <c r="AL1241">
        <f>IF($AK1241=1,SUMPRODUCT(--($AO$2:$AO$1501&lt;$AO1241))+1,"")</f>
        <v/>
      </c>
      <c r="AM1241">
        <f>IF($D1241="","",IF(OR($R1241=TRUE(),$R1241="TRUE"),1,0))</f>
        <v/>
      </c>
      <c r="AN1241">
        <f>IF($D1241="","",IF($AA1241="Yes",1,0))</f>
        <v/>
      </c>
      <c r="AO1241">
        <f>IF($AK1241=1,IFERROR(IF(VALUE($D1241)&lt;100000000,VALUE($D1241),1000000000),IFERROR(IF(VALUE(MID($D1241,2,20))&lt;100000000,VALUE(MID($D1241,2,20)),1000000000),1000000000))+ROW()/100000,"")</f>
        <v/>
      </c>
    </row>
    <row r="1242">
      <c r="F1242" s="11" t="n"/>
      <c r="N1242" s="7">
        <f>IF($D1242="","",M1242*V1242/100)</f>
        <v/>
      </c>
      <c r="O1242" s="7" t="n"/>
      <c r="U1242" s="7" t="n"/>
      <c r="V1242" s="7" t="n"/>
      <c r="W1242" s="7">
        <f>IF($D1242="","",V1242*AB1242/100)</f>
        <v/>
      </c>
      <c r="X1242" s="7">
        <f>IF($D1242="","",V1242-W1242)</f>
        <v/>
      </c>
      <c r="Y1242" s="7">
        <f>IF($D1242="","",X1242-N1242)</f>
        <v/>
      </c>
      <c r="AB1242">
        <f>IF($D1242="","",IF($AN1242=1,0,IF($AM1242=1,Settings!$C$6,Settings!$C$7))*100)</f>
        <v/>
      </c>
      <c r="AF1242" s="7" t="n"/>
      <c r="AI1242" s="11" t="n"/>
      <c r="AK1242">
        <f>IF($D1242="","",IF(COUNTIF($D$2:$D1242,$D1242)=1,1,0))</f>
        <v/>
      </c>
      <c r="AL1242">
        <f>IF($AK1242=1,SUMPRODUCT(--($AO$2:$AO$1501&lt;$AO1242))+1,"")</f>
        <v/>
      </c>
      <c r="AM1242">
        <f>IF($D1242="","",IF(OR($R1242=TRUE(),$R1242="TRUE"),1,0))</f>
        <v/>
      </c>
      <c r="AN1242">
        <f>IF($D1242="","",IF($AA1242="Yes",1,0))</f>
        <v/>
      </c>
      <c r="AO1242">
        <f>IF($AK1242=1,IFERROR(IF(VALUE($D1242)&lt;100000000,VALUE($D1242),1000000000),IFERROR(IF(VALUE(MID($D1242,2,20))&lt;100000000,VALUE(MID($D1242,2,20)),1000000000),1000000000))+ROW()/100000,"")</f>
        <v/>
      </c>
    </row>
    <row r="1243">
      <c r="F1243" s="11" t="n"/>
      <c r="N1243" s="7">
        <f>IF($D1243="","",M1243*V1243/100)</f>
        <v/>
      </c>
      <c r="O1243" s="7" t="n"/>
      <c r="U1243" s="7" t="n"/>
      <c r="V1243" s="7" t="n"/>
      <c r="W1243" s="7">
        <f>IF($D1243="","",V1243*AB1243/100)</f>
        <v/>
      </c>
      <c r="X1243" s="7">
        <f>IF($D1243="","",V1243-W1243)</f>
        <v/>
      </c>
      <c r="Y1243" s="7">
        <f>IF($D1243="","",X1243-N1243)</f>
        <v/>
      </c>
      <c r="AB1243">
        <f>IF($D1243="","",IF($AN1243=1,0,IF($AM1243=1,Settings!$C$6,Settings!$C$7))*100)</f>
        <v/>
      </c>
      <c r="AF1243" s="7" t="n"/>
      <c r="AI1243" s="11" t="n"/>
      <c r="AK1243">
        <f>IF($D1243="","",IF(COUNTIF($D$2:$D1243,$D1243)=1,1,0))</f>
        <v/>
      </c>
      <c r="AL1243">
        <f>IF($AK1243=1,SUMPRODUCT(--($AO$2:$AO$1501&lt;$AO1243))+1,"")</f>
        <v/>
      </c>
      <c r="AM1243">
        <f>IF($D1243="","",IF(OR($R1243=TRUE(),$R1243="TRUE"),1,0))</f>
        <v/>
      </c>
      <c r="AN1243">
        <f>IF($D1243="","",IF($AA1243="Yes",1,0))</f>
        <v/>
      </c>
      <c r="AO1243">
        <f>IF($AK1243=1,IFERROR(IF(VALUE($D1243)&lt;100000000,VALUE($D1243),1000000000),IFERROR(IF(VALUE(MID($D1243,2,20))&lt;100000000,VALUE(MID($D1243,2,20)),1000000000),1000000000))+ROW()/100000,"")</f>
        <v/>
      </c>
    </row>
    <row r="1244">
      <c r="F1244" s="11" t="n"/>
      <c r="N1244" s="7">
        <f>IF($D1244="","",M1244*V1244/100)</f>
        <v/>
      </c>
      <c r="O1244" s="7" t="n"/>
      <c r="U1244" s="7" t="n"/>
      <c r="V1244" s="7" t="n"/>
      <c r="W1244" s="7">
        <f>IF($D1244="","",V1244*AB1244/100)</f>
        <v/>
      </c>
      <c r="X1244" s="7">
        <f>IF($D1244="","",V1244-W1244)</f>
        <v/>
      </c>
      <c r="Y1244" s="7">
        <f>IF($D1244="","",X1244-N1244)</f>
        <v/>
      </c>
      <c r="AB1244">
        <f>IF($D1244="","",IF($AN1244=1,0,IF($AM1244=1,Settings!$C$6,Settings!$C$7))*100)</f>
        <v/>
      </c>
      <c r="AF1244" s="7" t="n"/>
      <c r="AI1244" s="11" t="n"/>
      <c r="AK1244">
        <f>IF($D1244="","",IF(COUNTIF($D$2:$D1244,$D1244)=1,1,0))</f>
        <v/>
      </c>
      <c r="AL1244">
        <f>IF($AK1244=1,SUMPRODUCT(--($AO$2:$AO$1501&lt;$AO1244))+1,"")</f>
        <v/>
      </c>
      <c r="AM1244">
        <f>IF($D1244="","",IF(OR($R1244=TRUE(),$R1244="TRUE"),1,0))</f>
        <v/>
      </c>
      <c r="AN1244">
        <f>IF($D1244="","",IF($AA1244="Yes",1,0))</f>
        <v/>
      </c>
      <c r="AO1244">
        <f>IF($AK1244=1,IFERROR(IF(VALUE($D1244)&lt;100000000,VALUE($D1244),1000000000),IFERROR(IF(VALUE(MID($D1244,2,20))&lt;100000000,VALUE(MID($D1244,2,20)),1000000000),1000000000))+ROW()/100000,"")</f>
        <v/>
      </c>
    </row>
    <row r="1245">
      <c r="F1245" s="11" t="n"/>
      <c r="N1245" s="7">
        <f>IF($D1245="","",M1245*V1245/100)</f>
        <v/>
      </c>
      <c r="O1245" s="7" t="n"/>
      <c r="U1245" s="7" t="n"/>
      <c r="V1245" s="7" t="n"/>
      <c r="W1245" s="7">
        <f>IF($D1245="","",V1245*AB1245/100)</f>
        <v/>
      </c>
      <c r="X1245" s="7">
        <f>IF($D1245="","",V1245-W1245)</f>
        <v/>
      </c>
      <c r="Y1245" s="7">
        <f>IF($D1245="","",X1245-N1245)</f>
        <v/>
      </c>
      <c r="AB1245">
        <f>IF($D1245="","",IF($AN1245=1,0,IF($AM1245=1,Settings!$C$6,Settings!$C$7))*100)</f>
        <v/>
      </c>
      <c r="AF1245" s="7" t="n"/>
      <c r="AI1245" s="11" t="n"/>
      <c r="AK1245">
        <f>IF($D1245="","",IF(COUNTIF($D$2:$D1245,$D1245)=1,1,0))</f>
        <v/>
      </c>
      <c r="AL1245">
        <f>IF($AK1245=1,SUMPRODUCT(--($AO$2:$AO$1501&lt;$AO1245))+1,"")</f>
        <v/>
      </c>
      <c r="AM1245">
        <f>IF($D1245="","",IF(OR($R1245=TRUE(),$R1245="TRUE"),1,0))</f>
        <v/>
      </c>
      <c r="AN1245">
        <f>IF($D1245="","",IF($AA1245="Yes",1,0))</f>
        <v/>
      </c>
      <c r="AO1245">
        <f>IF($AK1245=1,IFERROR(IF(VALUE($D1245)&lt;100000000,VALUE($D1245),1000000000),IFERROR(IF(VALUE(MID($D1245,2,20))&lt;100000000,VALUE(MID($D1245,2,20)),1000000000),1000000000))+ROW()/100000,"")</f>
        <v/>
      </c>
    </row>
    <row r="1246">
      <c r="F1246" s="11" t="n"/>
      <c r="N1246" s="7">
        <f>IF($D1246="","",M1246*V1246/100)</f>
        <v/>
      </c>
      <c r="O1246" s="7" t="n"/>
      <c r="U1246" s="7" t="n"/>
      <c r="V1246" s="7" t="n"/>
      <c r="W1246" s="7">
        <f>IF($D1246="","",V1246*AB1246/100)</f>
        <v/>
      </c>
      <c r="X1246" s="7">
        <f>IF($D1246="","",V1246-W1246)</f>
        <v/>
      </c>
      <c r="Y1246" s="7">
        <f>IF($D1246="","",X1246-N1246)</f>
        <v/>
      </c>
      <c r="AB1246">
        <f>IF($D1246="","",IF($AN1246=1,0,IF($AM1246=1,Settings!$C$6,Settings!$C$7))*100)</f>
        <v/>
      </c>
      <c r="AF1246" s="7" t="n"/>
      <c r="AI1246" s="11" t="n"/>
      <c r="AK1246">
        <f>IF($D1246="","",IF(COUNTIF($D$2:$D1246,$D1246)=1,1,0))</f>
        <v/>
      </c>
      <c r="AL1246">
        <f>IF($AK1246=1,SUMPRODUCT(--($AO$2:$AO$1501&lt;$AO1246))+1,"")</f>
        <v/>
      </c>
      <c r="AM1246">
        <f>IF($D1246="","",IF(OR($R1246=TRUE(),$R1246="TRUE"),1,0))</f>
        <v/>
      </c>
      <c r="AN1246">
        <f>IF($D1246="","",IF($AA1246="Yes",1,0))</f>
        <v/>
      </c>
      <c r="AO1246">
        <f>IF($AK1246=1,IFERROR(IF(VALUE($D1246)&lt;100000000,VALUE($D1246),1000000000),IFERROR(IF(VALUE(MID($D1246,2,20))&lt;100000000,VALUE(MID($D1246,2,20)),1000000000),1000000000))+ROW()/100000,"")</f>
        <v/>
      </c>
    </row>
    <row r="1247">
      <c r="F1247" s="11" t="n"/>
      <c r="N1247" s="7">
        <f>IF($D1247="","",M1247*V1247/100)</f>
        <v/>
      </c>
      <c r="O1247" s="7" t="n"/>
      <c r="U1247" s="7" t="n"/>
      <c r="V1247" s="7" t="n"/>
      <c r="W1247" s="7">
        <f>IF($D1247="","",V1247*AB1247/100)</f>
        <v/>
      </c>
      <c r="X1247" s="7">
        <f>IF($D1247="","",V1247-W1247)</f>
        <v/>
      </c>
      <c r="Y1247" s="7">
        <f>IF($D1247="","",X1247-N1247)</f>
        <v/>
      </c>
      <c r="AB1247">
        <f>IF($D1247="","",IF($AN1247=1,0,IF($AM1247=1,Settings!$C$6,Settings!$C$7))*100)</f>
        <v/>
      </c>
      <c r="AF1247" s="7" t="n"/>
      <c r="AI1247" s="11" t="n"/>
      <c r="AK1247">
        <f>IF($D1247="","",IF(COUNTIF($D$2:$D1247,$D1247)=1,1,0))</f>
        <v/>
      </c>
      <c r="AL1247">
        <f>IF($AK1247=1,SUMPRODUCT(--($AO$2:$AO$1501&lt;$AO1247))+1,"")</f>
        <v/>
      </c>
      <c r="AM1247">
        <f>IF($D1247="","",IF(OR($R1247=TRUE(),$R1247="TRUE"),1,0))</f>
        <v/>
      </c>
      <c r="AN1247">
        <f>IF($D1247="","",IF($AA1247="Yes",1,0))</f>
        <v/>
      </c>
      <c r="AO1247">
        <f>IF($AK1247=1,IFERROR(IF(VALUE($D1247)&lt;100000000,VALUE($D1247),1000000000),IFERROR(IF(VALUE(MID($D1247,2,20))&lt;100000000,VALUE(MID($D1247,2,20)),1000000000),1000000000))+ROW()/100000,"")</f>
        <v/>
      </c>
    </row>
    <row r="1248">
      <c r="F1248" s="11" t="n"/>
      <c r="N1248" s="7">
        <f>IF($D1248="","",M1248*V1248/100)</f>
        <v/>
      </c>
      <c r="O1248" s="7" t="n"/>
      <c r="U1248" s="7" t="n"/>
      <c r="V1248" s="7" t="n"/>
      <c r="W1248" s="7">
        <f>IF($D1248="","",V1248*AB1248/100)</f>
        <v/>
      </c>
      <c r="X1248" s="7">
        <f>IF($D1248="","",V1248-W1248)</f>
        <v/>
      </c>
      <c r="Y1248" s="7">
        <f>IF($D1248="","",X1248-N1248)</f>
        <v/>
      </c>
      <c r="AB1248">
        <f>IF($D1248="","",IF($AN1248=1,0,IF($AM1248=1,Settings!$C$6,Settings!$C$7))*100)</f>
        <v/>
      </c>
      <c r="AF1248" s="7" t="n"/>
      <c r="AI1248" s="11" t="n"/>
      <c r="AK1248">
        <f>IF($D1248="","",IF(COUNTIF($D$2:$D1248,$D1248)=1,1,0))</f>
        <v/>
      </c>
      <c r="AL1248">
        <f>IF($AK1248=1,SUMPRODUCT(--($AO$2:$AO$1501&lt;$AO1248))+1,"")</f>
        <v/>
      </c>
      <c r="AM1248">
        <f>IF($D1248="","",IF(OR($R1248=TRUE(),$R1248="TRUE"),1,0))</f>
        <v/>
      </c>
      <c r="AN1248">
        <f>IF($D1248="","",IF($AA1248="Yes",1,0))</f>
        <v/>
      </c>
      <c r="AO1248">
        <f>IF($AK1248=1,IFERROR(IF(VALUE($D1248)&lt;100000000,VALUE($D1248),1000000000),IFERROR(IF(VALUE(MID($D1248,2,20))&lt;100000000,VALUE(MID($D1248,2,20)),1000000000),1000000000))+ROW()/100000,"")</f>
        <v/>
      </c>
    </row>
    <row r="1249">
      <c r="F1249" s="11" t="n"/>
      <c r="N1249" s="7">
        <f>IF($D1249="","",M1249*V1249/100)</f>
        <v/>
      </c>
      <c r="O1249" s="7" t="n"/>
      <c r="U1249" s="7" t="n"/>
      <c r="V1249" s="7" t="n"/>
      <c r="W1249" s="7">
        <f>IF($D1249="","",V1249*AB1249/100)</f>
        <v/>
      </c>
      <c r="X1249" s="7">
        <f>IF($D1249="","",V1249-W1249)</f>
        <v/>
      </c>
      <c r="Y1249" s="7">
        <f>IF($D1249="","",X1249-N1249)</f>
        <v/>
      </c>
      <c r="AB1249">
        <f>IF($D1249="","",IF($AN1249=1,0,IF($AM1249=1,Settings!$C$6,Settings!$C$7))*100)</f>
        <v/>
      </c>
      <c r="AF1249" s="7" t="n"/>
      <c r="AI1249" s="11" t="n"/>
      <c r="AK1249">
        <f>IF($D1249="","",IF(COUNTIF($D$2:$D1249,$D1249)=1,1,0))</f>
        <v/>
      </c>
      <c r="AL1249">
        <f>IF($AK1249=1,SUMPRODUCT(--($AO$2:$AO$1501&lt;$AO1249))+1,"")</f>
        <v/>
      </c>
      <c r="AM1249">
        <f>IF($D1249="","",IF(OR($R1249=TRUE(),$R1249="TRUE"),1,0))</f>
        <v/>
      </c>
      <c r="AN1249">
        <f>IF($D1249="","",IF($AA1249="Yes",1,0))</f>
        <v/>
      </c>
      <c r="AO1249">
        <f>IF($AK1249=1,IFERROR(IF(VALUE($D1249)&lt;100000000,VALUE($D1249),1000000000),IFERROR(IF(VALUE(MID($D1249,2,20))&lt;100000000,VALUE(MID($D1249,2,20)),1000000000),1000000000))+ROW()/100000,"")</f>
        <v/>
      </c>
    </row>
    <row r="1250">
      <c r="F1250" s="11" t="n"/>
      <c r="N1250" s="7">
        <f>IF($D1250="","",M1250*V1250/100)</f>
        <v/>
      </c>
      <c r="O1250" s="7" t="n"/>
      <c r="U1250" s="7" t="n"/>
      <c r="V1250" s="7" t="n"/>
      <c r="W1250" s="7">
        <f>IF($D1250="","",V1250*AB1250/100)</f>
        <v/>
      </c>
      <c r="X1250" s="7">
        <f>IF($D1250="","",V1250-W1250)</f>
        <v/>
      </c>
      <c r="Y1250" s="7">
        <f>IF($D1250="","",X1250-N1250)</f>
        <v/>
      </c>
      <c r="AB1250">
        <f>IF($D1250="","",IF($AN1250=1,0,IF($AM1250=1,Settings!$C$6,Settings!$C$7))*100)</f>
        <v/>
      </c>
      <c r="AF1250" s="7" t="n"/>
      <c r="AI1250" s="11" t="n"/>
      <c r="AK1250">
        <f>IF($D1250="","",IF(COUNTIF($D$2:$D1250,$D1250)=1,1,0))</f>
        <v/>
      </c>
      <c r="AL1250">
        <f>IF($AK1250=1,SUMPRODUCT(--($AO$2:$AO$1501&lt;$AO1250))+1,"")</f>
        <v/>
      </c>
      <c r="AM1250">
        <f>IF($D1250="","",IF(OR($R1250=TRUE(),$R1250="TRUE"),1,0))</f>
        <v/>
      </c>
      <c r="AN1250">
        <f>IF($D1250="","",IF($AA1250="Yes",1,0))</f>
        <v/>
      </c>
      <c r="AO1250">
        <f>IF($AK1250=1,IFERROR(IF(VALUE($D1250)&lt;100000000,VALUE($D1250),1000000000),IFERROR(IF(VALUE(MID($D1250,2,20))&lt;100000000,VALUE(MID($D1250,2,20)),1000000000),1000000000))+ROW()/100000,"")</f>
        <v/>
      </c>
    </row>
    <row r="1251">
      <c r="F1251" s="11" t="n"/>
      <c r="N1251" s="7">
        <f>IF($D1251="","",M1251*V1251/100)</f>
        <v/>
      </c>
      <c r="O1251" s="7" t="n"/>
      <c r="U1251" s="7" t="n"/>
      <c r="V1251" s="7" t="n"/>
      <c r="W1251" s="7">
        <f>IF($D1251="","",V1251*AB1251/100)</f>
        <v/>
      </c>
      <c r="X1251" s="7">
        <f>IF($D1251="","",V1251-W1251)</f>
        <v/>
      </c>
      <c r="Y1251" s="7">
        <f>IF($D1251="","",X1251-N1251)</f>
        <v/>
      </c>
      <c r="AB1251">
        <f>IF($D1251="","",IF($AN1251=1,0,IF($AM1251=1,Settings!$C$6,Settings!$C$7))*100)</f>
        <v/>
      </c>
      <c r="AF1251" s="7" t="n"/>
      <c r="AI1251" s="11" t="n"/>
      <c r="AK1251">
        <f>IF($D1251="","",IF(COUNTIF($D$2:$D1251,$D1251)=1,1,0))</f>
        <v/>
      </c>
      <c r="AL1251">
        <f>IF($AK1251=1,SUMPRODUCT(--($AO$2:$AO$1501&lt;$AO1251))+1,"")</f>
        <v/>
      </c>
      <c r="AM1251">
        <f>IF($D1251="","",IF(OR($R1251=TRUE(),$R1251="TRUE"),1,0))</f>
        <v/>
      </c>
      <c r="AN1251">
        <f>IF($D1251="","",IF($AA1251="Yes",1,0))</f>
        <v/>
      </c>
      <c r="AO1251">
        <f>IF($AK1251=1,IFERROR(IF(VALUE($D1251)&lt;100000000,VALUE($D1251),1000000000),IFERROR(IF(VALUE(MID($D1251,2,20))&lt;100000000,VALUE(MID($D1251,2,20)),1000000000),1000000000))+ROW()/100000,"")</f>
        <v/>
      </c>
    </row>
    <row r="1252">
      <c r="F1252" s="11" t="n"/>
      <c r="N1252" s="7">
        <f>IF($D1252="","",M1252*V1252/100)</f>
        <v/>
      </c>
      <c r="O1252" s="7" t="n"/>
      <c r="U1252" s="7" t="n"/>
      <c r="V1252" s="7" t="n"/>
      <c r="W1252" s="7">
        <f>IF($D1252="","",V1252*AB1252/100)</f>
        <v/>
      </c>
      <c r="X1252" s="7">
        <f>IF($D1252="","",V1252-W1252)</f>
        <v/>
      </c>
      <c r="Y1252" s="7">
        <f>IF($D1252="","",X1252-N1252)</f>
        <v/>
      </c>
      <c r="AB1252">
        <f>IF($D1252="","",IF($AN1252=1,0,IF($AM1252=1,Settings!$C$6,Settings!$C$7))*100)</f>
        <v/>
      </c>
      <c r="AF1252" s="7" t="n"/>
      <c r="AI1252" s="11" t="n"/>
      <c r="AK1252">
        <f>IF($D1252="","",IF(COUNTIF($D$2:$D1252,$D1252)=1,1,0))</f>
        <v/>
      </c>
      <c r="AL1252">
        <f>IF($AK1252=1,SUMPRODUCT(--($AO$2:$AO$1501&lt;$AO1252))+1,"")</f>
        <v/>
      </c>
      <c r="AM1252">
        <f>IF($D1252="","",IF(OR($R1252=TRUE(),$R1252="TRUE"),1,0))</f>
        <v/>
      </c>
      <c r="AN1252">
        <f>IF($D1252="","",IF($AA1252="Yes",1,0))</f>
        <v/>
      </c>
      <c r="AO1252">
        <f>IF($AK1252=1,IFERROR(IF(VALUE($D1252)&lt;100000000,VALUE($D1252),1000000000),IFERROR(IF(VALUE(MID($D1252,2,20))&lt;100000000,VALUE(MID($D1252,2,20)),1000000000),1000000000))+ROW()/100000,"")</f>
        <v/>
      </c>
    </row>
    <row r="1253">
      <c r="F1253" s="11" t="n"/>
      <c r="N1253" s="7">
        <f>IF($D1253="","",M1253*V1253/100)</f>
        <v/>
      </c>
      <c r="O1253" s="7" t="n"/>
      <c r="U1253" s="7" t="n"/>
      <c r="V1253" s="7" t="n"/>
      <c r="W1253" s="7">
        <f>IF($D1253="","",V1253*AB1253/100)</f>
        <v/>
      </c>
      <c r="X1253" s="7">
        <f>IF($D1253="","",V1253-W1253)</f>
        <v/>
      </c>
      <c r="Y1253" s="7">
        <f>IF($D1253="","",X1253-N1253)</f>
        <v/>
      </c>
      <c r="AB1253">
        <f>IF($D1253="","",IF($AN1253=1,0,IF($AM1253=1,Settings!$C$6,Settings!$C$7))*100)</f>
        <v/>
      </c>
      <c r="AF1253" s="7" t="n"/>
      <c r="AI1253" s="11" t="n"/>
      <c r="AK1253">
        <f>IF($D1253="","",IF(COUNTIF($D$2:$D1253,$D1253)=1,1,0))</f>
        <v/>
      </c>
      <c r="AL1253">
        <f>IF($AK1253=1,SUMPRODUCT(--($AO$2:$AO$1501&lt;$AO1253))+1,"")</f>
        <v/>
      </c>
      <c r="AM1253">
        <f>IF($D1253="","",IF(OR($R1253=TRUE(),$R1253="TRUE"),1,0))</f>
        <v/>
      </c>
      <c r="AN1253">
        <f>IF($D1253="","",IF($AA1253="Yes",1,0))</f>
        <v/>
      </c>
      <c r="AO1253">
        <f>IF($AK1253=1,IFERROR(IF(VALUE($D1253)&lt;100000000,VALUE($D1253),1000000000),IFERROR(IF(VALUE(MID($D1253,2,20))&lt;100000000,VALUE(MID($D1253,2,20)),1000000000),1000000000))+ROW()/100000,"")</f>
        <v/>
      </c>
    </row>
    <row r="1254">
      <c r="F1254" s="11" t="n"/>
      <c r="N1254" s="7">
        <f>IF($D1254="","",M1254*V1254/100)</f>
        <v/>
      </c>
      <c r="O1254" s="7" t="n"/>
      <c r="U1254" s="7" t="n"/>
      <c r="V1254" s="7" t="n"/>
      <c r="W1254" s="7">
        <f>IF($D1254="","",V1254*AB1254/100)</f>
        <v/>
      </c>
      <c r="X1254" s="7">
        <f>IF($D1254="","",V1254-W1254)</f>
        <v/>
      </c>
      <c r="Y1254" s="7">
        <f>IF($D1254="","",X1254-N1254)</f>
        <v/>
      </c>
      <c r="AB1254">
        <f>IF($D1254="","",IF($AN1254=1,0,IF($AM1254=1,Settings!$C$6,Settings!$C$7))*100)</f>
        <v/>
      </c>
      <c r="AF1254" s="7" t="n"/>
      <c r="AI1254" s="11" t="n"/>
      <c r="AK1254">
        <f>IF($D1254="","",IF(COUNTIF($D$2:$D1254,$D1254)=1,1,0))</f>
        <v/>
      </c>
      <c r="AL1254">
        <f>IF($AK1254=1,SUMPRODUCT(--($AO$2:$AO$1501&lt;$AO1254))+1,"")</f>
        <v/>
      </c>
      <c r="AM1254">
        <f>IF($D1254="","",IF(OR($R1254=TRUE(),$R1254="TRUE"),1,0))</f>
        <v/>
      </c>
      <c r="AN1254">
        <f>IF($D1254="","",IF($AA1254="Yes",1,0))</f>
        <v/>
      </c>
      <c r="AO1254">
        <f>IF($AK1254=1,IFERROR(IF(VALUE($D1254)&lt;100000000,VALUE($D1254),1000000000),IFERROR(IF(VALUE(MID($D1254,2,20))&lt;100000000,VALUE(MID($D1254,2,20)),1000000000),1000000000))+ROW()/100000,"")</f>
        <v/>
      </c>
    </row>
    <row r="1255">
      <c r="F1255" s="11" t="n"/>
      <c r="N1255" s="7">
        <f>IF($D1255="","",M1255*V1255/100)</f>
        <v/>
      </c>
      <c r="O1255" s="7" t="n"/>
      <c r="U1255" s="7" t="n"/>
      <c r="V1255" s="7" t="n"/>
      <c r="W1255" s="7">
        <f>IF($D1255="","",V1255*AB1255/100)</f>
        <v/>
      </c>
      <c r="X1255" s="7">
        <f>IF($D1255="","",V1255-W1255)</f>
        <v/>
      </c>
      <c r="Y1255" s="7">
        <f>IF($D1255="","",X1255-N1255)</f>
        <v/>
      </c>
      <c r="AB1255">
        <f>IF($D1255="","",IF($AN1255=1,0,IF($AM1255=1,Settings!$C$6,Settings!$C$7))*100)</f>
        <v/>
      </c>
      <c r="AF1255" s="7" t="n"/>
      <c r="AI1255" s="11" t="n"/>
      <c r="AK1255">
        <f>IF($D1255="","",IF(COUNTIF($D$2:$D1255,$D1255)=1,1,0))</f>
        <v/>
      </c>
      <c r="AL1255">
        <f>IF($AK1255=1,SUMPRODUCT(--($AO$2:$AO$1501&lt;$AO1255))+1,"")</f>
        <v/>
      </c>
      <c r="AM1255">
        <f>IF($D1255="","",IF(OR($R1255=TRUE(),$R1255="TRUE"),1,0))</f>
        <v/>
      </c>
      <c r="AN1255">
        <f>IF($D1255="","",IF($AA1255="Yes",1,0))</f>
        <v/>
      </c>
      <c r="AO1255">
        <f>IF($AK1255=1,IFERROR(IF(VALUE($D1255)&lt;100000000,VALUE($D1255),1000000000),IFERROR(IF(VALUE(MID($D1255,2,20))&lt;100000000,VALUE(MID($D1255,2,20)),1000000000),1000000000))+ROW()/100000,"")</f>
        <v/>
      </c>
    </row>
    <row r="1256">
      <c r="F1256" s="11" t="n"/>
      <c r="N1256" s="7">
        <f>IF($D1256="","",M1256*V1256/100)</f>
        <v/>
      </c>
      <c r="O1256" s="7" t="n"/>
      <c r="U1256" s="7" t="n"/>
      <c r="V1256" s="7" t="n"/>
      <c r="W1256" s="7">
        <f>IF($D1256="","",V1256*AB1256/100)</f>
        <v/>
      </c>
      <c r="X1256" s="7">
        <f>IF($D1256="","",V1256-W1256)</f>
        <v/>
      </c>
      <c r="Y1256" s="7">
        <f>IF($D1256="","",X1256-N1256)</f>
        <v/>
      </c>
      <c r="AB1256">
        <f>IF($D1256="","",IF($AN1256=1,0,IF($AM1256=1,Settings!$C$6,Settings!$C$7))*100)</f>
        <v/>
      </c>
      <c r="AF1256" s="7" t="n"/>
      <c r="AI1256" s="11" t="n"/>
      <c r="AK1256">
        <f>IF($D1256="","",IF(COUNTIF($D$2:$D1256,$D1256)=1,1,0))</f>
        <v/>
      </c>
      <c r="AL1256">
        <f>IF($AK1256=1,SUMPRODUCT(--($AO$2:$AO$1501&lt;$AO1256))+1,"")</f>
        <v/>
      </c>
      <c r="AM1256">
        <f>IF($D1256="","",IF(OR($R1256=TRUE(),$R1256="TRUE"),1,0))</f>
        <v/>
      </c>
      <c r="AN1256">
        <f>IF($D1256="","",IF($AA1256="Yes",1,0))</f>
        <v/>
      </c>
      <c r="AO1256">
        <f>IF($AK1256=1,IFERROR(IF(VALUE($D1256)&lt;100000000,VALUE($D1256),1000000000),IFERROR(IF(VALUE(MID($D1256,2,20))&lt;100000000,VALUE(MID($D1256,2,20)),1000000000),1000000000))+ROW()/100000,"")</f>
        <v/>
      </c>
    </row>
    <row r="1257">
      <c r="F1257" s="11" t="n"/>
      <c r="N1257" s="7">
        <f>IF($D1257="","",M1257*V1257/100)</f>
        <v/>
      </c>
      <c r="O1257" s="7" t="n"/>
      <c r="U1257" s="7" t="n"/>
      <c r="V1257" s="7" t="n"/>
      <c r="W1257" s="7">
        <f>IF($D1257="","",V1257*AB1257/100)</f>
        <v/>
      </c>
      <c r="X1257" s="7">
        <f>IF($D1257="","",V1257-W1257)</f>
        <v/>
      </c>
      <c r="Y1257" s="7">
        <f>IF($D1257="","",X1257-N1257)</f>
        <v/>
      </c>
      <c r="AB1257">
        <f>IF($D1257="","",IF($AN1257=1,0,IF($AM1257=1,Settings!$C$6,Settings!$C$7))*100)</f>
        <v/>
      </c>
      <c r="AF1257" s="7" t="n"/>
      <c r="AI1257" s="11" t="n"/>
      <c r="AK1257">
        <f>IF($D1257="","",IF(COUNTIF($D$2:$D1257,$D1257)=1,1,0))</f>
        <v/>
      </c>
      <c r="AL1257">
        <f>IF($AK1257=1,SUMPRODUCT(--($AO$2:$AO$1501&lt;$AO1257))+1,"")</f>
        <v/>
      </c>
      <c r="AM1257">
        <f>IF($D1257="","",IF(OR($R1257=TRUE(),$R1257="TRUE"),1,0))</f>
        <v/>
      </c>
      <c r="AN1257">
        <f>IF($D1257="","",IF($AA1257="Yes",1,0))</f>
        <v/>
      </c>
      <c r="AO1257">
        <f>IF($AK1257=1,IFERROR(IF(VALUE($D1257)&lt;100000000,VALUE($D1257),1000000000),IFERROR(IF(VALUE(MID($D1257,2,20))&lt;100000000,VALUE(MID($D1257,2,20)),1000000000),1000000000))+ROW()/100000,"")</f>
        <v/>
      </c>
    </row>
    <row r="1258">
      <c r="F1258" s="11" t="n"/>
      <c r="N1258" s="7">
        <f>IF($D1258="","",M1258*V1258/100)</f>
        <v/>
      </c>
      <c r="O1258" s="7" t="n"/>
      <c r="U1258" s="7" t="n"/>
      <c r="V1258" s="7" t="n"/>
      <c r="W1258" s="7">
        <f>IF($D1258="","",V1258*AB1258/100)</f>
        <v/>
      </c>
      <c r="X1258" s="7">
        <f>IF($D1258="","",V1258-W1258)</f>
        <v/>
      </c>
      <c r="Y1258" s="7">
        <f>IF($D1258="","",X1258-N1258)</f>
        <v/>
      </c>
      <c r="AB1258">
        <f>IF($D1258="","",IF($AN1258=1,0,IF($AM1258=1,Settings!$C$6,Settings!$C$7))*100)</f>
        <v/>
      </c>
      <c r="AF1258" s="7" t="n"/>
      <c r="AI1258" s="11" t="n"/>
      <c r="AK1258">
        <f>IF($D1258="","",IF(COUNTIF($D$2:$D1258,$D1258)=1,1,0))</f>
        <v/>
      </c>
      <c r="AL1258">
        <f>IF($AK1258=1,SUMPRODUCT(--($AO$2:$AO$1501&lt;$AO1258))+1,"")</f>
        <v/>
      </c>
      <c r="AM1258">
        <f>IF($D1258="","",IF(OR($R1258=TRUE(),$R1258="TRUE"),1,0))</f>
        <v/>
      </c>
      <c r="AN1258">
        <f>IF($D1258="","",IF($AA1258="Yes",1,0))</f>
        <v/>
      </c>
      <c r="AO1258">
        <f>IF($AK1258=1,IFERROR(IF(VALUE($D1258)&lt;100000000,VALUE($D1258),1000000000),IFERROR(IF(VALUE(MID($D1258,2,20))&lt;100000000,VALUE(MID($D1258,2,20)),1000000000),1000000000))+ROW()/100000,"")</f>
        <v/>
      </c>
    </row>
    <row r="1259">
      <c r="F1259" s="11" t="n"/>
      <c r="N1259" s="7">
        <f>IF($D1259="","",M1259*V1259/100)</f>
        <v/>
      </c>
      <c r="O1259" s="7" t="n"/>
      <c r="U1259" s="7" t="n"/>
      <c r="V1259" s="7" t="n"/>
      <c r="W1259" s="7">
        <f>IF($D1259="","",V1259*AB1259/100)</f>
        <v/>
      </c>
      <c r="X1259" s="7">
        <f>IF($D1259="","",V1259-W1259)</f>
        <v/>
      </c>
      <c r="Y1259" s="7">
        <f>IF($D1259="","",X1259-N1259)</f>
        <v/>
      </c>
      <c r="AB1259">
        <f>IF($D1259="","",IF($AN1259=1,0,IF($AM1259=1,Settings!$C$6,Settings!$C$7))*100)</f>
        <v/>
      </c>
      <c r="AF1259" s="7" t="n"/>
      <c r="AI1259" s="11" t="n"/>
      <c r="AK1259">
        <f>IF($D1259="","",IF(COUNTIF($D$2:$D1259,$D1259)=1,1,0))</f>
        <v/>
      </c>
      <c r="AL1259">
        <f>IF($AK1259=1,SUMPRODUCT(--($AO$2:$AO$1501&lt;$AO1259))+1,"")</f>
        <v/>
      </c>
      <c r="AM1259">
        <f>IF($D1259="","",IF(OR($R1259=TRUE(),$R1259="TRUE"),1,0))</f>
        <v/>
      </c>
      <c r="AN1259">
        <f>IF($D1259="","",IF($AA1259="Yes",1,0))</f>
        <v/>
      </c>
      <c r="AO1259">
        <f>IF($AK1259=1,IFERROR(IF(VALUE($D1259)&lt;100000000,VALUE($D1259),1000000000),IFERROR(IF(VALUE(MID($D1259,2,20))&lt;100000000,VALUE(MID($D1259,2,20)),1000000000),1000000000))+ROW()/100000,"")</f>
        <v/>
      </c>
    </row>
    <row r="1260">
      <c r="F1260" s="11" t="n"/>
      <c r="N1260" s="7">
        <f>IF($D1260="","",M1260*V1260/100)</f>
        <v/>
      </c>
      <c r="O1260" s="7" t="n"/>
      <c r="U1260" s="7" t="n"/>
      <c r="V1260" s="7" t="n"/>
      <c r="W1260" s="7">
        <f>IF($D1260="","",V1260*AB1260/100)</f>
        <v/>
      </c>
      <c r="X1260" s="7">
        <f>IF($D1260="","",V1260-W1260)</f>
        <v/>
      </c>
      <c r="Y1260" s="7">
        <f>IF($D1260="","",X1260-N1260)</f>
        <v/>
      </c>
      <c r="AB1260">
        <f>IF($D1260="","",IF($AN1260=1,0,IF($AM1260=1,Settings!$C$6,Settings!$C$7))*100)</f>
        <v/>
      </c>
      <c r="AF1260" s="7" t="n"/>
      <c r="AI1260" s="11" t="n"/>
      <c r="AK1260">
        <f>IF($D1260="","",IF(COUNTIF($D$2:$D1260,$D1260)=1,1,0))</f>
        <v/>
      </c>
      <c r="AL1260">
        <f>IF($AK1260=1,SUMPRODUCT(--($AO$2:$AO$1501&lt;$AO1260))+1,"")</f>
        <v/>
      </c>
      <c r="AM1260">
        <f>IF($D1260="","",IF(OR($R1260=TRUE(),$R1260="TRUE"),1,0))</f>
        <v/>
      </c>
      <c r="AN1260">
        <f>IF($D1260="","",IF($AA1260="Yes",1,0))</f>
        <v/>
      </c>
      <c r="AO1260">
        <f>IF($AK1260=1,IFERROR(IF(VALUE($D1260)&lt;100000000,VALUE($D1260),1000000000),IFERROR(IF(VALUE(MID($D1260,2,20))&lt;100000000,VALUE(MID($D1260,2,20)),1000000000),1000000000))+ROW()/100000,"")</f>
        <v/>
      </c>
    </row>
    <row r="1261">
      <c r="F1261" s="11" t="n"/>
      <c r="N1261" s="7">
        <f>IF($D1261="","",M1261*V1261/100)</f>
        <v/>
      </c>
      <c r="O1261" s="7" t="n"/>
      <c r="U1261" s="7" t="n"/>
      <c r="V1261" s="7" t="n"/>
      <c r="W1261" s="7">
        <f>IF($D1261="","",V1261*AB1261/100)</f>
        <v/>
      </c>
      <c r="X1261" s="7">
        <f>IF($D1261="","",V1261-W1261)</f>
        <v/>
      </c>
      <c r="Y1261" s="7">
        <f>IF($D1261="","",X1261-N1261)</f>
        <v/>
      </c>
      <c r="AB1261">
        <f>IF($D1261="","",IF($AN1261=1,0,IF($AM1261=1,Settings!$C$6,Settings!$C$7))*100)</f>
        <v/>
      </c>
      <c r="AF1261" s="7" t="n"/>
      <c r="AI1261" s="11" t="n"/>
      <c r="AK1261">
        <f>IF($D1261="","",IF(COUNTIF($D$2:$D1261,$D1261)=1,1,0))</f>
        <v/>
      </c>
      <c r="AL1261">
        <f>IF($AK1261=1,SUMPRODUCT(--($AO$2:$AO$1501&lt;$AO1261))+1,"")</f>
        <v/>
      </c>
      <c r="AM1261">
        <f>IF($D1261="","",IF(OR($R1261=TRUE(),$R1261="TRUE"),1,0))</f>
        <v/>
      </c>
      <c r="AN1261">
        <f>IF($D1261="","",IF($AA1261="Yes",1,0))</f>
        <v/>
      </c>
      <c r="AO1261">
        <f>IF($AK1261=1,IFERROR(IF(VALUE($D1261)&lt;100000000,VALUE($D1261),1000000000),IFERROR(IF(VALUE(MID($D1261,2,20))&lt;100000000,VALUE(MID($D1261,2,20)),1000000000),1000000000))+ROW()/100000,"")</f>
        <v/>
      </c>
    </row>
    <row r="1262">
      <c r="F1262" s="11" t="n"/>
      <c r="N1262" s="7">
        <f>IF($D1262="","",M1262*V1262/100)</f>
        <v/>
      </c>
      <c r="O1262" s="7" t="n"/>
      <c r="U1262" s="7" t="n"/>
      <c r="V1262" s="7" t="n"/>
      <c r="W1262" s="7">
        <f>IF($D1262="","",V1262*AB1262/100)</f>
        <v/>
      </c>
      <c r="X1262" s="7">
        <f>IF($D1262="","",V1262-W1262)</f>
        <v/>
      </c>
      <c r="Y1262" s="7">
        <f>IF($D1262="","",X1262-N1262)</f>
        <v/>
      </c>
      <c r="AB1262">
        <f>IF($D1262="","",IF($AN1262=1,0,IF($AM1262=1,Settings!$C$6,Settings!$C$7))*100)</f>
        <v/>
      </c>
      <c r="AF1262" s="7" t="n"/>
      <c r="AI1262" s="11" t="n"/>
      <c r="AK1262">
        <f>IF($D1262="","",IF(COUNTIF($D$2:$D1262,$D1262)=1,1,0))</f>
        <v/>
      </c>
      <c r="AL1262">
        <f>IF($AK1262=1,SUMPRODUCT(--($AO$2:$AO$1501&lt;$AO1262))+1,"")</f>
        <v/>
      </c>
      <c r="AM1262">
        <f>IF($D1262="","",IF(OR($R1262=TRUE(),$R1262="TRUE"),1,0))</f>
        <v/>
      </c>
      <c r="AN1262">
        <f>IF($D1262="","",IF($AA1262="Yes",1,0))</f>
        <v/>
      </c>
      <c r="AO1262">
        <f>IF($AK1262=1,IFERROR(IF(VALUE($D1262)&lt;100000000,VALUE($D1262),1000000000),IFERROR(IF(VALUE(MID($D1262,2,20))&lt;100000000,VALUE(MID($D1262,2,20)),1000000000),1000000000))+ROW()/100000,"")</f>
        <v/>
      </c>
    </row>
    <row r="1263">
      <c r="F1263" s="11" t="n"/>
      <c r="N1263" s="7">
        <f>IF($D1263="","",M1263*V1263/100)</f>
        <v/>
      </c>
      <c r="O1263" s="7" t="n"/>
      <c r="U1263" s="7" t="n"/>
      <c r="V1263" s="7" t="n"/>
      <c r="W1263" s="7">
        <f>IF($D1263="","",V1263*AB1263/100)</f>
        <v/>
      </c>
      <c r="X1263" s="7">
        <f>IF($D1263="","",V1263-W1263)</f>
        <v/>
      </c>
      <c r="Y1263" s="7">
        <f>IF($D1263="","",X1263-N1263)</f>
        <v/>
      </c>
      <c r="AB1263">
        <f>IF($D1263="","",IF($AN1263=1,0,IF($AM1263=1,Settings!$C$6,Settings!$C$7))*100)</f>
        <v/>
      </c>
      <c r="AF1263" s="7" t="n"/>
      <c r="AI1263" s="11" t="n"/>
      <c r="AK1263">
        <f>IF($D1263="","",IF(COUNTIF($D$2:$D1263,$D1263)=1,1,0))</f>
        <v/>
      </c>
      <c r="AL1263">
        <f>IF($AK1263=1,SUMPRODUCT(--($AO$2:$AO$1501&lt;$AO1263))+1,"")</f>
        <v/>
      </c>
      <c r="AM1263">
        <f>IF($D1263="","",IF(OR($R1263=TRUE(),$R1263="TRUE"),1,0))</f>
        <v/>
      </c>
      <c r="AN1263">
        <f>IF($D1263="","",IF($AA1263="Yes",1,0))</f>
        <v/>
      </c>
      <c r="AO1263">
        <f>IF($AK1263=1,IFERROR(IF(VALUE($D1263)&lt;100000000,VALUE($D1263),1000000000),IFERROR(IF(VALUE(MID($D1263,2,20))&lt;100000000,VALUE(MID($D1263,2,20)),1000000000),1000000000))+ROW()/100000,"")</f>
        <v/>
      </c>
    </row>
    <row r="1264">
      <c r="F1264" s="11" t="n"/>
      <c r="N1264" s="7">
        <f>IF($D1264="","",M1264*V1264/100)</f>
        <v/>
      </c>
      <c r="O1264" s="7" t="n"/>
      <c r="U1264" s="7" t="n"/>
      <c r="V1264" s="7" t="n"/>
      <c r="W1264" s="7">
        <f>IF($D1264="","",V1264*AB1264/100)</f>
        <v/>
      </c>
      <c r="X1264" s="7">
        <f>IF($D1264="","",V1264-W1264)</f>
        <v/>
      </c>
      <c r="Y1264" s="7">
        <f>IF($D1264="","",X1264-N1264)</f>
        <v/>
      </c>
      <c r="AB1264">
        <f>IF($D1264="","",IF($AN1264=1,0,IF($AM1264=1,Settings!$C$6,Settings!$C$7))*100)</f>
        <v/>
      </c>
      <c r="AF1264" s="7" t="n"/>
      <c r="AI1264" s="11" t="n"/>
      <c r="AK1264">
        <f>IF($D1264="","",IF(COUNTIF($D$2:$D1264,$D1264)=1,1,0))</f>
        <v/>
      </c>
      <c r="AL1264">
        <f>IF($AK1264=1,SUMPRODUCT(--($AO$2:$AO$1501&lt;$AO1264))+1,"")</f>
        <v/>
      </c>
      <c r="AM1264">
        <f>IF($D1264="","",IF(OR($R1264=TRUE(),$R1264="TRUE"),1,0))</f>
        <v/>
      </c>
      <c r="AN1264">
        <f>IF($D1264="","",IF($AA1264="Yes",1,0))</f>
        <v/>
      </c>
      <c r="AO1264">
        <f>IF($AK1264=1,IFERROR(IF(VALUE($D1264)&lt;100000000,VALUE($D1264),1000000000),IFERROR(IF(VALUE(MID($D1264,2,20))&lt;100000000,VALUE(MID($D1264,2,20)),1000000000),1000000000))+ROW()/100000,"")</f>
        <v/>
      </c>
    </row>
    <row r="1265">
      <c r="F1265" s="11" t="n"/>
      <c r="N1265" s="7">
        <f>IF($D1265="","",M1265*V1265/100)</f>
        <v/>
      </c>
      <c r="O1265" s="7" t="n"/>
      <c r="U1265" s="7" t="n"/>
      <c r="V1265" s="7" t="n"/>
      <c r="W1265" s="7">
        <f>IF($D1265="","",V1265*AB1265/100)</f>
        <v/>
      </c>
      <c r="X1265" s="7">
        <f>IF($D1265="","",V1265-W1265)</f>
        <v/>
      </c>
      <c r="Y1265" s="7">
        <f>IF($D1265="","",X1265-N1265)</f>
        <v/>
      </c>
      <c r="AB1265">
        <f>IF($D1265="","",IF($AN1265=1,0,IF($AM1265=1,Settings!$C$6,Settings!$C$7))*100)</f>
        <v/>
      </c>
      <c r="AF1265" s="7" t="n"/>
      <c r="AI1265" s="11" t="n"/>
      <c r="AK1265">
        <f>IF($D1265="","",IF(COUNTIF($D$2:$D1265,$D1265)=1,1,0))</f>
        <v/>
      </c>
      <c r="AL1265">
        <f>IF($AK1265=1,SUMPRODUCT(--($AO$2:$AO$1501&lt;$AO1265))+1,"")</f>
        <v/>
      </c>
      <c r="AM1265">
        <f>IF($D1265="","",IF(OR($R1265=TRUE(),$R1265="TRUE"),1,0))</f>
        <v/>
      </c>
      <c r="AN1265">
        <f>IF($D1265="","",IF($AA1265="Yes",1,0))</f>
        <v/>
      </c>
      <c r="AO1265">
        <f>IF($AK1265=1,IFERROR(IF(VALUE($D1265)&lt;100000000,VALUE($D1265),1000000000),IFERROR(IF(VALUE(MID($D1265,2,20))&lt;100000000,VALUE(MID($D1265,2,20)),1000000000),1000000000))+ROW()/100000,"")</f>
        <v/>
      </c>
    </row>
    <row r="1266">
      <c r="F1266" s="11" t="n"/>
      <c r="N1266" s="7">
        <f>IF($D1266="","",M1266*V1266/100)</f>
        <v/>
      </c>
      <c r="O1266" s="7" t="n"/>
      <c r="U1266" s="7" t="n"/>
      <c r="V1266" s="7" t="n"/>
      <c r="W1266" s="7">
        <f>IF($D1266="","",V1266*AB1266/100)</f>
        <v/>
      </c>
      <c r="X1266" s="7">
        <f>IF($D1266="","",V1266-W1266)</f>
        <v/>
      </c>
      <c r="Y1266" s="7">
        <f>IF($D1266="","",X1266-N1266)</f>
        <v/>
      </c>
      <c r="AB1266">
        <f>IF($D1266="","",IF($AN1266=1,0,IF($AM1266=1,Settings!$C$6,Settings!$C$7))*100)</f>
        <v/>
      </c>
      <c r="AF1266" s="7" t="n"/>
      <c r="AI1266" s="11" t="n"/>
      <c r="AK1266">
        <f>IF($D1266="","",IF(COUNTIF($D$2:$D1266,$D1266)=1,1,0))</f>
        <v/>
      </c>
      <c r="AL1266">
        <f>IF($AK1266=1,SUMPRODUCT(--($AO$2:$AO$1501&lt;$AO1266))+1,"")</f>
        <v/>
      </c>
      <c r="AM1266">
        <f>IF($D1266="","",IF(OR($R1266=TRUE(),$R1266="TRUE"),1,0))</f>
        <v/>
      </c>
      <c r="AN1266">
        <f>IF($D1266="","",IF($AA1266="Yes",1,0))</f>
        <v/>
      </c>
      <c r="AO1266">
        <f>IF($AK1266=1,IFERROR(IF(VALUE($D1266)&lt;100000000,VALUE($D1266),1000000000),IFERROR(IF(VALUE(MID($D1266,2,20))&lt;100000000,VALUE(MID($D1266,2,20)),1000000000),1000000000))+ROW()/100000,"")</f>
        <v/>
      </c>
    </row>
    <row r="1267">
      <c r="F1267" s="11" t="n"/>
      <c r="N1267" s="7">
        <f>IF($D1267="","",M1267*V1267/100)</f>
        <v/>
      </c>
      <c r="O1267" s="7" t="n"/>
      <c r="U1267" s="7" t="n"/>
      <c r="V1267" s="7" t="n"/>
      <c r="W1267" s="7">
        <f>IF($D1267="","",V1267*AB1267/100)</f>
        <v/>
      </c>
      <c r="X1267" s="7">
        <f>IF($D1267="","",V1267-W1267)</f>
        <v/>
      </c>
      <c r="Y1267" s="7">
        <f>IF($D1267="","",X1267-N1267)</f>
        <v/>
      </c>
      <c r="AB1267">
        <f>IF($D1267="","",IF($AN1267=1,0,IF($AM1267=1,Settings!$C$6,Settings!$C$7))*100)</f>
        <v/>
      </c>
      <c r="AF1267" s="7" t="n"/>
      <c r="AI1267" s="11" t="n"/>
      <c r="AK1267">
        <f>IF($D1267="","",IF(COUNTIF($D$2:$D1267,$D1267)=1,1,0))</f>
        <v/>
      </c>
      <c r="AL1267">
        <f>IF($AK1267=1,SUMPRODUCT(--($AO$2:$AO$1501&lt;$AO1267))+1,"")</f>
        <v/>
      </c>
      <c r="AM1267">
        <f>IF($D1267="","",IF(OR($R1267=TRUE(),$R1267="TRUE"),1,0))</f>
        <v/>
      </c>
      <c r="AN1267">
        <f>IF($D1267="","",IF($AA1267="Yes",1,0))</f>
        <v/>
      </c>
      <c r="AO1267">
        <f>IF($AK1267=1,IFERROR(IF(VALUE($D1267)&lt;100000000,VALUE($D1267),1000000000),IFERROR(IF(VALUE(MID($D1267,2,20))&lt;100000000,VALUE(MID($D1267,2,20)),1000000000),1000000000))+ROW()/100000,"")</f>
        <v/>
      </c>
    </row>
    <row r="1268">
      <c r="F1268" s="11" t="n"/>
      <c r="N1268" s="7">
        <f>IF($D1268="","",M1268*V1268/100)</f>
        <v/>
      </c>
      <c r="O1268" s="7" t="n"/>
      <c r="U1268" s="7" t="n"/>
      <c r="V1268" s="7" t="n"/>
      <c r="W1268" s="7">
        <f>IF($D1268="","",V1268*AB1268/100)</f>
        <v/>
      </c>
      <c r="X1268" s="7">
        <f>IF($D1268="","",V1268-W1268)</f>
        <v/>
      </c>
      <c r="Y1268" s="7">
        <f>IF($D1268="","",X1268-N1268)</f>
        <v/>
      </c>
      <c r="AB1268">
        <f>IF($D1268="","",IF($AN1268=1,0,IF($AM1268=1,Settings!$C$6,Settings!$C$7))*100)</f>
        <v/>
      </c>
      <c r="AF1268" s="7" t="n"/>
      <c r="AI1268" s="11" t="n"/>
      <c r="AK1268">
        <f>IF($D1268="","",IF(COUNTIF($D$2:$D1268,$D1268)=1,1,0))</f>
        <v/>
      </c>
      <c r="AL1268">
        <f>IF($AK1268=1,SUMPRODUCT(--($AO$2:$AO$1501&lt;$AO1268))+1,"")</f>
        <v/>
      </c>
      <c r="AM1268">
        <f>IF($D1268="","",IF(OR($R1268=TRUE(),$R1268="TRUE"),1,0))</f>
        <v/>
      </c>
      <c r="AN1268">
        <f>IF($D1268="","",IF($AA1268="Yes",1,0))</f>
        <v/>
      </c>
      <c r="AO1268">
        <f>IF($AK1268=1,IFERROR(IF(VALUE($D1268)&lt;100000000,VALUE($D1268),1000000000),IFERROR(IF(VALUE(MID($D1268,2,20))&lt;100000000,VALUE(MID($D1268,2,20)),1000000000),1000000000))+ROW()/100000,"")</f>
        <v/>
      </c>
    </row>
    <row r="1269">
      <c r="F1269" s="11" t="n"/>
      <c r="N1269" s="7">
        <f>IF($D1269="","",M1269*V1269/100)</f>
        <v/>
      </c>
      <c r="O1269" s="7" t="n"/>
      <c r="U1269" s="7" t="n"/>
      <c r="V1269" s="7" t="n"/>
      <c r="W1269" s="7">
        <f>IF($D1269="","",V1269*AB1269/100)</f>
        <v/>
      </c>
      <c r="X1269" s="7">
        <f>IF($D1269="","",V1269-W1269)</f>
        <v/>
      </c>
      <c r="Y1269" s="7">
        <f>IF($D1269="","",X1269-N1269)</f>
        <v/>
      </c>
      <c r="AB1269">
        <f>IF($D1269="","",IF($AN1269=1,0,IF($AM1269=1,Settings!$C$6,Settings!$C$7))*100)</f>
        <v/>
      </c>
      <c r="AF1269" s="7" t="n"/>
      <c r="AI1269" s="11" t="n"/>
      <c r="AK1269">
        <f>IF($D1269="","",IF(COUNTIF($D$2:$D1269,$D1269)=1,1,0))</f>
        <v/>
      </c>
      <c r="AL1269">
        <f>IF($AK1269=1,SUMPRODUCT(--($AO$2:$AO$1501&lt;$AO1269))+1,"")</f>
        <v/>
      </c>
      <c r="AM1269">
        <f>IF($D1269="","",IF(OR($R1269=TRUE(),$R1269="TRUE"),1,0))</f>
        <v/>
      </c>
      <c r="AN1269">
        <f>IF($D1269="","",IF($AA1269="Yes",1,0))</f>
        <v/>
      </c>
      <c r="AO1269">
        <f>IF($AK1269=1,IFERROR(IF(VALUE($D1269)&lt;100000000,VALUE($D1269),1000000000),IFERROR(IF(VALUE(MID($D1269,2,20))&lt;100000000,VALUE(MID($D1269,2,20)),1000000000),1000000000))+ROW()/100000,"")</f>
        <v/>
      </c>
    </row>
    <row r="1270">
      <c r="F1270" s="11" t="n"/>
      <c r="N1270" s="7">
        <f>IF($D1270="","",M1270*V1270/100)</f>
        <v/>
      </c>
      <c r="O1270" s="7" t="n"/>
      <c r="U1270" s="7" t="n"/>
      <c r="V1270" s="7" t="n"/>
      <c r="W1270" s="7">
        <f>IF($D1270="","",V1270*AB1270/100)</f>
        <v/>
      </c>
      <c r="X1270" s="7">
        <f>IF($D1270="","",V1270-W1270)</f>
        <v/>
      </c>
      <c r="Y1270" s="7">
        <f>IF($D1270="","",X1270-N1270)</f>
        <v/>
      </c>
      <c r="AB1270">
        <f>IF($D1270="","",IF($AN1270=1,0,IF($AM1270=1,Settings!$C$6,Settings!$C$7))*100)</f>
        <v/>
      </c>
      <c r="AF1270" s="7" t="n"/>
      <c r="AI1270" s="11" t="n"/>
      <c r="AK1270">
        <f>IF($D1270="","",IF(COUNTIF($D$2:$D1270,$D1270)=1,1,0))</f>
        <v/>
      </c>
      <c r="AL1270">
        <f>IF($AK1270=1,SUMPRODUCT(--($AO$2:$AO$1501&lt;$AO1270))+1,"")</f>
        <v/>
      </c>
      <c r="AM1270">
        <f>IF($D1270="","",IF(OR($R1270=TRUE(),$R1270="TRUE"),1,0))</f>
        <v/>
      </c>
      <c r="AN1270">
        <f>IF($D1270="","",IF($AA1270="Yes",1,0))</f>
        <v/>
      </c>
      <c r="AO1270">
        <f>IF($AK1270=1,IFERROR(IF(VALUE($D1270)&lt;100000000,VALUE($D1270),1000000000),IFERROR(IF(VALUE(MID($D1270,2,20))&lt;100000000,VALUE(MID($D1270,2,20)),1000000000),1000000000))+ROW()/100000,"")</f>
        <v/>
      </c>
    </row>
    <row r="1271">
      <c r="F1271" s="11" t="n"/>
      <c r="N1271" s="7">
        <f>IF($D1271="","",M1271*V1271/100)</f>
        <v/>
      </c>
      <c r="O1271" s="7" t="n"/>
      <c r="U1271" s="7" t="n"/>
      <c r="V1271" s="7" t="n"/>
      <c r="W1271" s="7">
        <f>IF($D1271="","",V1271*AB1271/100)</f>
        <v/>
      </c>
      <c r="X1271" s="7">
        <f>IF($D1271="","",V1271-W1271)</f>
        <v/>
      </c>
      <c r="Y1271" s="7">
        <f>IF($D1271="","",X1271-N1271)</f>
        <v/>
      </c>
      <c r="AB1271">
        <f>IF($D1271="","",IF($AN1271=1,0,IF($AM1271=1,Settings!$C$6,Settings!$C$7))*100)</f>
        <v/>
      </c>
      <c r="AF1271" s="7" t="n"/>
      <c r="AI1271" s="11" t="n"/>
      <c r="AK1271">
        <f>IF($D1271="","",IF(COUNTIF($D$2:$D1271,$D1271)=1,1,0))</f>
        <v/>
      </c>
      <c r="AL1271">
        <f>IF($AK1271=1,SUMPRODUCT(--($AO$2:$AO$1501&lt;$AO1271))+1,"")</f>
        <v/>
      </c>
      <c r="AM1271">
        <f>IF($D1271="","",IF(OR($R1271=TRUE(),$R1271="TRUE"),1,0))</f>
        <v/>
      </c>
      <c r="AN1271">
        <f>IF($D1271="","",IF($AA1271="Yes",1,0))</f>
        <v/>
      </c>
      <c r="AO1271">
        <f>IF($AK1271=1,IFERROR(IF(VALUE($D1271)&lt;100000000,VALUE($D1271),1000000000),IFERROR(IF(VALUE(MID($D1271,2,20))&lt;100000000,VALUE(MID($D1271,2,20)),1000000000),1000000000))+ROW()/100000,"")</f>
        <v/>
      </c>
    </row>
    <row r="1272">
      <c r="F1272" s="11" t="n"/>
      <c r="N1272" s="7">
        <f>IF($D1272="","",M1272*V1272/100)</f>
        <v/>
      </c>
      <c r="O1272" s="7" t="n"/>
      <c r="U1272" s="7" t="n"/>
      <c r="V1272" s="7" t="n"/>
      <c r="W1272" s="7">
        <f>IF($D1272="","",V1272*AB1272/100)</f>
        <v/>
      </c>
      <c r="X1272" s="7">
        <f>IF($D1272="","",V1272-W1272)</f>
        <v/>
      </c>
      <c r="Y1272" s="7">
        <f>IF($D1272="","",X1272-N1272)</f>
        <v/>
      </c>
      <c r="AB1272">
        <f>IF($D1272="","",IF($AN1272=1,0,IF($AM1272=1,Settings!$C$6,Settings!$C$7))*100)</f>
        <v/>
      </c>
      <c r="AF1272" s="7" t="n"/>
      <c r="AI1272" s="11" t="n"/>
      <c r="AK1272">
        <f>IF($D1272="","",IF(COUNTIF($D$2:$D1272,$D1272)=1,1,0))</f>
        <v/>
      </c>
      <c r="AL1272">
        <f>IF($AK1272=1,SUMPRODUCT(--($AO$2:$AO$1501&lt;$AO1272))+1,"")</f>
        <v/>
      </c>
      <c r="AM1272">
        <f>IF($D1272="","",IF(OR($R1272=TRUE(),$R1272="TRUE"),1,0))</f>
        <v/>
      </c>
      <c r="AN1272">
        <f>IF($D1272="","",IF($AA1272="Yes",1,0))</f>
        <v/>
      </c>
      <c r="AO1272">
        <f>IF($AK1272=1,IFERROR(IF(VALUE($D1272)&lt;100000000,VALUE($D1272),1000000000),IFERROR(IF(VALUE(MID($D1272,2,20))&lt;100000000,VALUE(MID($D1272,2,20)),1000000000),1000000000))+ROW()/100000,"")</f>
        <v/>
      </c>
    </row>
    <row r="1273">
      <c r="F1273" s="11" t="n"/>
      <c r="N1273" s="7">
        <f>IF($D1273="","",M1273*V1273/100)</f>
        <v/>
      </c>
      <c r="O1273" s="7" t="n"/>
      <c r="U1273" s="7" t="n"/>
      <c r="V1273" s="7" t="n"/>
      <c r="W1273" s="7">
        <f>IF($D1273="","",V1273*AB1273/100)</f>
        <v/>
      </c>
      <c r="X1273" s="7">
        <f>IF($D1273="","",V1273-W1273)</f>
        <v/>
      </c>
      <c r="Y1273" s="7">
        <f>IF($D1273="","",X1273-N1273)</f>
        <v/>
      </c>
      <c r="AB1273">
        <f>IF($D1273="","",IF($AN1273=1,0,IF($AM1273=1,Settings!$C$6,Settings!$C$7))*100)</f>
        <v/>
      </c>
      <c r="AF1273" s="7" t="n"/>
      <c r="AI1273" s="11" t="n"/>
      <c r="AK1273">
        <f>IF($D1273="","",IF(COUNTIF($D$2:$D1273,$D1273)=1,1,0))</f>
        <v/>
      </c>
      <c r="AL1273">
        <f>IF($AK1273=1,SUMPRODUCT(--($AO$2:$AO$1501&lt;$AO1273))+1,"")</f>
        <v/>
      </c>
      <c r="AM1273">
        <f>IF($D1273="","",IF(OR($R1273=TRUE(),$R1273="TRUE"),1,0))</f>
        <v/>
      </c>
      <c r="AN1273">
        <f>IF($D1273="","",IF($AA1273="Yes",1,0))</f>
        <v/>
      </c>
      <c r="AO1273">
        <f>IF($AK1273=1,IFERROR(IF(VALUE($D1273)&lt;100000000,VALUE($D1273),1000000000),IFERROR(IF(VALUE(MID($D1273,2,20))&lt;100000000,VALUE(MID($D1273,2,20)),1000000000),1000000000))+ROW()/100000,"")</f>
        <v/>
      </c>
    </row>
    <row r="1274">
      <c r="F1274" s="11" t="n"/>
      <c r="N1274" s="7">
        <f>IF($D1274="","",M1274*V1274/100)</f>
        <v/>
      </c>
      <c r="O1274" s="7" t="n"/>
      <c r="U1274" s="7" t="n"/>
      <c r="V1274" s="7" t="n"/>
      <c r="W1274" s="7">
        <f>IF($D1274="","",V1274*AB1274/100)</f>
        <v/>
      </c>
      <c r="X1274" s="7">
        <f>IF($D1274="","",V1274-W1274)</f>
        <v/>
      </c>
      <c r="Y1274" s="7">
        <f>IF($D1274="","",X1274-N1274)</f>
        <v/>
      </c>
      <c r="AB1274">
        <f>IF($D1274="","",IF($AN1274=1,0,IF($AM1274=1,Settings!$C$6,Settings!$C$7))*100)</f>
        <v/>
      </c>
      <c r="AF1274" s="7" t="n"/>
      <c r="AI1274" s="11" t="n"/>
      <c r="AK1274">
        <f>IF($D1274="","",IF(COUNTIF($D$2:$D1274,$D1274)=1,1,0))</f>
        <v/>
      </c>
      <c r="AL1274">
        <f>IF($AK1274=1,SUMPRODUCT(--($AO$2:$AO$1501&lt;$AO1274))+1,"")</f>
        <v/>
      </c>
      <c r="AM1274">
        <f>IF($D1274="","",IF(OR($R1274=TRUE(),$R1274="TRUE"),1,0))</f>
        <v/>
      </c>
      <c r="AN1274">
        <f>IF($D1274="","",IF($AA1274="Yes",1,0))</f>
        <v/>
      </c>
      <c r="AO1274">
        <f>IF($AK1274=1,IFERROR(IF(VALUE($D1274)&lt;100000000,VALUE($D1274),1000000000),IFERROR(IF(VALUE(MID($D1274,2,20))&lt;100000000,VALUE(MID($D1274,2,20)),1000000000),1000000000))+ROW()/100000,"")</f>
        <v/>
      </c>
    </row>
    <row r="1275">
      <c r="F1275" s="11" t="n"/>
      <c r="N1275" s="7">
        <f>IF($D1275="","",M1275*V1275/100)</f>
        <v/>
      </c>
      <c r="O1275" s="7" t="n"/>
      <c r="U1275" s="7" t="n"/>
      <c r="V1275" s="7" t="n"/>
      <c r="W1275" s="7">
        <f>IF($D1275="","",V1275*AB1275/100)</f>
        <v/>
      </c>
      <c r="X1275" s="7">
        <f>IF($D1275="","",V1275-W1275)</f>
        <v/>
      </c>
      <c r="Y1275" s="7">
        <f>IF($D1275="","",X1275-N1275)</f>
        <v/>
      </c>
      <c r="AB1275">
        <f>IF($D1275="","",IF($AN1275=1,0,IF($AM1275=1,Settings!$C$6,Settings!$C$7))*100)</f>
        <v/>
      </c>
      <c r="AF1275" s="7" t="n"/>
      <c r="AI1275" s="11" t="n"/>
      <c r="AK1275">
        <f>IF($D1275="","",IF(COUNTIF($D$2:$D1275,$D1275)=1,1,0))</f>
        <v/>
      </c>
      <c r="AL1275">
        <f>IF($AK1275=1,SUMPRODUCT(--($AO$2:$AO$1501&lt;$AO1275))+1,"")</f>
        <v/>
      </c>
      <c r="AM1275">
        <f>IF($D1275="","",IF(OR($R1275=TRUE(),$R1275="TRUE"),1,0))</f>
        <v/>
      </c>
      <c r="AN1275">
        <f>IF($D1275="","",IF($AA1275="Yes",1,0))</f>
        <v/>
      </c>
      <c r="AO1275">
        <f>IF($AK1275=1,IFERROR(IF(VALUE($D1275)&lt;100000000,VALUE($D1275),1000000000),IFERROR(IF(VALUE(MID($D1275,2,20))&lt;100000000,VALUE(MID($D1275,2,20)),1000000000),1000000000))+ROW()/100000,"")</f>
        <v/>
      </c>
    </row>
    <row r="1276">
      <c r="F1276" s="11" t="n"/>
      <c r="N1276" s="7">
        <f>IF($D1276="","",M1276*V1276/100)</f>
        <v/>
      </c>
      <c r="O1276" s="7" t="n"/>
      <c r="U1276" s="7" t="n"/>
      <c r="V1276" s="7" t="n"/>
      <c r="W1276" s="7">
        <f>IF($D1276="","",V1276*AB1276/100)</f>
        <v/>
      </c>
      <c r="X1276" s="7">
        <f>IF($D1276="","",V1276-W1276)</f>
        <v/>
      </c>
      <c r="Y1276" s="7">
        <f>IF($D1276="","",X1276-N1276)</f>
        <v/>
      </c>
      <c r="AB1276">
        <f>IF($D1276="","",IF($AN1276=1,0,IF($AM1276=1,Settings!$C$6,Settings!$C$7))*100)</f>
        <v/>
      </c>
      <c r="AF1276" s="7" t="n"/>
      <c r="AI1276" s="11" t="n"/>
      <c r="AK1276">
        <f>IF($D1276="","",IF(COUNTIF($D$2:$D1276,$D1276)=1,1,0))</f>
        <v/>
      </c>
      <c r="AL1276">
        <f>IF($AK1276=1,SUMPRODUCT(--($AO$2:$AO$1501&lt;$AO1276))+1,"")</f>
        <v/>
      </c>
      <c r="AM1276">
        <f>IF($D1276="","",IF(OR($R1276=TRUE(),$R1276="TRUE"),1,0))</f>
        <v/>
      </c>
      <c r="AN1276">
        <f>IF($D1276="","",IF($AA1276="Yes",1,0))</f>
        <v/>
      </c>
      <c r="AO1276">
        <f>IF($AK1276=1,IFERROR(IF(VALUE($D1276)&lt;100000000,VALUE($D1276),1000000000),IFERROR(IF(VALUE(MID($D1276,2,20))&lt;100000000,VALUE(MID($D1276,2,20)),1000000000),1000000000))+ROW()/100000,"")</f>
        <v/>
      </c>
    </row>
    <row r="1277">
      <c r="F1277" s="11" t="n"/>
      <c r="N1277" s="7">
        <f>IF($D1277="","",M1277*V1277/100)</f>
        <v/>
      </c>
      <c r="O1277" s="7" t="n"/>
      <c r="U1277" s="7" t="n"/>
      <c r="V1277" s="7" t="n"/>
      <c r="W1277" s="7">
        <f>IF($D1277="","",V1277*AB1277/100)</f>
        <v/>
      </c>
      <c r="X1277" s="7">
        <f>IF($D1277="","",V1277-W1277)</f>
        <v/>
      </c>
      <c r="Y1277" s="7">
        <f>IF($D1277="","",X1277-N1277)</f>
        <v/>
      </c>
      <c r="AB1277">
        <f>IF($D1277="","",IF($AN1277=1,0,IF($AM1277=1,Settings!$C$6,Settings!$C$7))*100)</f>
        <v/>
      </c>
      <c r="AF1277" s="7" t="n"/>
      <c r="AI1277" s="11" t="n"/>
      <c r="AK1277">
        <f>IF($D1277="","",IF(COUNTIF($D$2:$D1277,$D1277)=1,1,0))</f>
        <v/>
      </c>
      <c r="AL1277">
        <f>IF($AK1277=1,SUMPRODUCT(--($AO$2:$AO$1501&lt;$AO1277))+1,"")</f>
        <v/>
      </c>
      <c r="AM1277">
        <f>IF($D1277="","",IF(OR($R1277=TRUE(),$R1277="TRUE"),1,0))</f>
        <v/>
      </c>
      <c r="AN1277">
        <f>IF($D1277="","",IF($AA1277="Yes",1,0))</f>
        <v/>
      </c>
      <c r="AO1277">
        <f>IF($AK1277=1,IFERROR(IF(VALUE($D1277)&lt;100000000,VALUE($D1277),1000000000),IFERROR(IF(VALUE(MID($D1277,2,20))&lt;100000000,VALUE(MID($D1277,2,20)),1000000000),1000000000))+ROW()/100000,"")</f>
        <v/>
      </c>
    </row>
    <row r="1278">
      <c r="F1278" s="11" t="n"/>
      <c r="N1278" s="7">
        <f>IF($D1278="","",M1278*V1278/100)</f>
        <v/>
      </c>
      <c r="O1278" s="7" t="n"/>
      <c r="U1278" s="7" t="n"/>
      <c r="V1278" s="7" t="n"/>
      <c r="W1278" s="7">
        <f>IF($D1278="","",V1278*AB1278/100)</f>
        <v/>
      </c>
      <c r="X1278" s="7">
        <f>IF($D1278="","",V1278-W1278)</f>
        <v/>
      </c>
      <c r="Y1278" s="7">
        <f>IF($D1278="","",X1278-N1278)</f>
        <v/>
      </c>
      <c r="AB1278">
        <f>IF($D1278="","",IF($AN1278=1,0,IF($AM1278=1,Settings!$C$6,Settings!$C$7))*100)</f>
        <v/>
      </c>
      <c r="AF1278" s="7" t="n"/>
      <c r="AI1278" s="11" t="n"/>
      <c r="AK1278">
        <f>IF($D1278="","",IF(COUNTIF($D$2:$D1278,$D1278)=1,1,0))</f>
        <v/>
      </c>
      <c r="AL1278">
        <f>IF($AK1278=1,SUMPRODUCT(--($AO$2:$AO$1501&lt;$AO1278))+1,"")</f>
        <v/>
      </c>
      <c r="AM1278">
        <f>IF($D1278="","",IF(OR($R1278=TRUE(),$R1278="TRUE"),1,0))</f>
        <v/>
      </c>
      <c r="AN1278">
        <f>IF($D1278="","",IF($AA1278="Yes",1,0))</f>
        <v/>
      </c>
      <c r="AO1278">
        <f>IF($AK1278=1,IFERROR(IF(VALUE($D1278)&lt;100000000,VALUE($D1278),1000000000),IFERROR(IF(VALUE(MID($D1278,2,20))&lt;100000000,VALUE(MID($D1278,2,20)),1000000000),1000000000))+ROW()/100000,"")</f>
        <v/>
      </c>
    </row>
    <row r="1279">
      <c r="F1279" s="11" t="n"/>
      <c r="N1279" s="7">
        <f>IF($D1279="","",M1279*V1279/100)</f>
        <v/>
      </c>
      <c r="O1279" s="7" t="n"/>
      <c r="U1279" s="7" t="n"/>
      <c r="V1279" s="7" t="n"/>
      <c r="W1279" s="7">
        <f>IF($D1279="","",V1279*AB1279/100)</f>
        <v/>
      </c>
      <c r="X1279" s="7">
        <f>IF($D1279="","",V1279-W1279)</f>
        <v/>
      </c>
      <c r="Y1279" s="7">
        <f>IF($D1279="","",X1279-N1279)</f>
        <v/>
      </c>
      <c r="AB1279">
        <f>IF($D1279="","",IF($AN1279=1,0,IF($AM1279=1,Settings!$C$6,Settings!$C$7))*100)</f>
        <v/>
      </c>
      <c r="AF1279" s="7" t="n"/>
      <c r="AI1279" s="11" t="n"/>
      <c r="AK1279">
        <f>IF($D1279="","",IF(COUNTIF($D$2:$D1279,$D1279)=1,1,0))</f>
        <v/>
      </c>
      <c r="AL1279">
        <f>IF($AK1279=1,SUMPRODUCT(--($AO$2:$AO$1501&lt;$AO1279))+1,"")</f>
        <v/>
      </c>
      <c r="AM1279">
        <f>IF($D1279="","",IF(OR($R1279=TRUE(),$R1279="TRUE"),1,0))</f>
        <v/>
      </c>
      <c r="AN1279">
        <f>IF($D1279="","",IF($AA1279="Yes",1,0))</f>
        <v/>
      </c>
      <c r="AO1279">
        <f>IF($AK1279=1,IFERROR(IF(VALUE($D1279)&lt;100000000,VALUE($D1279),1000000000),IFERROR(IF(VALUE(MID($D1279,2,20))&lt;100000000,VALUE(MID($D1279,2,20)),1000000000),1000000000))+ROW()/100000,"")</f>
        <v/>
      </c>
    </row>
    <row r="1280">
      <c r="F1280" s="11" t="n"/>
      <c r="N1280" s="7">
        <f>IF($D1280="","",M1280*V1280/100)</f>
        <v/>
      </c>
      <c r="O1280" s="7" t="n"/>
      <c r="U1280" s="7" t="n"/>
      <c r="V1280" s="7" t="n"/>
      <c r="W1280" s="7">
        <f>IF($D1280="","",V1280*AB1280/100)</f>
        <v/>
      </c>
      <c r="X1280" s="7">
        <f>IF($D1280="","",V1280-W1280)</f>
        <v/>
      </c>
      <c r="Y1280" s="7">
        <f>IF($D1280="","",X1280-N1280)</f>
        <v/>
      </c>
      <c r="AB1280">
        <f>IF($D1280="","",IF($AN1280=1,0,IF($AM1280=1,Settings!$C$6,Settings!$C$7))*100)</f>
        <v/>
      </c>
      <c r="AF1280" s="7" t="n"/>
      <c r="AI1280" s="11" t="n"/>
      <c r="AK1280">
        <f>IF($D1280="","",IF(COUNTIF($D$2:$D1280,$D1280)=1,1,0))</f>
        <v/>
      </c>
      <c r="AL1280">
        <f>IF($AK1280=1,SUMPRODUCT(--($AO$2:$AO$1501&lt;$AO1280))+1,"")</f>
        <v/>
      </c>
      <c r="AM1280">
        <f>IF($D1280="","",IF(OR($R1280=TRUE(),$R1280="TRUE"),1,0))</f>
        <v/>
      </c>
      <c r="AN1280">
        <f>IF($D1280="","",IF($AA1280="Yes",1,0))</f>
        <v/>
      </c>
      <c r="AO1280">
        <f>IF($AK1280=1,IFERROR(IF(VALUE($D1280)&lt;100000000,VALUE($D1280),1000000000),IFERROR(IF(VALUE(MID($D1280,2,20))&lt;100000000,VALUE(MID($D1280,2,20)),1000000000),1000000000))+ROW()/100000,"")</f>
        <v/>
      </c>
    </row>
    <row r="1281">
      <c r="F1281" s="11" t="n"/>
      <c r="N1281" s="7">
        <f>IF($D1281="","",M1281*V1281/100)</f>
        <v/>
      </c>
      <c r="O1281" s="7" t="n"/>
      <c r="U1281" s="7" t="n"/>
      <c r="V1281" s="7" t="n"/>
      <c r="W1281" s="7">
        <f>IF($D1281="","",V1281*AB1281/100)</f>
        <v/>
      </c>
      <c r="X1281" s="7">
        <f>IF($D1281="","",V1281-W1281)</f>
        <v/>
      </c>
      <c r="Y1281" s="7">
        <f>IF($D1281="","",X1281-N1281)</f>
        <v/>
      </c>
      <c r="AB1281">
        <f>IF($D1281="","",IF($AN1281=1,0,IF($AM1281=1,Settings!$C$6,Settings!$C$7))*100)</f>
        <v/>
      </c>
      <c r="AF1281" s="7" t="n"/>
      <c r="AI1281" s="11" t="n"/>
      <c r="AK1281">
        <f>IF($D1281="","",IF(COUNTIF($D$2:$D1281,$D1281)=1,1,0))</f>
        <v/>
      </c>
      <c r="AL1281">
        <f>IF($AK1281=1,SUMPRODUCT(--($AO$2:$AO$1501&lt;$AO1281))+1,"")</f>
        <v/>
      </c>
      <c r="AM1281">
        <f>IF($D1281="","",IF(OR($R1281=TRUE(),$R1281="TRUE"),1,0))</f>
        <v/>
      </c>
      <c r="AN1281">
        <f>IF($D1281="","",IF($AA1281="Yes",1,0))</f>
        <v/>
      </c>
      <c r="AO1281">
        <f>IF($AK1281=1,IFERROR(IF(VALUE($D1281)&lt;100000000,VALUE($D1281),1000000000),IFERROR(IF(VALUE(MID($D1281,2,20))&lt;100000000,VALUE(MID($D1281,2,20)),1000000000),1000000000))+ROW()/100000,"")</f>
        <v/>
      </c>
    </row>
    <row r="1282">
      <c r="F1282" s="11" t="n"/>
      <c r="N1282" s="7">
        <f>IF($D1282="","",M1282*V1282/100)</f>
        <v/>
      </c>
      <c r="O1282" s="7" t="n"/>
      <c r="U1282" s="7" t="n"/>
      <c r="V1282" s="7" t="n"/>
      <c r="W1282" s="7">
        <f>IF($D1282="","",V1282*AB1282/100)</f>
        <v/>
      </c>
      <c r="X1282" s="7">
        <f>IF($D1282="","",V1282-W1282)</f>
        <v/>
      </c>
      <c r="Y1282" s="7">
        <f>IF($D1282="","",X1282-N1282)</f>
        <v/>
      </c>
      <c r="AB1282">
        <f>IF($D1282="","",IF($AN1282=1,0,IF($AM1282=1,Settings!$C$6,Settings!$C$7))*100)</f>
        <v/>
      </c>
      <c r="AF1282" s="7" t="n"/>
      <c r="AI1282" s="11" t="n"/>
      <c r="AK1282">
        <f>IF($D1282="","",IF(COUNTIF($D$2:$D1282,$D1282)=1,1,0))</f>
        <v/>
      </c>
      <c r="AL1282">
        <f>IF($AK1282=1,SUMPRODUCT(--($AO$2:$AO$1501&lt;$AO1282))+1,"")</f>
        <v/>
      </c>
      <c r="AM1282">
        <f>IF($D1282="","",IF(OR($R1282=TRUE(),$R1282="TRUE"),1,0))</f>
        <v/>
      </c>
      <c r="AN1282">
        <f>IF($D1282="","",IF($AA1282="Yes",1,0))</f>
        <v/>
      </c>
      <c r="AO1282">
        <f>IF($AK1282=1,IFERROR(IF(VALUE($D1282)&lt;100000000,VALUE($D1282),1000000000),IFERROR(IF(VALUE(MID($D1282,2,20))&lt;100000000,VALUE(MID($D1282,2,20)),1000000000),1000000000))+ROW()/100000,"")</f>
        <v/>
      </c>
    </row>
    <row r="1283">
      <c r="F1283" s="11" t="n"/>
      <c r="N1283" s="7">
        <f>IF($D1283="","",M1283*V1283/100)</f>
        <v/>
      </c>
      <c r="O1283" s="7" t="n"/>
      <c r="U1283" s="7" t="n"/>
      <c r="V1283" s="7" t="n"/>
      <c r="W1283" s="7">
        <f>IF($D1283="","",V1283*AB1283/100)</f>
        <v/>
      </c>
      <c r="X1283" s="7">
        <f>IF($D1283="","",V1283-W1283)</f>
        <v/>
      </c>
      <c r="Y1283" s="7">
        <f>IF($D1283="","",X1283-N1283)</f>
        <v/>
      </c>
      <c r="AB1283">
        <f>IF($D1283="","",IF($AN1283=1,0,IF($AM1283=1,Settings!$C$6,Settings!$C$7))*100)</f>
        <v/>
      </c>
      <c r="AF1283" s="7" t="n"/>
      <c r="AI1283" s="11" t="n"/>
      <c r="AK1283">
        <f>IF($D1283="","",IF(COUNTIF($D$2:$D1283,$D1283)=1,1,0))</f>
        <v/>
      </c>
      <c r="AL1283">
        <f>IF($AK1283=1,SUMPRODUCT(--($AO$2:$AO$1501&lt;$AO1283))+1,"")</f>
        <v/>
      </c>
      <c r="AM1283">
        <f>IF($D1283="","",IF(OR($R1283=TRUE(),$R1283="TRUE"),1,0))</f>
        <v/>
      </c>
      <c r="AN1283">
        <f>IF($D1283="","",IF($AA1283="Yes",1,0))</f>
        <v/>
      </c>
      <c r="AO1283">
        <f>IF($AK1283=1,IFERROR(IF(VALUE($D1283)&lt;100000000,VALUE($D1283),1000000000),IFERROR(IF(VALUE(MID($D1283,2,20))&lt;100000000,VALUE(MID($D1283,2,20)),1000000000),1000000000))+ROW()/100000,"")</f>
        <v/>
      </c>
    </row>
    <row r="1284">
      <c r="F1284" s="11" t="n"/>
      <c r="N1284" s="7">
        <f>IF($D1284="","",M1284*V1284/100)</f>
        <v/>
      </c>
      <c r="O1284" s="7" t="n"/>
      <c r="U1284" s="7" t="n"/>
      <c r="V1284" s="7" t="n"/>
      <c r="W1284" s="7">
        <f>IF($D1284="","",V1284*AB1284/100)</f>
        <v/>
      </c>
      <c r="X1284" s="7">
        <f>IF($D1284="","",V1284-W1284)</f>
        <v/>
      </c>
      <c r="Y1284" s="7">
        <f>IF($D1284="","",X1284-N1284)</f>
        <v/>
      </c>
      <c r="AB1284">
        <f>IF($D1284="","",IF($AN1284=1,0,IF($AM1284=1,Settings!$C$6,Settings!$C$7))*100)</f>
        <v/>
      </c>
      <c r="AF1284" s="7" t="n"/>
      <c r="AI1284" s="11" t="n"/>
      <c r="AK1284">
        <f>IF($D1284="","",IF(COUNTIF($D$2:$D1284,$D1284)=1,1,0))</f>
        <v/>
      </c>
      <c r="AL1284">
        <f>IF($AK1284=1,SUMPRODUCT(--($AO$2:$AO$1501&lt;$AO1284))+1,"")</f>
        <v/>
      </c>
      <c r="AM1284">
        <f>IF($D1284="","",IF(OR($R1284=TRUE(),$R1284="TRUE"),1,0))</f>
        <v/>
      </c>
      <c r="AN1284">
        <f>IF($D1284="","",IF($AA1284="Yes",1,0))</f>
        <v/>
      </c>
      <c r="AO1284">
        <f>IF($AK1284=1,IFERROR(IF(VALUE($D1284)&lt;100000000,VALUE($D1284),1000000000),IFERROR(IF(VALUE(MID($D1284,2,20))&lt;100000000,VALUE(MID($D1284,2,20)),1000000000),1000000000))+ROW()/100000,"")</f>
        <v/>
      </c>
    </row>
    <row r="1285">
      <c r="F1285" s="11" t="n"/>
      <c r="N1285" s="7">
        <f>IF($D1285="","",M1285*V1285/100)</f>
        <v/>
      </c>
      <c r="O1285" s="7" t="n"/>
      <c r="U1285" s="7" t="n"/>
      <c r="V1285" s="7" t="n"/>
      <c r="W1285" s="7">
        <f>IF($D1285="","",V1285*AB1285/100)</f>
        <v/>
      </c>
      <c r="X1285" s="7">
        <f>IF($D1285="","",V1285-W1285)</f>
        <v/>
      </c>
      <c r="Y1285" s="7">
        <f>IF($D1285="","",X1285-N1285)</f>
        <v/>
      </c>
      <c r="AB1285">
        <f>IF($D1285="","",IF($AN1285=1,0,IF($AM1285=1,Settings!$C$6,Settings!$C$7))*100)</f>
        <v/>
      </c>
      <c r="AF1285" s="7" t="n"/>
      <c r="AI1285" s="11" t="n"/>
      <c r="AK1285">
        <f>IF($D1285="","",IF(COUNTIF($D$2:$D1285,$D1285)=1,1,0))</f>
        <v/>
      </c>
      <c r="AL1285">
        <f>IF($AK1285=1,SUMPRODUCT(--($AO$2:$AO$1501&lt;$AO1285))+1,"")</f>
        <v/>
      </c>
      <c r="AM1285">
        <f>IF($D1285="","",IF(OR($R1285=TRUE(),$R1285="TRUE"),1,0))</f>
        <v/>
      </c>
      <c r="AN1285">
        <f>IF($D1285="","",IF($AA1285="Yes",1,0))</f>
        <v/>
      </c>
      <c r="AO1285">
        <f>IF($AK1285=1,IFERROR(IF(VALUE($D1285)&lt;100000000,VALUE($D1285),1000000000),IFERROR(IF(VALUE(MID($D1285,2,20))&lt;100000000,VALUE(MID($D1285,2,20)),1000000000),1000000000))+ROW()/100000,"")</f>
        <v/>
      </c>
    </row>
    <row r="1286">
      <c r="F1286" s="11" t="n"/>
      <c r="N1286" s="7">
        <f>IF($D1286="","",M1286*V1286/100)</f>
        <v/>
      </c>
      <c r="O1286" s="7" t="n"/>
      <c r="U1286" s="7" t="n"/>
      <c r="V1286" s="7" t="n"/>
      <c r="W1286" s="7">
        <f>IF($D1286="","",V1286*AB1286/100)</f>
        <v/>
      </c>
      <c r="X1286" s="7">
        <f>IF($D1286="","",V1286-W1286)</f>
        <v/>
      </c>
      <c r="Y1286" s="7">
        <f>IF($D1286="","",X1286-N1286)</f>
        <v/>
      </c>
      <c r="AB1286">
        <f>IF($D1286="","",IF($AN1286=1,0,IF($AM1286=1,Settings!$C$6,Settings!$C$7))*100)</f>
        <v/>
      </c>
      <c r="AF1286" s="7" t="n"/>
      <c r="AI1286" s="11" t="n"/>
      <c r="AK1286">
        <f>IF($D1286="","",IF(COUNTIF($D$2:$D1286,$D1286)=1,1,0))</f>
        <v/>
      </c>
      <c r="AL1286">
        <f>IF($AK1286=1,SUMPRODUCT(--($AO$2:$AO$1501&lt;$AO1286))+1,"")</f>
        <v/>
      </c>
      <c r="AM1286">
        <f>IF($D1286="","",IF(OR($R1286=TRUE(),$R1286="TRUE"),1,0))</f>
        <v/>
      </c>
      <c r="AN1286">
        <f>IF($D1286="","",IF($AA1286="Yes",1,0))</f>
        <v/>
      </c>
      <c r="AO1286">
        <f>IF($AK1286=1,IFERROR(IF(VALUE($D1286)&lt;100000000,VALUE($D1286),1000000000),IFERROR(IF(VALUE(MID($D1286,2,20))&lt;100000000,VALUE(MID($D1286,2,20)),1000000000),1000000000))+ROW()/100000,"")</f>
        <v/>
      </c>
    </row>
    <row r="1287">
      <c r="F1287" s="11" t="n"/>
      <c r="N1287" s="7">
        <f>IF($D1287="","",M1287*V1287/100)</f>
        <v/>
      </c>
      <c r="O1287" s="7" t="n"/>
      <c r="U1287" s="7" t="n"/>
      <c r="V1287" s="7" t="n"/>
      <c r="W1287" s="7">
        <f>IF($D1287="","",V1287*AB1287/100)</f>
        <v/>
      </c>
      <c r="X1287" s="7">
        <f>IF($D1287="","",V1287-W1287)</f>
        <v/>
      </c>
      <c r="Y1287" s="7">
        <f>IF($D1287="","",X1287-N1287)</f>
        <v/>
      </c>
      <c r="AB1287">
        <f>IF($D1287="","",IF($AN1287=1,0,IF($AM1287=1,Settings!$C$6,Settings!$C$7))*100)</f>
        <v/>
      </c>
      <c r="AF1287" s="7" t="n"/>
      <c r="AI1287" s="11" t="n"/>
      <c r="AK1287">
        <f>IF($D1287="","",IF(COUNTIF($D$2:$D1287,$D1287)=1,1,0))</f>
        <v/>
      </c>
      <c r="AL1287">
        <f>IF($AK1287=1,SUMPRODUCT(--($AO$2:$AO$1501&lt;$AO1287))+1,"")</f>
        <v/>
      </c>
      <c r="AM1287">
        <f>IF($D1287="","",IF(OR($R1287=TRUE(),$R1287="TRUE"),1,0))</f>
        <v/>
      </c>
      <c r="AN1287">
        <f>IF($D1287="","",IF($AA1287="Yes",1,0))</f>
        <v/>
      </c>
      <c r="AO1287">
        <f>IF($AK1287=1,IFERROR(IF(VALUE($D1287)&lt;100000000,VALUE($D1287),1000000000),IFERROR(IF(VALUE(MID($D1287,2,20))&lt;100000000,VALUE(MID($D1287,2,20)),1000000000),1000000000))+ROW()/100000,"")</f>
        <v/>
      </c>
    </row>
    <row r="1288">
      <c r="F1288" s="11" t="n"/>
      <c r="N1288" s="7">
        <f>IF($D1288="","",M1288*V1288/100)</f>
        <v/>
      </c>
      <c r="O1288" s="7" t="n"/>
      <c r="U1288" s="7" t="n"/>
      <c r="V1288" s="7" t="n"/>
      <c r="W1288" s="7">
        <f>IF($D1288="","",V1288*AB1288/100)</f>
        <v/>
      </c>
      <c r="X1288" s="7">
        <f>IF($D1288="","",V1288-W1288)</f>
        <v/>
      </c>
      <c r="Y1288" s="7">
        <f>IF($D1288="","",X1288-N1288)</f>
        <v/>
      </c>
      <c r="AB1288">
        <f>IF($D1288="","",IF($AN1288=1,0,IF($AM1288=1,Settings!$C$6,Settings!$C$7))*100)</f>
        <v/>
      </c>
      <c r="AF1288" s="7" t="n"/>
      <c r="AI1288" s="11" t="n"/>
      <c r="AK1288">
        <f>IF($D1288="","",IF(COUNTIF($D$2:$D1288,$D1288)=1,1,0))</f>
        <v/>
      </c>
      <c r="AL1288">
        <f>IF($AK1288=1,SUMPRODUCT(--($AO$2:$AO$1501&lt;$AO1288))+1,"")</f>
        <v/>
      </c>
      <c r="AM1288">
        <f>IF($D1288="","",IF(OR($R1288=TRUE(),$R1288="TRUE"),1,0))</f>
        <v/>
      </c>
      <c r="AN1288">
        <f>IF($D1288="","",IF($AA1288="Yes",1,0))</f>
        <v/>
      </c>
      <c r="AO1288">
        <f>IF($AK1288=1,IFERROR(IF(VALUE($D1288)&lt;100000000,VALUE($D1288),1000000000),IFERROR(IF(VALUE(MID($D1288,2,20))&lt;100000000,VALUE(MID($D1288,2,20)),1000000000),1000000000))+ROW()/100000,"")</f>
        <v/>
      </c>
    </row>
    <row r="1289">
      <c r="F1289" s="11" t="n"/>
      <c r="N1289" s="7">
        <f>IF($D1289="","",M1289*V1289/100)</f>
        <v/>
      </c>
      <c r="O1289" s="7" t="n"/>
      <c r="U1289" s="7" t="n"/>
      <c r="V1289" s="7" t="n"/>
      <c r="W1289" s="7">
        <f>IF($D1289="","",V1289*AB1289/100)</f>
        <v/>
      </c>
      <c r="X1289" s="7">
        <f>IF($D1289="","",V1289-W1289)</f>
        <v/>
      </c>
      <c r="Y1289" s="7">
        <f>IF($D1289="","",X1289-N1289)</f>
        <v/>
      </c>
      <c r="AB1289">
        <f>IF($D1289="","",IF($AN1289=1,0,IF($AM1289=1,Settings!$C$6,Settings!$C$7))*100)</f>
        <v/>
      </c>
      <c r="AF1289" s="7" t="n"/>
      <c r="AI1289" s="11" t="n"/>
      <c r="AK1289">
        <f>IF($D1289="","",IF(COUNTIF($D$2:$D1289,$D1289)=1,1,0))</f>
        <v/>
      </c>
      <c r="AL1289">
        <f>IF($AK1289=1,SUMPRODUCT(--($AO$2:$AO$1501&lt;$AO1289))+1,"")</f>
        <v/>
      </c>
      <c r="AM1289">
        <f>IF($D1289="","",IF(OR($R1289=TRUE(),$R1289="TRUE"),1,0))</f>
        <v/>
      </c>
      <c r="AN1289">
        <f>IF($D1289="","",IF($AA1289="Yes",1,0))</f>
        <v/>
      </c>
      <c r="AO1289">
        <f>IF($AK1289=1,IFERROR(IF(VALUE($D1289)&lt;100000000,VALUE($D1289),1000000000),IFERROR(IF(VALUE(MID($D1289,2,20))&lt;100000000,VALUE(MID($D1289,2,20)),1000000000),1000000000))+ROW()/100000,"")</f>
        <v/>
      </c>
    </row>
    <row r="1290">
      <c r="F1290" s="11" t="n"/>
      <c r="N1290" s="7">
        <f>IF($D1290="","",M1290*V1290/100)</f>
        <v/>
      </c>
      <c r="O1290" s="7" t="n"/>
      <c r="U1290" s="7" t="n"/>
      <c r="V1290" s="7" t="n"/>
      <c r="W1290" s="7">
        <f>IF($D1290="","",V1290*AB1290/100)</f>
        <v/>
      </c>
      <c r="X1290" s="7">
        <f>IF($D1290="","",V1290-W1290)</f>
        <v/>
      </c>
      <c r="Y1290" s="7">
        <f>IF($D1290="","",X1290-N1290)</f>
        <v/>
      </c>
      <c r="AB1290">
        <f>IF($D1290="","",IF($AN1290=1,0,IF($AM1290=1,Settings!$C$6,Settings!$C$7))*100)</f>
        <v/>
      </c>
      <c r="AF1290" s="7" t="n"/>
      <c r="AI1290" s="11" t="n"/>
      <c r="AK1290">
        <f>IF($D1290="","",IF(COUNTIF($D$2:$D1290,$D1290)=1,1,0))</f>
        <v/>
      </c>
      <c r="AL1290">
        <f>IF($AK1290=1,SUMPRODUCT(--($AO$2:$AO$1501&lt;$AO1290))+1,"")</f>
        <v/>
      </c>
      <c r="AM1290">
        <f>IF($D1290="","",IF(OR($R1290=TRUE(),$R1290="TRUE"),1,0))</f>
        <v/>
      </c>
      <c r="AN1290">
        <f>IF($D1290="","",IF($AA1290="Yes",1,0))</f>
        <v/>
      </c>
      <c r="AO1290">
        <f>IF($AK1290=1,IFERROR(IF(VALUE($D1290)&lt;100000000,VALUE($D1290),1000000000),IFERROR(IF(VALUE(MID($D1290,2,20))&lt;100000000,VALUE(MID($D1290,2,20)),1000000000),1000000000))+ROW()/100000,"")</f>
        <v/>
      </c>
    </row>
    <row r="1291">
      <c r="F1291" s="11" t="n"/>
      <c r="N1291" s="7">
        <f>IF($D1291="","",M1291*V1291/100)</f>
        <v/>
      </c>
      <c r="O1291" s="7" t="n"/>
      <c r="U1291" s="7" t="n"/>
      <c r="V1291" s="7" t="n"/>
      <c r="W1291" s="7">
        <f>IF($D1291="","",V1291*AB1291/100)</f>
        <v/>
      </c>
      <c r="X1291" s="7">
        <f>IF($D1291="","",V1291-W1291)</f>
        <v/>
      </c>
      <c r="Y1291" s="7">
        <f>IF($D1291="","",X1291-N1291)</f>
        <v/>
      </c>
      <c r="AB1291">
        <f>IF($D1291="","",IF($AN1291=1,0,IF($AM1291=1,Settings!$C$6,Settings!$C$7))*100)</f>
        <v/>
      </c>
      <c r="AF1291" s="7" t="n"/>
      <c r="AI1291" s="11" t="n"/>
      <c r="AK1291">
        <f>IF($D1291="","",IF(COUNTIF($D$2:$D1291,$D1291)=1,1,0))</f>
        <v/>
      </c>
      <c r="AL1291">
        <f>IF($AK1291=1,SUMPRODUCT(--($AO$2:$AO$1501&lt;$AO1291))+1,"")</f>
        <v/>
      </c>
      <c r="AM1291">
        <f>IF($D1291="","",IF(OR($R1291=TRUE(),$R1291="TRUE"),1,0))</f>
        <v/>
      </c>
      <c r="AN1291">
        <f>IF($D1291="","",IF($AA1291="Yes",1,0))</f>
        <v/>
      </c>
      <c r="AO1291">
        <f>IF($AK1291=1,IFERROR(IF(VALUE($D1291)&lt;100000000,VALUE($D1291),1000000000),IFERROR(IF(VALUE(MID($D1291,2,20))&lt;100000000,VALUE(MID($D1291,2,20)),1000000000),1000000000))+ROW()/100000,"")</f>
        <v/>
      </c>
    </row>
    <row r="1292">
      <c r="F1292" s="11" t="n"/>
      <c r="N1292" s="7">
        <f>IF($D1292="","",M1292*V1292/100)</f>
        <v/>
      </c>
      <c r="O1292" s="7" t="n"/>
      <c r="U1292" s="7" t="n"/>
      <c r="V1292" s="7" t="n"/>
      <c r="W1292" s="7">
        <f>IF($D1292="","",V1292*AB1292/100)</f>
        <v/>
      </c>
      <c r="X1292" s="7">
        <f>IF($D1292="","",V1292-W1292)</f>
        <v/>
      </c>
      <c r="Y1292" s="7">
        <f>IF($D1292="","",X1292-N1292)</f>
        <v/>
      </c>
      <c r="AB1292">
        <f>IF($D1292="","",IF($AN1292=1,0,IF($AM1292=1,Settings!$C$6,Settings!$C$7))*100)</f>
        <v/>
      </c>
      <c r="AF1292" s="7" t="n"/>
      <c r="AI1292" s="11" t="n"/>
      <c r="AK1292">
        <f>IF($D1292="","",IF(COUNTIF($D$2:$D1292,$D1292)=1,1,0))</f>
        <v/>
      </c>
      <c r="AL1292">
        <f>IF($AK1292=1,SUMPRODUCT(--($AO$2:$AO$1501&lt;$AO1292))+1,"")</f>
        <v/>
      </c>
      <c r="AM1292">
        <f>IF($D1292="","",IF(OR($R1292=TRUE(),$R1292="TRUE"),1,0))</f>
        <v/>
      </c>
      <c r="AN1292">
        <f>IF($D1292="","",IF($AA1292="Yes",1,0))</f>
        <v/>
      </c>
      <c r="AO1292">
        <f>IF($AK1292=1,IFERROR(IF(VALUE($D1292)&lt;100000000,VALUE($D1292),1000000000),IFERROR(IF(VALUE(MID($D1292,2,20))&lt;100000000,VALUE(MID($D1292,2,20)),1000000000),1000000000))+ROW()/100000,"")</f>
        <v/>
      </c>
    </row>
    <row r="1293">
      <c r="F1293" s="11" t="n"/>
      <c r="N1293" s="7">
        <f>IF($D1293="","",M1293*V1293/100)</f>
        <v/>
      </c>
      <c r="O1293" s="7" t="n"/>
      <c r="U1293" s="7" t="n"/>
      <c r="V1293" s="7" t="n"/>
      <c r="W1293" s="7">
        <f>IF($D1293="","",V1293*AB1293/100)</f>
        <v/>
      </c>
      <c r="X1293" s="7">
        <f>IF($D1293="","",V1293-W1293)</f>
        <v/>
      </c>
      <c r="Y1293" s="7">
        <f>IF($D1293="","",X1293-N1293)</f>
        <v/>
      </c>
      <c r="AB1293">
        <f>IF($D1293="","",IF($AN1293=1,0,IF($AM1293=1,Settings!$C$6,Settings!$C$7))*100)</f>
        <v/>
      </c>
      <c r="AF1293" s="7" t="n"/>
      <c r="AI1293" s="11" t="n"/>
      <c r="AK1293">
        <f>IF($D1293="","",IF(COUNTIF($D$2:$D1293,$D1293)=1,1,0))</f>
        <v/>
      </c>
      <c r="AL1293">
        <f>IF($AK1293=1,SUMPRODUCT(--($AO$2:$AO$1501&lt;$AO1293))+1,"")</f>
        <v/>
      </c>
      <c r="AM1293">
        <f>IF($D1293="","",IF(OR($R1293=TRUE(),$R1293="TRUE"),1,0))</f>
        <v/>
      </c>
      <c r="AN1293">
        <f>IF($D1293="","",IF($AA1293="Yes",1,0))</f>
        <v/>
      </c>
      <c r="AO1293">
        <f>IF($AK1293=1,IFERROR(IF(VALUE($D1293)&lt;100000000,VALUE($D1293),1000000000),IFERROR(IF(VALUE(MID($D1293,2,20))&lt;100000000,VALUE(MID($D1293,2,20)),1000000000),1000000000))+ROW()/100000,"")</f>
        <v/>
      </c>
    </row>
    <row r="1294">
      <c r="F1294" s="11" t="n"/>
      <c r="N1294" s="7">
        <f>IF($D1294="","",M1294*V1294/100)</f>
        <v/>
      </c>
      <c r="O1294" s="7" t="n"/>
      <c r="U1294" s="7" t="n"/>
      <c r="V1294" s="7" t="n"/>
      <c r="W1294" s="7">
        <f>IF($D1294="","",V1294*AB1294/100)</f>
        <v/>
      </c>
      <c r="X1294" s="7">
        <f>IF($D1294="","",V1294-W1294)</f>
        <v/>
      </c>
      <c r="Y1294" s="7">
        <f>IF($D1294="","",X1294-N1294)</f>
        <v/>
      </c>
      <c r="AB1294">
        <f>IF($D1294="","",IF($AN1294=1,0,IF($AM1294=1,Settings!$C$6,Settings!$C$7))*100)</f>
        <v/>
      </c>
      <c r="AF1294" s="7" t="n"/>
      <c r="AI1294" s="11" t="n"/>
      <c r="AK1294">
        <f>IF($D1294="","",IF(COUNTIF($D$2:$D1294,$D1294)=1,1,0))</f>
        <v/>
      </c>
      <c r="AL1294">
        <f>IF($AK1294=1,SUMPRODUCT(--($AO$2:$AO$1501&lt;$AO1294))+1,"")</f>
        <v/>
      </c>
      <c r="AM1294">
        <f>IF($D1294="","",IF(OR($R1294=TRUE(),$R1294="TRUE"),1,0))</f>
        <v/>
      </c>
      <c r="AN1294">
        <f>IF($D1294="","",IF($AA1294="Yes",1,0))</f>
        <v/>
      </c>
      <c r="AO1294">
        <f>IF($AK1294=1,IFERROR(IF(VALUE($D1294)&lt;100000000,VALUE($D1294),1000000000),IFERROR(IF(VALUE(MID($D1294,2,20))&lt;100000000,VALUE(MID($D1294,2,20)),1000000000),1000000000))+ROW()/100000,"")</f>
        <v/>
      </c>
    </row>
    <row r="1295">
      <c r="F1295" s="11" t="n"/>
      <c r="N1295" s="7">
        <f>IF($D1295="","",M1295*V1295/100)</f>
        <v/>
      </c>
      <c r="O1295" s="7" t="n"/>
      <c r="U1295" s="7" t="n"/>
      <c r="V1295" s="7" t="n"/>
      <c r="W1295" s="7">
        <f>IF($D1295="","",V1295*AB1295/100)</f>
        <v/>
      </c>
      <c r="X1295" s="7">
        <f>IF($D1295="","",V1295-W1295)</f>
        <v/>
      </c>
      <c r="Y1295" s="7">
        <f>IF($D1295="","",X1295-N1295)</f>
        <v/>
      </c>
      <c r="AB1295">
        <f>IF($D1295="","",IF($AN1295=1,0,IF($AM1295=1,Settings!$C$6,Settings!$C$7))*100)</f>
        <v/>
      </c>
      <c r="AF1295" s="7" t="n"/>
      <c r="AI1295" s="11" t="n"/>
      <c r="AK1295">
        <f>IF($D1295="","",IF(COUNTIF($D$2:$D1295,$D1295)=1,1,0))</f>
        <v/>
      </c>
      <c r="AL1295">
        <f>IF($AK1295=1,SUMPRODUCT(--($AO$2:$AO$1501&lt;$AO1295))+1,"")</f>
        <v/>
      </c>
      <c r="AM1295">
        <f>IF($D1295="","",IF(OR($R1295=TRUE(),$R1295="TRUE"),1,0))</f>
        <v/>
      </c>
      <c r="AN1295">
        <f>IF($D1295="","",IF($AA1295="Yes",1,0))</f>
        <v/>
      </c>
      <c r="AO1295">
        <f>IF($AK1295=1,IFERROR(IF(VALUE($D1295)&lt;100000000,VALUE($D1295),1000000000),IFERROR(IF(VALUE(MID($D1295,2,20))&lt;100000000,VALUE(MID($D1295,2,20)),1000000000),1000000000))+ROW()/100000,"")</f>
        <v/>
      </c>
    </row>
    <row r="1296">
      <c r="F1296" s="11" t="n"/>
      <c r="N1296" s="7">
        <f>IF($D1296="","",M1296*V1296/100)</f>
        <v/>
      </c>
      <c r="O1296" s="7" t="n"/>
      <c r="U1296" s="7" t="n"/>
      <c r="V1296" s="7" t="n"/>
      <c r="W1296" s="7">
        <f>IF($D1296="","",V1296*AB1296/100)</f>
        <v/>
      </c>
      <c r="X1296" s="7">
        <f>IF($D1296="","",V1296-W1296)</f>
        <v/>
      </c>
      <c r="Y1296" s="7">
        <f>IF($D1296="","",X1296-N1296)</f>
        <v/>
      </c>
      <c r="AB1296">
        <f>IF($D1296="","",IF($AN1296=1,0,IF($AM1296=1,Settings!$C$6,Settings!$C$7))*100)</f>
        <v/>
      </c>
      <c r="AF1296" s="7" t="n"/>
      <c r="AI1296" s="11" t="n"/>
      <c r="AK1296">
        <f>IF($D1296="","",IF(COUNTIF($D$2:$D1296,$D1296)=1,1,0))</f>
        <v/>
      </c>
      <c r="AL1296">
        <f>IF($AK1296=1,SUMPRODUCT(--($AO$2:$AO$1501&lt;$AO1296))+1,"")</f>
        <v/>
      </c>
      <c r="AM1296">
        <f>IF($D1296="","",IF(OR($R1296=TRUE(),$R1296="TRUE"),1,0))</f>
        <v/>
      </c>
      <c r="AN1296">
        <f>IF($D1296="","",IF($AA1296="Yes",1,0))</f>
        <v/>
      </c>
      <c r="AO1296">
        <f>IF($AK1296=1,IFERROR(IF(VALUE($D1296)&lt;100000000,VALUE($D1296),1000000000),IFERROR(IF(VALUE(MID($D1296,2,20))&lt;100000000,VALUE(MID($D1296,2,20)),1000000000),1000000000))+ROW()/100000,"")</f>
        <v/>
      </c>
    </row>
    <row r="1297">
      <c r="F1297" s="11" t="n"/>
      <c r="N1297" s="7">
        <f>IF($D1297="","",M1297*V1297/100)</f>
        <v/>
      </c>
      <c r="O1297" s="7" t="n"/>
      <c r="U1297" s="7" t="n"/>
      <c r="V1297" s="7" t="n"/>
      <c r="W1297" s="7">
        <f>IF($D1297="","",V1297*AB1297/100)</f>
        <v/>
      </c>
      <c r="X1297" s="7">
        <f>IF($D1297="","",V1297-W1297)</f>
        <v/>
      </c>
      <c r="Y1297" s="7">
        <f>IF($D1297="","",X1297-N1297)</f>
        <v/>
      </c>
      <c r="AB1297">
        <f>IF($D1297="","",IF($AN1297=1,0,IF($AM1297=1,Settings!$C$6,Settings!$C$7))*100)</f>
        <v/>
      </c>
      <c r="AF1297" s="7" t="n"/>
      <c r="AI1297" s="11" t="n"/>
      <c r="AK1297">
        <f>IF($D1297="","",IF(COUNTIF($D$2:$D1297,$D1297)=1,1,0))</f>
        <v/>
      </c>
      <c r="AL1297">
        <f>IF($AK1297=1,SUMPRODUCT(--($AO$2:$AO$1501&lt;$AO1297))+1,"")</f>
        <v/>
      </c>
      <c r="AM1297">
        <f>IF($D1297="","",IF(OR($R1297=TRUE(),$R1297="TRUE"),1,0))</f>
        <v/>
      </c>
      <c r="AN1297">
        <f>IF($D1297="","",IF($AA1297="Yes",1,0))</f>
        <v/>
      </c>
      <c r="AO1297">
        <f>IF($AK1297=1,IFERROR(IF(VALUE($D1297)&lt;100000000,VALUE($D1297),1000000000),IFERROR(IF(VALUE(MID($D1297,2,20))&lt;100000000,VALUE(MID($D1297,2,20)),1000000000),1000000000))+ROW()/100000,"")</f>
        <v/>
      </c>
    </row>
    <row r="1298">
      <c r="F1298" s="11" t="n"/>
      <c r="N1298" s="7">
        <f>IF($D1298="","",M1298*V1298/100)</f>
        <v/>
      </c>
      <c r="O1298" s="7" t="n"/>
      <c r="U1298" s="7" t="n"/>
      <c r="V1298" s="7" t="n"/>
      <c r="W1298" s="7">
        <f>IF($D1298="","",V1298*AB1298/100)</f>
        <v/>
      </c>
      <c r="X1298" s="7">
        <f>IF($D1298="","",V1298-W1298)</f>
        <v/>
      </c>
      <c r="Y1298" s="7">
        <f>IF($D1298="","",X1298-N1298)</f>
        <v/>
      </c>
      <c r="AB1298">
        <f>IF($D1298="","",IF($AN1298=1,0,IF($AM1298=1,Settings!$C$6,Settings!$C$7))*100)</f>
        <v/>
      </c>
      <c r="AF1298" s="7" t="n"/>
      <c r="AI1298" s="11" t="n"/>
      <c r="AK1298">
        <f>IF($D1298="","",IF(COUNTIF($D$2:$D1298,$D1298)=1,1,0))</f>
        <v/>
      </c>
      <c r="AL1298">
        <f>IF($AK1298=1,SUMPRODUCT(--($AO$2:$AO$1501&lt;$AO1298))+1,"")</f>
        <v/>
      </c>
      <c r="AM1298">
        <f>IF($D1298="","",IF(OR($R1298=TRUE(),$R1298="TRUE"),1,0))</f>
        <v/>
      </c>
      <c r="AN1298">
        <f>IF($D1298="","",IF($AA1298="Yes",1,0))</f>
        <v/>
      </c>
      <c r="AO1298">
        <f>IF($AK1298=1,IFERROR(IF(VALUE($D1298)&lt;100000000,VALUE($D1298),1000000000),IFERROR(IF(VALUE(MID($D1298,2,20))&lt;100000000,VALUE(MID($D1298,2,20)),1000000000),1000000000))+ROW()/100000,"")</f>
        <v/>
      </c>
    </row>
    <row r="1299">
      <c r="F1299" s="11" t="n"/>
      <c r="N1299" s="7">
        <f>IF($D1299="","",M1299*V1299/100)</f>
        <v/>
      </c>
      <c r="O1299" s="7" t="n"/>
      <c r="U1299" s="7" t="n"/>
      <c r="V1299" s="7" t="n"/>
      <c r="W1299" s="7">
        <f>IF($D1299="","",V1299*AB1299/100)</f>
        <v/>
      </c>
      <c r="X1299" s="7">
        <f>IF($D1299="","",V1299-W1299)</f>
        <v/>
      </c>
      <c r="Y1299" s="7">
        <f>IF($D1299="","",X1299-N1299)</f>
        <v/>
      </c>
      <c r="AB1299">
        <f>IF($D1299="","",IF($AN1299=1,0,IF($AM1299=1,Settings!$C$6,Settings!$C$7))*100)</f>
        <v/>
      </c>
      <c r="AF1299" s="7" t="n"/>
      <c r="AI1299" s="11" t="n"/>
      <c r="AK1299">
        <f>IF($D1299="","",IF(COUNTIF($D$2:$D1299,$D1299)=1,1,0))</f>
        <v/>
      </c>
      <c r="AL1299">
        <f>IF($AK1299=1,SUMPRODUCT(--($AO$2:$AO$1501&lt;$AO1299))+1,"")</f>
        <v/>
      </c>
      <c r="AM1299">
        <f>IF($D1299="","",IF(OR($R1299=TRUE(),$R1299="TRUE"),1,0))</f>
        <v/>
      </c>
      <c r="AN1299">
        <f>IF($D1299="","",IF($AA1299="Yes",1,0))</f>
        <v/>
      </c>
      <c r="AO1299">
        <f>IF($AK1299=1,IFERROR(IF(VALUE($D1299)&lt;100000000,VALUE($D1299),1000000000),IFERROR(IF(VALUE(MID($D1299,2,20))&lt;100000000,VALUE(MID($D1299,2,20)),1000000000),1000000000))+ROW()/100000,"")</f>
        <v/>
      </c>
    </row>
    <row r="1300">
      <c r="F1300" s="11" t="n"/>
      <c r="N1300" s="7">
        <f>IF($D1300="","",M1300*V1300/100)</f>
        <v/>
      </c>
      <c r="O1300" s="7" t="n"/>
      <c r="U1300" s="7" t="n"/>
      <c r="V1300" s="7" t="n"/>
      <c r="W1300" s="7">
        <f>IF($D1300="","",V1300*AB1300/100)</f>
        <v/>
      </c>
      <c r="X1300" s="7">
        <f>IF($D1300="","",V1300-W1300)</f>
        <v/>
      </c>
      <c r="Y1300" s="7">
        <f>IF($D1300="","",X1300-N1300)</f>
        <v/>
      </c>
      <c r="AB1300">
        <f>IF($D1300="","",IF($AN1300=1,0,IF($AM1300=1,Settings!$C$6,Settings!$C$7))*100)</f>
        <v/>
      </c>
      <c r="AF1300" s="7" t="n"/>
      <c r="AI1300" s="11" t="n"/>
      <c r="AK1300">
        <f>IF($D1300="","",IF(COUNTIF($D$2:$D1300,$D1300)=1,1,0))</f>
        <v/>
      </c>
      <c r="AL1300">
        <f>IF($AK1300=1,SUMPRODUCT(--($AO$2:$AO$1501&lt;$AO1300))+1,"")</f>
        <v/>
      </c>
      <c r="AM1300">
        <f>IF($D1300="","",IF(OR($R1300=TRUE(),$R1300="TRUE"),1,0))</f>
        <v/>
      </c>
      <c r="AN1300">
        <f>IF($D1300="","",IF($AA1300="Yes",1,0))</f>
        <v/>
      </c>
      <c r="AO1300">
        <f>IF($AK1300=1,IFERROR(IF(VALUE($D1300)&lt;100000000,VALUE($D1300),1000000000),IFERROR(IF(VALUE(MID($D1300,2,20))&lt;100000000,VALUE(MID($D1300,2,20)),1000000000),1000000000))+ROW()/100000,"")</f>
        <v/>
      </c>
    </row>
    <row r="1301">
      <c r="F1301" s="11" t="n"/>
      <c r="N1301" s="7">
        <f>IF($D1301="","",M1301*V1301/100)</f>
        <v/>
      </c>
      <c r="O1301" s="7" t="n"/>
      <c r="U1301" s="7" t="n"/>
      <c r="V1301" s="7" t="n"/>
      <c r="W1301" s="7">
        <f>IF($D1301="","",V1301*AB1301/100)</f>
        <v/>
      </c>
      <c r="X1301" s="7">
        <f>IF($D1301="","",V1301-W1301)</f>
        <v/>
      </c>
      <c r="Y1301" s="7">
        <f>IF($D1301="","",X1301-N1301)</f>
        <v/>
      </c>
      <c r="AB1301">
        <f>IF($D1301="","",IF($AN1301=1,0,IF($AM1301=1,Settings!$C$6,Settings!$C$7))*100)</f>
        <v/>
      </c>
      <c r="AF1301" s="7" t="n"/>
      <c r="AI1301" s="11" t="n"/>
      <c r="AK1301">
        <f>IF($D1301="","",IF(COUNTIF($D$2:$D1301,$D1301)=1,1,0))</f>
        <v/>
      </c>
      <c r="AL1301">
        <f>IF($AK1301=1,SUMPRODUCT(--($AO$2:$AO$1501&lt;$AO1301))+1,"")</f>
        <v/>
      </c>
      <c r="AM1301">
        <f>IF($D1301="","",IF(OR($R1301=TRUE(),$R1301="TRUE"),1,0))</f>
        <v/>
      </c>
      <c r="AN1301">
        <f>IF($D1301="","",IF($AA1301="Yes",1,0))</f>
        <v/>
      </c>
      <c r="AO1301">
        <f>IF($AK1301=1,IFERROR(IF(VALUE($D1301)&lt;100000000,VALUE($D1301),1000000000),IFERROR(IF(VALUE(MID($D1301,2,20))&lt;100000000,VALUE(MID($D1301,2,20)),1000000000),1000000000))+ROW()/100000,"")</f>
        <v/>
      </c>
    </row>
    <row r="1302">
      <c r="F1302" s="11" t="n"/>
      <c r="N1302" s="7">
        <f>IF($D1302="","",M1302*V1302/100)</f>
        <v/>
      </c>
      <c r="O1302" s="7" t="n"/>
      <c r="U1302" s="7" t="n"/>
      <c r="V1302" s="7" t="n"/>
      <c r="W1302" s="7">
        <f>IF($D1302="","",V1302*AB1302/100)</f>
        <v/>
      </c>
      <c r="X1302" s="7">
        <f>IF($D1302="","",V1302-W1302)</f>
        <v/>
      </c>
      <c r="Y1302" s="7">
        <f>IF($D1302="","",X1302-N1302)</f>
        <v/>
      </c>
      <c r="AB1302">
        <f>IF($D1302="","",IF($AN1302=1,0,IF($AM1302=1,Settings!$C$6,Settings!$C$7))*100)</f>
        <v/>
      </c>
      <c r="AF1302" s="7" t="n"/>
      <c r="AI1302" s="11" t="n"/>
      <c r="AK1302">
        <f>IF($D1302="","",IF(COUNTIF($D$2:$D1302,$D1302)=1,1,0))</f>
        <v/>
      </c>
      <c r="AL1302">
        <f>IF($AK1302=1,SUMPRODUCT(--($AO$2:$AO$1501&lt;$AO1302))+1,"")</f>
        <v/>
      </c>
      <c r="AM1302">
        <f>IF($D1302="","",IF(OR($R1302=TRUE(),$R1302="TRUE"),1,0))</f>
        <v/>
      </c>
      <c r="AN1302">
        <f>IF($D1302="","",IF($AA1302="Yes",1,0))</f>
        <v/>
      </c>
      <c r="AO1302">
        <f>IF($AK1302=1,IFERROR(IF(VALUE($D1302)&lt;100000000,VALUE($D1302),1000000000),IFERROR(IF(VALUE(MID($D1302,2,20))&lt;100000000,VALUE(MID($D1302,2,20)),1000000000),1000000000))+ROW()/100000,"")</f>
        <v/>
      </c>
    </row>
    <row r="1303">
      <c r="F1303" s="11" t="n"/>
      <c r="N1303" s="7">
        <f>IF($D1303="","",M1303*V1303/100)</f>
        <v/>
      </c>
      <c r="O1303" s="7" t="n"/>
      <c r="U1303" s="7" t="n"/>
      <c r="V1303" s="7" t="n"/>
      <c r="W1303" s="7">
        <f>IF($D1303="","",V1303*AB1303/100)</f>
        <v/>
      </c>
      <c r="X1303" s="7">
        <f>IF($D1303="","",V1303-W1303)</f>
        <v/>
      </c>
      <c r="Y1303" s="7">
        <f>IF($D1303="","",X1303-N1303)</f>
        <v/>
      </c>
      <c r="AB1303">
        <f>IF($D1303="","",IF($AN1303=1,0,IF($AM1303=1,Settings!$C$6,Settings!$C$7))*100)</f>
        <v/>
      </c>
      <c r="AF1303" s="7" t="n"/>
      <c r="AI1303" s="11" t="n"/>
      <c r="AK1303">
        <f>IF($D1303="","",IF(COUNTIF($D$2:$D1303,$D1303)=1,1,0))</f>
        <v/>
      </c>
      <c r="AL1303">
        <f>IF($AK1303=1,SUMPRODUCT(--($AO$2:$AO$1501&lt;$AO1303))+1,"")</f>
        <v/>
      </c>
      <c r="AM1303">
        <f>IF($D1303="","",IF(OR($R1303=TRUE(),$R1303="TRUE"),1,0))</f>
        <v/>
      </c>
      <c r="AN1303">
        <f>IF($D1303="","",IF($AA1303="Yes",1,0))</f>
        <v/>
      </c>
      <c r="AO1303">
        <f>IF($AK1303=1,IFERROR(IF(VALUE($D1303)&lt;100000000,VALUE($D1303),1000000000),IFERROR(IF(VALUE(MID($D1303,2,20))&lt;100000000,VALUE(MID($D1303,2,20)),1000000000),1000000000))+ROW()/100000,"")</f>
        <v/>
      </c>
    </row>
    <row r="1304">
      <c r="F1304" s="11" t="n"/>
      <c r="N1304" s="7">
        <f>IF($D1304="","",M1304*V1304/100)</f>
        <v/>
      </c>
      <c r="O1304" s="7" t="n"/>
      <c r="U1304" s="7" t="n"/>
      <c r="V1304" s="7" t="n"/>
      <c r="W1304" s="7">
        <f>IF($D1304="","",V1304*AB1304/100)</f>
        <v/>
      </c>
      <c r="X1304" s="7">
        <f>IF($D1304="","",V1304-W1304)</f>
        <v/>
      </c>
      <c r="Y1304" s="7">
        <f>IF($D1304="","",X1304-N1304)</f>
        <v/>
      </c>
      <c r="AB1304">
        <f>IF($D1304="","",IF($AN1304=1,0,IF($AM1304=1,Settings!$C$6,Settings!$C$7))*100)</f>
        <v/>
      </c>
      <c r="AF1304" s="7" t="n"/>
      <c r="AI1304" s="11" t="n"/>
      <c r="AK1304">
        <f>IF($D1304="","",IF(COUNTIF($D$2:$D1304,$D1304)=1,1,0))</f>
        <v/>
      </c>
      <c r="AL1304">
        <f>IF($AK1304=1,SUMPRODUCT(--($AO$2:$AO$1501&lt;$AO1304))+1,"")</f>
        <v/>
      </c>
      <c r="AM1304">
        <f>IF($D1304="","",IF(OR($R1304=TRUE(),$R1304="TRUE"),1,0))</f>
        <v/>
      </c>
      <c r="AN1304">
        <f>IF($D1304="","",IF($AA1304="Yes",1,0))</f>
        <v/>
      </c>
      <c r="AO1304">
        <f>IF($AK1304=1,IFERROR(IF(VALUE($D1304)&lt;100000000,VALUE($D1304),1000000000),IFERROR(IF(VALUE(MID($D1304,2,20))&lt;100000000,VALUE(MID($D1304,2,20)),1000000000),1000000000))+ROW()/100000,"")</f>
        <v/>
      </c>
    </row>
    <row r="1305">
      <c r="F1305" s="11" t="n"/>
      <c r="N1305" s="7">
        <f>IF($D1305="","",M1305*V1305/100)</f>
        <v/>
      </c>
      <c r="O1305" s="7" t="n"/>
      <c r="U1305" s="7" t="n"/>
      <c r="V1305" s="7" t="n"/>
      <c r="W1305" s="7">
        <f>IF($D1305="","",V1305*AB1305/100)</f>
        <v/>
      </c>
      <c r="X1305" s="7">
        <f>IF($D1305="","",V1305-W1305)</f>
        <v/>
      </c>
      <c r="Y1305" s="7">
        <f>IF($D1305="","",X1305-N1305)</f>
        <v/>
      </c>
      <c r="AB1305">
        <f>IF($D1305="","",IF($AN1305=1,0,IF($AM1305=1,Settings!$C$6,Settings!$C$7))*100)</f>
        <v/>
      </c>
      <c r="AF1305" s="7" t="n"/>
      <c r="AI1305" s="11" t="n"/>
      <c r="AK1305">
        <f>IF($D1305="","",IF(COUNTIF($D$2:$D1305,$D1305)=1,1,0))</f>
        <v/>
      </c>
      <c r="AL1305">
        <f>IF($AK1305=1,SUMPRODUCT(--($AO$2:$AO$1501&lt;$AO1305))+1,"")</f>
        <v/>
      </c>
      <c r="AM1305">
        <f>IF($D1305="","",IF(OR($R1305=TRUE(),$R1305="TRUE"),1,0))</f>
        <v/>
      </c>
      <c r="AN1305">
        <f>IF($D1305="","",IF($AA1305="Yes",1,0))</f>
        <v/>
      </c>
      <c r="AO1305">
        <f>IF($AK1305=1,IFERROR(IF(VALUE($D1305)&lt;100000000,VALUE($D1305),1000000000),IFERROR(IF(VALUE(MID($D1305,2,20))&lt;100000000,VALUE(MID($D1305,2,20)),1000000000),1000000000))+ROW()/100000,"")</f>
        <v/>
      </c>
    </row>
    <row r="1306">
      <c r="F1306" s="11" t="n"/>
      <c r="N1306" s="7">
        <f>IF($D1306="","",M1306*V1306/100)</f>
        <v/>
      </c>
      <c r="O1306" s="7" t="n"/>
      <c r="U1306" s="7" t="n"/>
      <c r="V1306" s="7" t="n"/>
      <c r="W1306" s="7">
        <f>IF($D1306="","",V1306*AB1306/100)</f>
        <v/>
      </c>
      <c r="X1306" s="7">
        <f>IF($D1306="","",V1306-W1306)</f>
        <v/>
      </c>
      <c r="Y1306" s="7">
        <f>IF($D1306="","",X1306-N1306)</f>
        <v/>
      </c>
      <c r="AB1306">
        <f>IF($D1306="","",IF($AN1306=1,0,IF($AM1306=1,Settings!$C$6,Settings!$C$7))*100)</f>
        <v/>
      </c>
      <c r="AF1306" s="7" t="n"/>
      <c r="AI1306" s="11" t="n"/>
      <c r="AK1306">
        <f>IF($D1306="","",IF(COUNTIF($D$2:$D1306,$D1306)=1,1,0))</f>
        <v/>
      </c>
      <c r="AL1306">
        <f>IF($AK1306=1,SUMPRODUCT(--($AO$2:$AO$1501&lt;$AO1306))+1,"")</f>
        <v/>
      </c>
      <c r="AM1306">
        <f>IF($D1306="","",IF(OR($R1306=TRUE(),$R1306="TRUE"),1,0))</f>
        <v/>
      </c>
      <c r="AN1306">
        <f>IF($D1306="","",IF($AA1306="Yes",1,0))</f>
        <v/>
      </c>
      <c r="AO1306">
        <f>IF($AK1306=1,IFERROR(IF(VALUE($D1306)&lt;100000000,VALUE($D1306),1000000000),IFERROR(IF(VALUE(MID($D1306,2,20))&lt;100000000,VALUE(MID($D1306,2,20)),1000000000),1000000000))+ROW()/100000,"")</f>
        <v/>
      </c>
    </row>
    <row r="1307">
      <c r="F1307" s="11" t="n"/>
      <c r="N1307" s="7">
        <f>IF($D1307="","",M1307*V1307/100)</f>
        <v/>
      </c>
      <c r="O1307" s="7" t="n"/>
      <c r="U1307" s="7" t="n"/>
      <c r="V1307" s="7" t="n"/>
      <c r="W1307" s="7">
        <f>IF($D1307="","",V1307*AB1307/100)</f>
        <v/>
      </c>
      <c r="X1307" s="7">
        <f>IF($D1307="","",V1307-W1307)</f>
        <v/>
      </c>
      <c r="Y1307" s="7">
        <f>IF($D1307="","",X1307-N1307)</f>
        <v/>
      </c>
      <c r="AB1307">
        <f>IF($D1307="","",IF($AN1307=1,0,IF($AM1307=1,Settings!$C$6,Settings!$C$7))*100)</f>
        <v/>
      </c>
      <c r="AF1307" s="7" t="n"/>
      <c r="AI1307" s="11" t="n"/>
      <c r="AK1307">
        <f>IF($D1307="","",IF(COUNTIF($D$2:$D1307,$D1307)=1,1,0))</f>
        <v/>
      </c>
      <c r="AL1307">
        <f>IF($AK1307=1,SUMPRODUCT(--($AO$2:$AO$1501&lt;$AO1307))+1,"")</f>
        <v/>
      </c>
      <c r="AM1307">
        <f>IF($D1307="","",IF(OR($R1307=TRUE(),$R1307="TRUE"),1,0))</f>
        <v/>
      </c>
      <c r="AN1307">
        <f>IF($D1307="","",IF($AA1307="Yes",1,0))</f>
        <v/>
      </c>
      <c r="AO1307">
        <f>IF($AK1307=1,IFERROR(IF(VALUE($D1307)&lt;100000000,VALUE($D1307),1000000000),IFERROR(IF(VALUE(MID($D1307,2,20))&lt;100000000,VALUE(MID($D1307,2,20)),1000000000),1000000000))+ROW()/100000,"")</f>
        <v/>
      </c>
    </row>
    <row r="1308">
      <c r="F1308" s="11" t="n"/>
      <c r="N1308" s="7">
        <f>IF($D1308="","",M1308*V1308/100)</f>
        <v/>
      </c>
      <c r="O1308" s="7" t="n"/>
      <c r="U1308" s="7" t="n"/>
      <c r="V1308" s="7" t="n"/>
      <c r="W1308" s="7">
        <f>IF($D1308="","",V1308*AB1308/100)</f>
        <v/>
      </c>
      <c r="X1308" s="7">
        <f>IF($D1308="","",V1308-W1308)</f>
        <v/>
      </c>
      <c r="Y1308" s="7">
        <f>IF($D1308="","",X1308-N1308)</f>
        <v/>
      </c>
      <c r="AB1308">
        <f>IF($D1308="","",IF($AN1308=1,0,IF($AM1308=1,Settings!$C$6,Settings!$C$7))*100)</f>
        <v/>
      </c>
      <c r="AF1308" s="7" t="n"/>
      <c r="AI1308" s="11" t="n"/>
      <c r="AK1308">
        <f>IF($D1308="","",IF(COUNTIF($D$2:$D1308,$D1308)=1,1,0))</f>
        <v/>
      </c>
      <c r="AL1308">
        <f>IF($AK1308=1,SUMPRODUCT(--($AO$2:$AO$1501&lt;$AO1308))+1,"")</f>
        <v/>
      </c>
      <c r="AM1308">
        <f>IF($D1308="","",IF(OR($R1308=TRUE(),$R1308="TRUE"),1,0))</f>
        <v/>
      </c>
      <c r="AN1308">
        <f>IF($D1308="","",IF($AA1308="Yes",1,0))</f>
        <v/>
      </c>
      <c r="AO1308">
        <f>IF($AK1308=1,IFERROR(IF(VALUE($D1308)&lt;100000000,VALUE($D1308),1000000000),IFERROR(IF(VALUE(MID($D1308,2,20))&lt;100000000,VALUE(MID($D1308,2,20)),1000000000),1000000000))+ROW()/100000,"")</f>
        <v/>
      </c>
    </row>
    <row r="1309">
      <c r="F1309" s="11" t="n"/>
      <c r="N1309" s="7">
        <f>IF($D1309="","",M1309*V1309/100)</f>
        <v/>
      </c>
      <c r="O1309" s="7" t="n"/>
      <c r="U1309" s="7" t="n"/>
      <c r="V1309" s="7" t="n"/>
      <c r="W1309" s="7">
        <f>IF($D1309="","",V1309*AB1309/100)</f>
        <v/>
      </c>
      <c r="X1309" s="7">
        <f>IF($D1309="","",V1309-W1309)</f>
        <v/>
      </c>
      <c r="Y1309" s="7">
        <f>IF($D1309="","",X1309-N1309)</f>
        <v/>
      </c>
      <c r="AB1309">
        <f>IF($D1309="","",IF($AN1309=1,0,IF($AM1309=1,Settings!$C$6,Settings!$C$7))*100)</f>
        <v/>
      </c>
      <c r="AF1309" s="7" t="n"/>
      <c r="AI1309" s="11" t="n"/>
      <c r="AK1309">
        <f>IF($D1309="","",IF(COUNTIF($D$2:$D1309,$D1309)=1,1,0))</f>
        <v/>
      </c>
      <c r="AL1309">
        <f>IF($AK1309=1,SUMPRODUCT(--($AO$2:$AO$1501&lt;$AO1309))+1,"")</f>
        <v/>
      </c>
      <c r="AM1309">
        <f>IF($D1309="","",IF(OR($R1309=TRUE(),$R1309="TRUE"),1,0))</f>
        <v/>
      </c>
      <c r="AN1309">
        <f>IF($D1309="","",IF($AA1309="Yes",1,0))</f>
        <v/>
      </c>
      <c r="AO1309">
        <f>IF($AK1309=1,IFERROR(IF(VALUE($D1309)&lt;100000000,VALUE($D1309),1000000000),IFERROR(IF(VALUE(MID($D1309,2,20))&lt;100000000,VALUE(MID($D1309,2,20)),1000000000),1000000000))+ROW()/100000,"")</f>
        <v/>
      </c>
    </row>
    <row r="1310">
      <c r="F1310" s="11" t="n"/>
      <c r="N1310" s="7">
        <f>IF($D1310="","",M1310*V1310/100)</f>
        <v/>
      </c>
      <c r="O1310" s="7" t="n"/>
      <c r="U1310" s="7" t="n"/>
      <c r="V1310" s="7" t="n"/>
      <c r="W1310" s="7">
        <f>IF($D1310="","",V1310*AB1310/100)</f>
        <v/>
      </c>
      <c r="X1310" s="7">
        <f>IF($D1310="","",V1310-W1310)</f>
        <v/>
      </c>
      <c r="Y1310" s="7">
        <f>IF($D1310="","",X1310-N1310)</f>
        <v/>
      </c>
      <c r="AB1310">
        <f>IF($D1310="","",IF($AN1310=1,0,IF($AM1310=1,Settings!$C$6,Settings!$C$7))*100)</f>
        <v/>
      </c>
      <c r="AF1310" s="7" t="n"/>
      <c r="AI1310" s="11" t="n"/>
      <c r="AK1310">
        <f>IF($D1310="","",IF(COUNTIF($D$2:$D1310,$D1310)=1,1,0))</f>
        <v/>
      </c>
      <c r="AL1310">
        <f>IF($AK1310=1,SUMPRODUCT(--($AO$2:$AO$1501&lt;$AO1310))+1,"")</f>
        <v/>
      </c>
      <c r="AM1310">
        <f>IF($D1310="","",IF(OR($R1310=TRUE(),$R1310="TRUE"),1,0))</f>
        <v/>
      </c>
      <c r="AN1310">
        <f>IF($D1310="","",IF($AA1310="Yes",1,0))</f>
        <v/>
      </c>
      <c r="AO1310">
        <f>IF($AK1310=1,IFERROR(IF(VALUE($D1310)&lt;100000000,VALUE($D1310),1000000000),IFERROR(IF(VALUE(MID($D1310,2,20))&lt;100000000,VALUE(MID($D1310,2,20)),1000000000),1000000000))+ROW()/100000,"")</f>
        <v/>
      </c>
    </row>
    <row r="1311">
      <c r="F1311" s="11" t="n"/>
      <c r="N1311" s="7">
        <f>IF($D1311="","",M1311*V1311/100)</f>
        <v/>
      </c>
      <c r="O1311" s="7" t="n"/>
      <c r="U1311" s="7" t="n"/>
      <c r="V1311" s="7" t="n"/>
      <c r="W1311" s="7">
        <f>IF($D1311="","",V1311*AB1311/100)</f>
        <v/>
      </c>
      <c r="X1311" s="7">
        <f>IF($D1311="","",V1311-W1311)</f>
        <v/>
      </c>
      <c r="Y1311" s="7">
        <f>IF($D1311="","",X1311-N1311)</f>
        <v/>
      </c>
      <c r="AB1311">
        <f>IF($D1311="","",IF($AN1311=1,0,IF($AM1311=1,Settings!$C$6,Settings!$C$7))*100)</f>
        <v/>
      </c>
      <c r="AF1311" s="7" t="n"/>
      <c r="AI1311" s="11" t="n"/>
      <c r="AK1311">
        <f>IF($D1311="","",IF(COUNTIF($D$2:$D1311,$D1311)=1,1,0))</f>
        <v/>
      </c>
      <c r="AL1311">
        <f>IF($AK1311=1,SUMPRODUCT(--($AO$2:$AO$1501&lt;$AO1311))+1,"")</f>
        <v/>
      </c>
      <c r="AM1311">
        <f>IF($D1311="","",IF(OR($R1311=TRUE(),$R1311="TRUE"),1,0))</f>
        <v/>
      </c>
      <c r="AN1311">
        <f>IF($D1311="","",IF($AA1311="Yes",1,0))</f>
        <v/>
      </c>
      <c r="AO1311">
        <f>IF($AK1311=1,IFERROR(IF(VALUE($D1311)&lt;100000000,VALUE($D1311),1000000000),IFERROR(IF(VALUE(MID($D1311,2,20))&lt;100000000,VALUE(MID($D1311,2,20)),1000000000),1000000000))+ROW()/100000,"")</f>
        <v/>
      </c>
    </row>
    <row r="1312">
      <c r="F1312" s="11" t="n"/>
      <c r="N1312" s="7">
        <f>IF($D1312="","",M1312*V1312/100)</f>
        <v/>
      </c>
      <c r="O1312" s="7" t="n"/>
      <c r="U1312" s="7" t="n"/>
      <c r="V1312" s="7" t="n"/>
      <c r="W1312" s="7">
        <f>IF($D1312="","",V1312*AB1312/100)</f>
        <v/>
      </c>
      <c r="X1312" s="7">
        <f>IF($D1312="","",V1312-W1312)</f>
        <v/>
      </c>
      <c r="Y1312" s="7">
        <f>IF($D1312="","",X1312-N1312)</f>
        <v/>
      </c>
      <c r="AB1312">
        <f>IF($D1312="","",IF($AN1312=1,0,IF($AM1312=1,Settings!$C$6,Settings!$C$7))*100)</f>
        <v/>
      </c>
      <c r="AF1312" s="7" t="n"/>
      <c r="AI1312" s="11" t="n"/>
      <c r="AK1312">
        <f>IF($D1312="","",IF(COUNTIF($D$2:$D1312,$D1312)=1,1,0))</f>
        <v/>
      </c>
      <c r="AL1312">
        <f>IF($AK1312=1,SUMPRODUCT(--($AO$2:$AO$1501&lt;$AO1312))+1,"")</f>
        <v/>
      </c>
      <c r="AM1312">
        <f>IF($D1312="","",IF(OR($R1312=TRUE(),$R1312="TRUE"),1,0))</f>
        <v/>
      </c>
      <c r="AN1312">
        <f>IF($D1312="","",IF($AA1312="Yes",1,0))</f>
        <v/>
      </c>
      <c r="AO1312">
        <f>IF($AK1312=1,IFERROR(IF(VALUE($D1312)&lt;100000000,VALUE($D1312),1000000000),IFERROR(IF(VALUE(MID($D1312,2,20))&lt;100000000,VALUE(MID($D1312,2,20)),1000000000),1000000000))+ROW()/100000,"")</f>
        <v/>
      </c>
    </row>
    <row r="1313">
      <c r="F1313" s="11" t="n"/>
      <c r="N1313" s="7">
        <f>IF($D1313="","",M1313*V1313/100)</f>
        <v/>
      </c>
      <c r="O1313" s="7" t="n"/>
      <c r="U1313" s="7" t="n"/>
      <c r="V1313" s="7" t="n"/>
      <c r="W1313" s="7">
        <f>IF($D1313="","",V1313*AB1313/100)</f>
        <v/>
      </c>
      <c r="X1313" s="7">
        <f>IF($D1313="","",V1313-W1313)</f>
        <v/>
      </c>
      <c r="Y1313" s="7">
        <f>IF($D1313="","",X1313-N1313)</f>
        <v/>
      </c>
      <c r="AB1313">
        <f>IF($D1313="","",IF($AN1313=1,0,IF($AM1313=1,Settings!$C$6,Settings!$C$7))*100)</f>
        <v/>
      </c>
      <c r="AF1313" s="7" t="n"/>
      <c r="AI1313" s="11" t="n"/>
      <c r="AK1313">
        <f>IF($D1313="","",IF(COUNTIF($D$2:$D1313,$D1313)=1,1,0))</f>
        <v/>
      </c>
      <c r="AL1313">
        <f>IF($AK1313=1,SUMPRODUCT(--($AO$2:$AO$1501&lt;$AO1313))+1,"")</f>
        <v/>
      </c>
      <c r="AM1313">
        <f>IF($D1313="","",IF(OR($R1313=TRUE(),$R1313="TRUE"),1,0))</f>
        <v/>
      </c>
      <c r="AN1313">
        <f>IF($D1313="","",IF($AA1313="Yes",1,0))</f>
        <v/>
      </c>
      <c r="AO1313">
        <f>IF($AK1313=1,IFERROR(IF(VALUE($D1313)&lt;100000000,VALUE($D1313),1000000000),IFERROR(IF(VALUE(MID($D1313,2,20))&lt;100000000,VALUE(MID($D1313,2,20)),1000000000),1000000000))+ROW()/100000,"")</f>
        <v/>
      </c>
    </row>
    <row r="1314">
      <c r="F1314" s="11" t="n"/>
      <c r="N1314" s="7">
        <f>IF($D1314="","",M1314*V1314/100)</f>
        <v/>
      </c>
      <c r="O1314" s="7" t="n"/>
      <c r="U1314" s="7" t="n"/>
      <c r="V1314" s="7" t="n"/>
      <c r="W1314" s="7">
        <f>IF($D1314="","",V1314*AB1314/100)</f>
        <v/>
      </c>
      <c r="X1314" s="7">
        <f>IF($D1314="","",V1314-W1314)</f>
        <v/>
      </c>
      <c r="Y1314" s="7">
        <f>IF($D1314="","",X1314-N1314)</f>
        <v/>
      </c>
      <c r="AB1314">
        <f>IF($D1314="","",IF($AN1314=1,0,IF($AM1314=1,Settings!$C$6,Settings!$C$7))*100)</f>
        <v/>
      </c>
      <c r="AF1314" s="7" t="n"/>
      <c r="AI1314" s="11" t="n"/>
      <c r="AK1314">
        <f>IF($D1314="","",IF(COUNTIF($D$2:$D1314,$D1314)=1,1,0))</f>
        <v/>
      </c>
      <c r="AL1314">
        <f>IF($AK1314=1,SUMPRODUCT(--($AO$2:$AO$1501&lt;$AO1314))+1,"")</f>
        <v/>
      </c>
      <c r="AM1314">
        <f>IF($D1314="","",IF(OR($R1314=TRUE(),$R1314="TRUE"),1,0))</f>
        <v/>
      </c>
      <c r="AN1314">
        <f>IF($D1314="","",IF($AA1314="Yes",1,0))</f>
        <v/>
      </c>
      <c r="AO1314">
        <f>IF($AK1314=1,IFERROR(IF(VALUE($D1314)&lt;100000000,VALUE($D1314),1000000000),IFERROR(IF(VALUE(MID($D1314,2,20))&lt;100000000,VALUE(MID($D1314,2,20)),1000000000),1000000000))+ROW()/100000,"")</f>
        <v/>
      </c>
    </row>
    <row r="1315">
      <c r="F1315" s="11" t="n"/>
      <c r="N1315" s="7">
        <f>IF($D1315="","",M1315*V1315/100)</f>
        <v/>
      </c>
      <c r="O1315" s="7" t="n"/>
      <c r="U1315" s="7" t="n"/>
      <c r="V1315" s="7" t="n"/>
      <c r="W1315" s="7">
        <f>IF($D1315="","",V1315*AB1315/100)</f>
        <v/>
      </c>
      <c r="X1315" s="7">
        <f>IF($D1315="","",V1315-W1315)</f>
        <v/>
      </c>
      <c r="Y1315" s="7">
        <f>IF($D1315="","",X1315-N1315)</f>
        <v/>
      </c>
      <c r="AB1315">
        <f>IF($D1315="","",IF($AN1315=1,0,IF($AM1315=1,Settings!$C$6,Settings!$C$7))*100)</f>
        <v/>
      </c>
      <c r="AF1315" s="7" t="n"/>
      <c r="AI1315" s="11" t="n"/>
      <c r="AK1315">
        <f>IF($D1315="","",IF(COUNTIF($D$2:$D1315,$D1315)=1,1,0))</f>
        <v/>
      </c>
      <c r="AL1315">
        <f>IF($AK1315=1,SUMPRODUCT(--($AO$2:$AO$1501&lt;$AO1315))+1,"")</f>
        <v/>
      </c>
      <c r="AM1315">
        <f>IF($D1315="","",IF(OR($R1315=TRUE(),$R1315="TRUE"),1,0))</f>
        <v/>
      </c>
      <c r="AN1315">
        <f>IF($D1315="","",IF($AA1315="Yes",1,0))</f>
        <v/>
      </c>
      <c r="AO1315">
        <f>IF($AK1315=1,IFERROR(IF(VALUE($D1315)&lt;100000000,VALUE($D1315),1000000000),IFERROR(IF(VALUE(MID($D1315,2,20))&lt;100000000,VALUE(MID($D1315,2,20)),1000000000),1000000000))+ROW()/100000,"")</f>
        <v/>
      </c>
    </row>
    <row r="1316">
      <c r="F1316" s="11" t="n"/>
      <c r="N1316" s="7">
        <f>IF($D1316="","",M1316*V1316/100)</f>
        <v/>
      </c>
      <c r="O1316" s="7" t="n"/>
      <c r="U1316" s="7" t="n"/>
      <c r="V1316" s="7" t="n"/>
      <c r="W1316" s="7">
        <f>IF($D1316="","",V1316*AB1316/100)</f>
        <v/>
      </c>
      <c r="X1316" s="7">
        <f>IF($D1316="","",V1316-W1316)</f>
        <v/>
      </c>
      <c r="Y1316" s="7">
        <f>IF($D1316="","",X1316-N1316)</f>
        <v/>
      </c>
      <c r="AB1316">
        <f>IF($D1316="","",IF($AN1316=1,0,IF($AM1316=1,Settings!$C$6,Settings!$C$7))*100)</f>
        <v/>
      </c>
      <c r="AF1316" s="7" t="n"/>
      <c r="AI1316" s="11" t="n"/>
      <c r="AK1316">
        <f>IF($D1316="","",IF(COUNTIF($D$2:$D1316,$D1316)=1,1,0))</f>
        <v/>
      </c>
      <c r="AL1316">
        <f>IF($AK1316=1,SUMPRODUCT(--($AO$2:$AO$1501&lt;$AO1316))+1,"")</f>
        <v/>
      </c>
      <c r="AM1316">
        <f>IF($D1316="","",IF(OR($R1316=TRUE(),$R1316="TRUE"),1,0))</f>
        <v/>
      </c>
      <c r="AN1316">
        <f>IF($D1316="","",IF($AA1316="Yes",1,0))</f>
        <v/>
      </c>
      <c r="AO1316">
        <f>IF($AK1316=1,IFERROR(IF(VALUE($D1316)&lt;100000000,VALUE($D1316),1000000000),IFERROR(IF(VALUE(MID($D1316,2,20))&lt;100000000,VALUE(MID($D1316,2,20)),1000000000),1000000000))+ROW()/100000,"")</f>
        <v/>
      </c>
    </row>
    <row r="1317">
      <c r="F1317" s="11" t="n"/>
      <c r="N1317" s="7">
        <f>IF($D1317="","",M1317*V1317/100)</f>
        <v/>
      </c>
      <c r="O1317" s="7" t="n"/>
      <c r="U1317" s="7" t="n"/>
      <c r="V1317" s="7" t="n"/>
      <c r="W1317" s="7">
        <f>IF($D1317="","",V1317*AB1317/100)</f>
        <v/>
      </c>
      <c r="X1317" s="7">
        <f>IF($D1317="","",V1317-W1317)</f>
        <v/>
      </c>
      <c r="Y1317" s="7">
        <f>IF($D1317="","",X1317-N1317)</f>
        <v/>
      </c>
      <c r="AB1317">
        <f>IF($D1317="","",IF($AN1317=1,0,IF($AM1317=1,Settings!$C$6,Settings!$C$7))*100)</f>
        <v/>
      </c>
      <c r="AF1317" s="7" t="n"/>
      <c r="AI1317" s="11" t="n"/>
      <c r="AK1317">
        <f>IF($D1317="","",IF(COUNTIF($D$2:$D1317,$D1317)=1,1,0))</f>
        <v/>
      </c>
      <c r="AL1317">
        <f>IF($AK1317=1,SUMPRODUCT(--($AO$2:$AO$1501&lt;$AO1317))+1,"")</f>
        <v/>
      </c>
      <c r="AM1317">
        <f>IF($D1317="","",IF(OR($R1317=TRUE(),$R1317="TRUE"),1,0))</f>
        <v/>
      </c>
      <c r="AN1317">
        <f>IF($D1317="","",IF($AA1317="Yes",1,0))</f>
        <v/>
      </c>
      <c r="AO1317">
        <f>IF($AK1317=1,IFERROR(IF(VALUE($D1317)&lt;100000000,VALUE($D1317),1000000000),IFERROR(IF(VALUE(MID($D1317,2,20))&lt;100000000,VALUE(MID($D1317,2,20)),1000000000),1000000000))+ROW()/100000,"")</f>
        <v/>
      </c>
    </row>
    <row r="1318">
      <c r="F1318" s="11" t="n"/>
      <c r="N1318" s="7">
        <f>IF($D1318="","",M1318*V1318/100)</f>
        <v/>
      </c>
      <c r="O1318" s="7" t="n"/>
      <c r="U1318" s="7" t="n"/>
      <c r="V1318" s="7" t="n"/>
      <c r="W1318" s="7">
        <f>IF($D1318="","",V1318*AB1318/100)</f>
        <v/>
      </c>
      <c r="X1318" s="7">
        <f>IF($D1318="","",V1318-W1318)</f>
        <v/>
      </c>
      <c r="Y1318" s="7">
        <f>IF($D1318="","",X1318-N1318)</f>
        <v/>
      </c>
      <c r="AB1318">
        <f>IF($D1318="","",IF($AN1318=1,0,IF($AM1318=1,Settings!$C$6,Settings!$C$7))*100)</f>
        <v/>
      </c>
      <c r="AF1318" s="7" t="n"/>
      <c r="AI1318" s="11" t="n"/>
      <c r="AK1318">
        <f>IF($D1318="","",IF(COUNTIF($D$2:$D1318,$D1318)=1,1,0))</f>
        <v/>
      </c>
      <c r="AL1318">
        <f>IF($AK1318=1,SUMPRODUCT(--($AO$2:$AO$1501&lt;$AO1318))+1,"")</f>
        <v/>
      </c>
      <c r="AM1318">
        <f>IF($D1318="","",IF(OR($R1318=TRUE(),$R1318="TRUE"),1,0))</f>
        <v/>
      </c>
      <c r="AN1318">
        <f>IF($D1318="","",IF($AA1318="Yes",1,0))</f>
        <v/>
      </c>
      <c r="AO1318">
        <f>IF($AK1318=1,IFERROR(IF(VALUE($D1318)&lt;100000000,VALUE($D1318),1000000000),IFERROR(IF(VALUE(MID($D1318,2,20))&lt;100000000,VALUE(MID($D1318,2,20)),1000000000),1000000000))+ROW()/100000,"")</f>
        <v/>
      </c>
    </row>
    <row r="1319">
      <c r="F1319" s="11" t="n"/>
      <c r="N1319" s="7">
        <f>IF($D1319="","",M1319*V1319/100)</f>
        <v/>
      </c>
      <c r="O1319" s="7" t="n"/>
      <c r="U1319" s="7" t="n"/>
      <c r="V1319" s="7" t="n"/>
      <c r="W1319" s="7">
        <f>IF($D1319="","",V1319*AB1319/100)</f>
        <v/>
      </c>
      <c r="X1319" s="7">
        <f>IF($D1319="","",V1319-W1319)</f>
        <v/>
      </c>
      <c r="Y1319" s="7">
        <f>IF($D1319="","",X1319-N1319)</f>
        <v/>
      </c>
      <c r="AB1319">
        <f>IF($D1319="","",IF($AN1319=1,0,IF($AM1319=1,Settings!$C$6,Settings!$C$7))*100)</f>
        <v/>
      </c>
      <c r="AF1319" s="7" t="n"/>
      <c r="AI1319" s="11" t="n"/>
      <c r="AK1319">
        <f>IF($D1319="","",IF(COUNTIF($D$2:$D1319,$D1319)=1,1,0))</f>
        <v/>
      </c>
      <c r="AL1319">
        <f>IF($AK1319=1,SUMPRODUCT(--($AO$2:$AO$1501&lt;$AO1319))+1,"")</f>
        <v/>
      </c>
      <c r="AM1319">
        <f>IF($D1319="","",IF(OR($R1319=TRUE(),$R1319="TRUE"),1,0))</f>
        <v/>
      </c>
      <c r="AN1319">
        <f>IF($D1319="","",IF($AA1319="Yes",1,0))</f>
        <v/>
      </c>
      <c r="AO1319">
        <f>IF($AK1319=1,IFERROR(IF(VALUE($D1319)&lt;100000000,VALUE($D1319),1000000000),IFERROR(IF(VALUE(MID($D1319,2,20))&lt;100000000,VALUE(MID($D1319,2,20)),1000000000),1000000000))+ROW()/100000,"")</f>
        <v/>
      </c>
    </row>
    <row r="1320">
      <c r="F1320" s="11" t="n"/>
      <c r="N1320" s="7">
        <f>IF($D1320="","",M1320*V1320/100)</f>
        <v/>
      </c>
      <c r="O1320" s="7" t="n"/>
      <c r="U1320" s="7" t="n"/>
      <c r="V1320" s="7" t="n"/>
      <c r="W1320" s="7">
        <f>IF($D1320="","",V1320*AB1320/100)</f>
        <v/>
      </c>
      <c r="X1320" s="7">
        <f>IF($D1320="","",V1320-W1320)</f>
        <v/>
      </c>
      <c r="Y1320" s="7">
        <f>IF($D1320="","",X1320-N1320)</f>
        <v/>
      </c>
      <c r="AB1320">
        <f>IF($D1320="","",IF($AN1320=1,0,IF($AM1320=1,Settings!$C$6,Settings!$C$7))*100)</f>
        <v/>
      </c>
      <c r="AF1320" s="7" t="n"/>
      <c r="AI1320" s="11" t="n"/>
      <c r="AK1320">
        <f>IF($D1320="","",IF(COUNTIF($D$2:$D1320,$D1320)=1,1,0))</f>
        <v/>
      </c>
      <c r="AL1320">
        <f>IF($AK1320=1,SUMPRODUCT(--($AO$2:$AO$1501&lt;$AO1320))+1,"")</f>
        <v/>
      </c>
      <c r="AM1320">
        <f>IF($D1320="","",IF(OR($R1320=TRUE(),$R1320="TRUE"),1,0))</f>
        <v/>
      </c>
      <c r="AN1320">
        <f>IF($D1320="","",IF($AA1320="Yes",1,0))</f>
        <v/>
      </c>
      <c r="AO1320">
        <f>IF($AK1320=1,IFERROR(IF(VALUE($D1320)&lt;100000000,VALUE($D1320),1000000000),IFERROR(IF(VALUE(MID($D1320,2,20))&lt;100000000,VALUE(MID($D1320,2,20)),1000000000),1000000000))+ROW()/100000,"")</f>
        <v/>
      </c>
    </row>
    <row r="1321">
      <c r="F1321" s="11" t="n"/>
      <c r="N1321" s="7">
        <f>IF($D1321="","",M1321*V1321/100)</f>
        <v/>
      </c>
      <c r="O1321" s="7" t="n"/>
      <c r="U1321" s="7" t="n"/>
      <c r="V1321" s="7" t="n"/>
      <c r="W1321" s="7">
        <f>IF($D1321="","",V1321*AB1321/100)</f>
        <v/>
      </c>
      <c r="X1321" s="7">
        <f>IF($D1321="","",V1321-W1321)</f>
        <v/>
      </c>
      <c r="Y1321" s="7">
        <f>IF($D1321="","",X1321-N1321)</f>
        <v/>
      </c>
      <c r="AB1321">
        <f>IF($D1321="","",IF($AN1321=1,0,IF($AM1321=1,Settings!$C$6,Settings!$C$7))*100)</f>
        <v/>
      </c>
      <c r="AF1321" s="7" t="n"/>
      <c r="AI1321" s="11" t="n"/>
      <c r="AK1321">
        <f>IF($D1321="","",IF(COUNTIF($D$2:$D1321,$D1321)=1,1,0))</f>
        <v/>
      </c>
      <c r="AL1321">
        <f>IF($AK1321=1,SUMPRODUCT(--($AO$2:$AO$1501&lt;$AO1321))+1,"")</f>
        <v/>
      </c>
      <c r="AM1321">
        <f>IF($D1321="","",IF(OR($R1321=TRUE(),$R1321="TRUE"),1,0))</f>
        <v/>
      </c>
      <c r="AN1321">
        <f>IF($D1321="","",IF($AA1321="Yes",1,0))</f>
        <v/>
      </c>
      <c r="AO1321">
        <f>IF($AK1321=1,IFERROR(IF(VALUE($D1321)&lt;100000000,VALUE($D1321),1000000000),IFERROR(IF(VALUE(MID($D1321,2,20))&lt;100000000,VALUE(MID($D1321,2,20)),1000000000),1000000000))+ROW()/100000,"")</f>
        <v/>
      </c>
    </row>
    <row r="1322">
      <c r="F1322" s="11" t="n"/>
      <c r="N1322" s="7">
        <f>IF($D1322="","",M1322*V1322/100)</f>
        <v/>
      </c>
      <c r="O1322" s="7" t="n"/>
      <c r="U1322" s="7" t="n"/>
      <c r="V1322" s="7" t="n"/>
      <c r="W1322" s="7">
        <f>IF($D1322="","",V1322*AB1322/100)</f>
        <v/>
      </c>
      <c r="X1322" s="7">
        <f>IF($D1322="","",V1322-W1322)</f>
        <v/>
      </c>
      <c r="Y1322" s="7">
        <f>IF($D1322="","",X1322-N1322)</f>
        <v/>
      </c>
      <c r="AB1322">
        <f>IF($D1322="","",IF($AN1322=1,0,IF($AM1322=1,Settings!$C$6,Settings!$C$7))*100)</f>
        <v/>
      </c>
      <c r="AF1322" s="7" t="n"/>
      <c r="AI1322" s="11" t="n"/>
      <c r="AK1322">
        <f>IF($D1322="","",IF(COUNTIF($D$2:$D1322,$D1322)=1,1,0))</f>
        <v/>
      </c>
      <c r="AL1322">
        <f>IF($AK1322=1,SUMPRODUCT(--($AO$2:$AO$1501&lt;$AO1322))+1,"")</f>
        <v/>
      </c>
      <c r="AM1322">
        <f>IF($D1322="","",IF(OR($R1322=TRUE(),$R1322="TRUE"),1,0))</f>
        <v/>
      </c>
      <c r="AN1322">
        <f>IF($D1322="","",IF($AA1322="Yes",1,0))</f>
        <v/>
      </c>
      <c r="AO1322">
        <f>IF($AK1322=1,IFERROR(IF(VALUE($D1322)&lt;100000000,VALUE($D1322),1000000000),IFERROR(IF(VALUE(MID($D1322,2,20))&lt;100000000,VALUE(MID($D1322,2,20)),1000000000),1000000000))+ROW()/100000,"")</f>
        <v/>
      </c>
    </row>
    <row r="1323">
      <c r="F1323" s="11" t="n"/>
      <c r="N1323" s="7">
        <f>IF($D1323="","",M1323*V1323/100)</f>
        <v/>
      </c>
      <c r="O1323" s="7" t="n"/>
      <c r="U1323" s="7" t="n"/>
      <c r="V1323" s="7" t="n"/>
      <c r="W1323" s="7">
        <f>IF($D1323="","",V1323*AB1323/100)</f>
        <v/>
      </c>
      <c r="X1323" s="7">
        <f>IF($D1323="","",V1323-W1323)</f>
        <v/>
      </c>
      <c r="Y1323" s="7">
        <f>IF($D1323="","",X1323-N1323)</f>
        <v/>
      </c>
      <c r="AB1323">
        <f>IF($D1323="","",IF($AN1323=1,0,IF($AM1323=1,Settings!$C$6,Settings!$C$7))*100)</f>
        <v/>
      </c>
      <c r="AF1323" s="7" t="n"/>
      <c r="AI1323" s="11" t="n"/>
      <c r="AK1323">
        <f>IF($D1323="","",IF(COUNTIF($D$2:$D1323,$D1323)=1,1,0))</f>
        <v/>
      </c>
      <c r="AL1323">
        <f>IF($AK1323=1,SUMPRODUCT(--($AO$2:$AO$1501&lt;$AO1323))+1,"")</f>
        <v/>
      </c>
      <c r="AM1323">
        <f>IF($D1323="","",IF(OR($R1323=TRUE(),$R1323="TRUE"),1,0))</f>
        <v/>
      </c>
      <c r="AN1323">
        <f>IF($D1323="","",IF($AA1323="Yes",1,0))</f>
        <v/>
      </c>
      <c r="AO1323">
        <f>IF($AK1323=1,IFERROR(IF(VALUE($D1323)&lt;100000000,VALUE($D1323),1000000000),IFERROR(IF(VALUE(MID($D1323,2,20))&lt;100000000,VALUE(MID($D1323,2,20)),1000000000),1000000000))+ROW()/100000,"")</f>
        <v/>
      </c>
    </row>
    <row r="1324">
      <c r="F1324" s="11" t="n"/>
      <c r="N1324" s="7">
        <f>IF($D1324="","",M1324*V1324/100)</f>
        <v/>
      </c>
      <c r="O1324" s="7" t="n"/>
      <c r="U1324" s="7" t="n"/>
      <c r="V1324" s="7" t="n"/>
      <c r="W1324" s="7">
        <f>IF($D1324="","",V1324*AB1324/100)</f>
        <v/>
      </c>
      <c r="X1324" s="7">
        <f>IF($D1324="","",V1324-W1324)</f>
        <v/>
      </c>
      <c r="Y1324" s="7">
        <f>IF($D1324="","",X1324-N1324)</f>
        <v/>
      </c>
      <c r="AB1324">
        <f>IF($D1324="","",IF($AN1324=1,0,IF($AM1324=1,Settings!$C$6,Settings!$C$7))*100)</f>
        <v/>
      </c>
      <c r="AF1324" s="7" t="n"/>
      <c r="AI1324" s="11" t="n"/>
      <c r="AK1324">
        <f>IF($D1324="","",IF(COUNTIF($D$2:$D1324,$D1324)=1,1,0))</f>
        <v/>
      </c>
      <c r="AL1324">
        <f>IF($AK1324=1,SUMPRODUCT(--($AO$2:$AO$1501&lt;$AO1324))+1,"")</f>
        <v/>
      </c>
      <c r="AM1324">
        <f>IF($D1324="","",IF(OR($R1324=TRUE(),$R1324="TRUE"),1,0))</f>
        <v/>
      </c>
      <c r="AN1324">
        <f>IF($D1324="","",IF($AA1324="Yes",1,0))</f>
        <v/>
      </c>
      <c r="AO1324">
        <f>IF($AK1324=1,IFERROR(IF(VALUE($D1324)&lt;100000000,VALUE($D1324),1000000000),IFERROR(IF(VALUE(MID($D1324,2,20))&lt;100000000,VALUE(MID($D1324,2,20)),1000000000),1000000000))+ROW()/100000,"")</f>
        <v/>
      </c>
    </row>
    <row r="1325">
      <c r="F1325" s="11" t="n"/>
      <c r="N1325" s="7">
        <f>IF($D1325="","",M1325*V1325/100)</f>
        <v/>
      </c>
      <c r="O1325" s="7" t="n"/>
      <c r="U1325" s="7" t="n"/>
      <c r="V1325" s="7" t="n"/>
      <c r="W1325" s="7">
        <f>IF($D1325="","",V1325*AB1325/100)</f>
        <v/>
      </c>
      <c r="X1325" s="7">
        <f>IF($D1325="","",V1325-W1325)</f>
        <v/>
      </c>
      <c r="Y1325" s="7">
        <f>IF($D1325="","",X1325-N1325)</f>
        <v/>
      </c>
      <c r="AB1325">
        <f>IF($D1325="","",IF($AN1325=1,0,IF($AM1325=1,Settings!$C$6,Settings!$C$7))*100)</f>
        <v/>
      </c>
      <c r="AF1325" s="7" t="n"/>
      <c r="AI1325" s="11" t="n"/>
      <c r="AK1325">
        <f>IF($D1325="","",IF(COUNTIF($D$2:$D1325,$D1325)=1,1,0))</f>
        <v/>
      </c>
      <c r="AL1325">
        <f>IF($AK1325=1,SUMPRODUCT(--($AO$2:$AO$1501&lt;$AO1325))+1,"")</f>
        <v/>
      </c>
      <c r="AM1325">
        <f>IF($D1325="","",IF(OR($R1325=TRUE(),$R1325="TRUE"),1,0))</f>
        <v/>
      </c>
      <c r="AN1325">
        <f>IF($D1325="","",IF($AA1325="Yes",1,0))</f>
        <v/>
      </c>
      <c r="AO1325">
        <f>IF($AK1325=1,IFERROR(IF(VALUE($D1325)&lt;100000000,VALUE($D1325),1000000000),IFERROR(IF(VALUE(MID($D1325,2,20))&lt;100000000,VALUE(MID($D1325,2,20)),1000000000),1000000000))+ROW()/100000,"")</f>
        <v/>
      </c>
    </row>
    <row r="1326">
      <c r="F1326" s="11" t="n"/>
      <c r="N1326" s="7">
        <f>IF($D1326="","",M1326*V1326/100)</f>
        <v/>
      </c>
      <c r="O1326" s="7" t="n"/>
      <c r="U1326" s="7" t="n"/>
      <c r="V1326" s="7" t="n"/>
      <c r="W1326" s="7">
        <f>IF($D1326="","",V1326*AB1326/100)</f>
        <v/>
      </c>
      <c r="X1326" s="7">
        <f>IF($D1326="","",V1326-W1326)</f>
        <v/>
      </c>
      <c r="Y1326" s="7">
        <f>IF($D1326="","",X1326-N1326)</f>
        <v/>
      </c>
      <c r="AB1326">
        <f>IF($D1326="","",IF($AN1326=1,0,IF($AM1326=1,Settings!$C$6,Settings!$C$7))*100)</f>
        <v/>
      </c>
      <c r="AF1326" s="7" t="n"/>
      <c r="AI1326" s="11" t="n"/>
      <c r="AK1326">
        <f>IF($D1326="","",IF(COUNTIF($D$2:$D1326,$D1326)=1,1,0))</f>
        <v/>
      </c>
      <c r="AL1326">
        <f>IF($AK1326=1,SUMPRODUCT(--($AO$2:$AO$1501&lt;$AO1326))+1,"")</f>
        <v/>
      </c>
      <c r="AM1326">
        <f>IF($D1326="","",IF(OR($R1326=TRUE(),$R1326="TRUE"),1,0))</f>
        <v/>
      </c>
      <c r="AN1326">
        <f>IF($D1326="","",IF($AA1326="Yes",1,0))</f>
        <v/>
      </c>
      <c r="AO1326">
        <f>IF($AK1326=1,IFERROR(IF(VALUE($D1326)&lt;100000000,VALUE($D1326),1000000000),IFERROR(IF(VALUE(MID($D1326,2,20))&lt;100000000,VALUE(MID($D1326,2,20)),1000000000),1000000000))+ROW()/100000,"")</f>
        <v/>
      </c>
    </row>
    <row r="1327">
      <c r="F1327" s="11" t="n"/>
      <c r="N1327" s="7">
        <f>IF($D1327="","",M1327*V1327/100)</f>
        <v/>
      </c>
      <c r="O1327" s="7" t="n"/>
      <c r="U1327" s="7" t="n"/>
      <c r="V1327" s="7" t="n"/>
      <c r="W1327" s="7">
        <f>IF($D1327="","",V1327*AB1327/100)</f>
        <v/>
      </c>
      <c r="X1327" s="7">
        <f>IF($D1327="","",V1327-W1327)</f>
        <v/>
      </c>
      <c r="Y1327" s="7">
        <f>IF($D1327="","",X1327-N1327)</f>
        <v/>
      </c>
      <c r="AB1327">
        <f>IF($D1327="","",IF($AN1327=1,0,IF($AM1327=1,Settings!$C$6,Settings!$C$7))*100)</f>
        <v/>
      </c>
      <c r="AF1327" s="7" t="n"/>
      <c r="AI1327" s="11" t="n"/>
      <c r="AK1327">
        <f>IF($D1327="","",IF(COUNTIF($D$2:$D1327,$D1327)=1,1,0))</f>
        <v/>
      </c>
      <c r="AL1327">
        <f>IF($AK1327=1,SUMPRODUCT(--($AO$2:$AO$1501&lt;$AO1327))+1,"")</f>
        <v/>
      </c>
      <c r="AM1327">
        <f>IF($D1327="","",IF(OR($R1327=TRUE(),$R1327="TRUE"),1,0))</f>
        <v/>
      </c>
      <c r="AN1327">
        <f>IF($D1327="","",IF($AA1327="Yes",1,0))</f>
        <v/>
      </c>
      <c r="AO1327">
        <f>IF($AK1327=1,IFERROR(IF(VALUE($D1327)&lt;100000000,VALUE($D1327),1000000000),IFERROR(IF(VALUE(MID($D1327,2,20))&lt;100000000,VALUE(MID($D1327,2,20)),1000000000),1000000000))+ROW()/100000,"")</f>
        <v/>
      </c>
    </row>
    <row r="1328">
      <c r="F1328" s="11" t="n"/>
      <c r="N1328" s="7">
        <f>IF($D1328="","",M1328*V1328/100)</f>
        <v/>
      </c>
      <c r="O1328" s="7" t="n"/>
      <c r="U1328" s="7" t="n"/>
      <c r="V1328" s="7" t="n"/>
      <c r="W1328" s="7">
        <f>IF($D1328="","",V1328*AB1328/100)</f>
        <v/>
      </c>
      <c r="X1328" s="7">
        <f>IF($D1328="","",V1328-W1328)</f>
        <v/>
      </c>
      <c r="Y1328" s="7">
        <f>IF($D1328="","",X1328-N1328)</f>
        <v/>
      </c>
      <c r="AB1328">
        <f>IF($D1328="","",IF($AN1328=1,0,IF($AM1328=1,Settings!$C$6,Settings!$C$7))*100)</f>
        <v/>
      </c>
      <c r="AF1328" s="7" t="n"/>
      <c r="AI1328" s="11" t="n"/>
      <c r="AK1328">
        <f>IF($D1328="","",IF(COUNTIF($D$2:$D1328,$D1328)=1,1,0))</f>
        <v/>
      </c>
      <c r="AL1328">
        <f>IF($AK1328=1,SUMPRODUCT(--($AO$2:$AO$1501&lt;$AO1328))+1,"")</f>
        <v/>
      </c>
      <c r="AM1328">
        <f>IF($D1328="","",IF(OR($R1328=TRUE(),$R1328="TRUE"),1,0))</f>
        <v/>
      </c>
      <c r="AN1328">
        <f>IF($D1328="","",IF($AA1328="Yes",1,0))</f>
        <v/>
      </c>
      <c r="AO1328">
        <f>IF($AK1328=1,IFERROR(IF(VALUE($D1328)&lt;100000000,VALUE($D1328),1000000000),IFERROR(IF(VALUE(MID($D1328,2,20))&lt;100000000,VALUE(MID($D1328,2,20)),1000000000),1000000000))+ROW()/100000,"")</f>
        <v/>
      </c>
    </row>
    <row r="1329">
      <c r="F1329" s="11" t="n"/>
      <c r="N1329" s="7">
        <f>IF($D1329="","",M1329*V1329/100)</f>
        <v/>
      </c>
      <c r="O1329" s="7" t="n"/>
      <c r="U1329" s="7" t="n"/>
      <c r="V1329" s="7" t="n"/>
      <c r="W1329" s="7">
        <f>IF($D1329="","",V1329*AB1329/100)</f>
        <v/>
      </c>
      <c r="X1329" s="7">
        <f>IF($D1329="","",V1329-W1329)</f>
        <v/>
      </c>
      <c r="Y1329" s="7">
        <f>IF($D1329="","",X1329-N1329)</f>
        <v/>
      </c>
      <c r="AB1329">
        <f>IF($D1329="","",IF($AN1329=1,0,IF($AM1329=1,Settings!$C$6,Settings!$C$7))*100)</f>
        <v/>
      </c>
      <c r="AF1329" s="7" t="n"/>
      <c r="AI1329" s="11" t="n"/>
      <c r="AK1329">
        <f>IF($D1329="","",IF(COUNTIF($D$2:$D1329,$D1329)=1,1,0))</f>
        <v/>
      </c>
      <c r="AL1329">
        <f>IF($AK1329=1,SUMPRODUCT(--($AO$2:$AO$1501&lt;$AO1329))+1,"")</f>
        <v/>
      </c>
      <c r="AM1329">
        <f>IF($D1329="","",IF(OR($R1329=TRUE(),$R1329="TRUE"),1,0))</f>
        <v/>
      </c>
      <c r="AN1329">
        <f>IF($D1329="","",IF($AA1329="Yes",1,0))</f>
        <v/>
      </c>
      <c r="AO1329">
        <f>IF($AK1329=1,IFERROR(IF(VALUE($D1329)&lt;100000000,VALUE($D1329),1000000000),IFERROR(IF(VALUE(MID($D1329,2,20))&lt;100000000,VALUE(MID($D1329,2,20)),1000000000),1000000000))+ROW()/100000,"")</f>
        <v/>
      </c>
    </row>
    <row r="1330">
      <c r="F1330" s="11" t="n"/>
      <c r="N1330" s="7">
        <f>IF($D1330="","",M1330*V1330/100)</f>
        <v/>
      </c>
      <c r="O1330" s="7" t="n"/>
      <c r="U1330" s="7" t="n"/>
      <c r="V1330" s="7" t="n"/>
      <c r="W1330" s="7">
        <f>IF($D1330="","",V1330*AB1330/100)</f>
        <v/>
      </c>
      <c r="X1330" s="7">
        <f>IF($D1330="","",V1330-W1330)</f>
        <v/>
      </c>
      <c r="Y1330" s="7">
        <f>IF($D1330="","",X1330-N1330)</f>
        <v/>
      </c>
      <c r="AB1330">
        <f>IF($D1330="","",IF($AN1330=1,0,IF($AM1330=1,Settings!$C$6,Settings!$C$7))*100)</f>
        <v/>
      </c>
      <c r="AF1330" s="7" t="n"/>
      <c r="AI1330" s="11" t="n"/>
      <c r="AK1330">
        <f>IF($D1330="","",IF(COUNTIF($D$2:$D1330,$D1330)=1,1,0))</f>
        <v/>
      </c>
      <c r="AL1330">
        <f>IF($AK1330=1,SUMPRODUCT(--($AO$2:$AO$1501&lt;$AO1330))+1,"")</f>
        <v/>
      </c>
      <c r="AM1330">
        <f>IF($D1330="","",IF(OR($R1330=TRUE(),$R1330="TRUE"),1,0))</f>
        <v/>
      </c>
      <c r="AN1330">
        <f>IF($D1330="","",IF($AA1330="Yes",1,0))</f>
        <v/>
      </c>
      <c r="AO1330">
        <f>IF($AK1330=1,IFERROR(IF(VALUE($D1330)&lt;100000000,VALUE($D1330),1000000000),IFERROR(IF(VALUE(MID($D1330,2,20))&lt;100000000,VALUE(MID($D1330,2,20)),1000000000),1000000000))+ROW()/100000,"")</f>
        <v/>
      </c>
    </row>
    <row r="1331">
      <c r="F1331" s="11" t="n"/>
      <c r="N1331" s="7">
        <f>IF($D1331="","",M1331*V1331/100)</f>
        <v/>
      </c>
      <c r="O1331" s="7" t="n"/>
      <c r="U1331" s="7" t="n"/>
      <c r="V1331" s="7" t="n"/>
      <c r="W1331" s="7">
        <f>IF($D1331="","",V1331*AB1331/100)</f>
        <v/>
      </c>
      <c r="X1331" s="7">
        <f>IF($D1331="","",V1331-W1331)</f>
        <v/>
      </c>
      <c r="Y1331" s="7">
        <f>IF($D1331="","",X1331-N1331)</f>
        <v/>
      </c>
      <c r="AB1331">
        <f>IF($D1331="","",IF($AN1331=1,0,IF($AM1331=1,Settings!$C$6,Settings!$C$7))*100)</f>
        <v/>
      </c>
      <c r="AF1331" s="7" t="n"/>
      <c r="AI1331" s="11" t="n"/>
      <c r="AK1331">
        <f>IF($D1331="","",IF(COUNTIF($D$2:$D1331,$D1331)=1,1,0))</f>
        <v/>
      </c>
      <c r="AL1331">
        <f>IF($AK1331=1,SUMPRODUCT(--($AO$2:$AO$1501&lt;$AO1331))+1,"")</f>
        <v/>
      </c>
      <c r="AM1331">
        <f>IF($D1331="","",IF(OR($R1331=TRUE(),$R1331="TRUE"),1,0))</f>
        <v/>
      </c>
      <c r="AN1331">
        <f>IF($D1331="","",IF($AA1331="Yes",1,0))</f>
        <v/>
      </c>
      <c r="AO1331">
        <f>IF($AK1331=1,IFERROR(IF(VALUE($D1331)&lt;100000000,VALUE($D1331),1000000000),IFERROR(IF(VALUE(MID($D1331,2,20))&lt;100000000,VALUE(MID($D1331,2,20)),1000000000),1000000000))+ROW()/100000,"")</f>
        <v/>
      </c>
    </row>
    <row r="1332">
      <c r="F1332" s="11" t="n"/>
      <c r="N1332" s="7">
        <f>IF($D1332="","",M1332*V1332/100)</f>
        <v/>
      </c>
      <c r="O1332" s="7" t="n"/>
      <c r="U1332" s="7" t="n"/>
      <c r="V1332" s="7" t="n"/>
      <c r="W1332" s="7">
        <f>IF($D1332="","",V1332*AB1332/100)</f>
        <v/>
      </c>
      <c r="X1332" s="7">
        <f>IF($D1332="","",V1332-W1332)</f>
        <v/>
      </c>
      <c r="Y1332" s="7">
        <f>IF($D1332="","",X1332-N1332)</f>
        <v/>
      </c>
      <c r="AB1332">
        <f>IF($D1332="","",IF($AN1332=1,0,IF($AM1332=1,Settings!$C$6,Settings!$C$7))*100)</f>
        <v/>
      </c>
      <c r="AF1332" s="7" t="n"/>
      <c r="AI1332" s="11" t="n"/>
      <c r="AK1332">
        <f>IF($D1332="","",IF(COUNTIF($D$2:$D1332,$D1332)=1,1,0))</f>
        <v/>
      </c>
      <c r="AL1332">
        <f>IF($AK1332=1,SUMPRODUCT(--($AO$2:$AO$1501&lt;$AO1332))+1,"")</f>
        <v/>
      </c>
      <c r="AM1332">
        <f>IF($D1332="","",IF(OR($R1332=TRUE(),$R1332="TRUE"),1,0))</f>
        <v/>
      </c>
      <c r="AN1332">
        <f>IF($D1332="","",IF($AA1332="Yes",1,0))</f>
        <v/>
      </c>
      <c r="AO1332">
        <f>IF($AK1332=1,IFERROR(IF(VALUE($D1332)&lt;100000000,VALUE($D1332),1000000000),IFERROR(IF(VALUE(MID($D1332,2,20))&lt;100000000,VALUE(MID($D1332,2,20)),1000000000),1000000000))+ROW()/100000,"")</f>
        <v/>
      </c>
    </row>
    <row r="1333">
      <c r="F1333" s="11" t="n"/>
      <c r="N1333" s="7">
        <f>IF($D1333="","",M1333*V1333/100)</f>
        <v/>
      </c>
      <c r="O1333" s="7" t="n"/>
      <c r="U1333" s="7" t="n"/>
      <c r="V1333" s="7" t="n"/>
      <c r="W1333" s="7">
        <f>IF($D1333="","",V1333*AB1333/100)</f>
        <v/>
      </c>
      <c r="X1333" s="7">
        <f>IF($D1333="","",V1333-W1333)</f>
        <v/>
      </c>
      <c r="Y1333" s="7">
        <f>IF($D1333="","",X1333-N1333)</f>
        <v/>
      </c>
      <c r="AB1333">
        <f>IF($D1333="","",IF($AN1333=1,0,IF($AM1333=1,Settings!$C$6,Settings!$C$7))*100)</f>
        <v/>
      </c>
      <c r="AF1333" s="7" t="n"/>
      <c r="AI1333" s="11" t="n"/>
      <c r="AK1333">
        <f>IF($D1333="","",IF(COUNTIF($D$2:$D1333,$D1333)=1,1,0))</f>
        <v/>
      </c>
      <c r="AL1333">
        <f>IF($AK1333=1,SUMPRODUCT(--($AO$2:$AO$1501&lt;$AO1333))+1,"")</f>
        <v/>
      </c>
      <c r="AM1333">
        <f>IF($D1333="","",IF(OR($R1333=TRUE(),$R1333="TRUE"),1,0))</f>
        <v/>
      </c>
      <c r="AN1333">
        <f>IF($D1333="","",IF($AA1333="Yes",1,0))</f>
        <v/>
      </c>
      <c r="AO1333">
        <f>IF($AK1333=1,IFERROR(IF(VALUE($D1333)&lt;100000000,VALUE($D1333),1000000000),IFERROR(IF(VALUE(MID($D1333,2,20))&lt;100000000,VALUE(MID($D1333,2,20)),1000000000),1000000000))+ROW()/100000,"")</f>
        <v/>
      </c>
    </row>
    <row r="1334">
      <c r="F1334" s="11" t="n"/>
      <c r="N1334" s="7">
        <f>IF($D1334="","",M1334*V1334/100)</f>
        <v/>
      </c>
      <c r="O1334" s="7" t="n"/>
      <c r="U1334" s="7" t="n"/>
      <c r="V1334" s="7" t="n"/>
      <c r="W1334" s="7">
        <f>IF($D1334="","",V1334*AB1334/100)</f>
        <v/>
      </c>
      <c r="X1334" s="7">
        <f>IF($D1334="","",V1334-W1334)</f>
        <v/>
      </c>
      <c r="Y1334" s="7">
        <f>IF($D1334="","",X1334-N1334)</f>
        <v/>
      </c>
      <c r="AB1334">
        <f>IF($D1334="","",IF($AN1334=1,0,IF($AM1334=1,Settings!$C$6,Settings!$C$7))*100)</f>
        <v/>
      </c>
      <c r="AF1334" s="7" t="n"/>
      <c r="AI1334" s="11" t="n"/>
      <c r="AK1334">
        <f>IF($D1334="","",IF(COUNTIF($D$2:$D1334,$D1334)=1,1,0))</f>
        <v/>
      </c>
      <c r="AL1334">
        <f>IF($AK1334=1,SUMPRODUCT(--($AO$2:$AO$1501&lt;$AO1334))+1,"")</f>
        <v/>
      </c>
      <c r="AM1334">
        <f>IF($D1334="","",IF(OR($R1334=TRUE(),$R1334="TRUE"),1,0))</f>
        <v/>
      </c>
      <c r="AN1334">
        <f>IF($D1334="","",IF($AA1334="Yes",1,0))</f>
        <v/>
      </c>
      <c r="AO1334">
        <f>IF($AK1334=1,IFERROR(IF(VALUE($D1334)&lt;100000000,VALUE($D1334),1000000000),IFERROR(IF(VALUE(MID($D1334,2,20))&lt;100000000,VALUE(MID($D1334,2,20)),1000000000),1000000000))+ROW()/100000,"")</f>
        <v/>
      </c>
    </row>
    <row r="1335">
      <c r="F1335" s="11" t="n"/>
      <c r="N1335" s="7">
        <f>IF($D1335="","",M1335*V1335/100)</f>
        <v/>
      </c>
      <c r="O1335" s="7" t="n"/>
      <c r="U1335" s="7" t="n"/>
      <c r="V1335" s="7" t="n"/>
      <c r="W1335" s="7">
        <f>IF($D1335="","",V1335*AB1335/100)</f>
        <v/>
      </c>
      <c r="X1335" s="7">
        <f>IF($D1335="","",V1335-W1335)</f>
        <v/>
      </c>
      <c r="Y1335" s="7">
        <f>IF($D1335="","",X1335-N1335)</f>
        <v/>
      </c>
      <c r="AB1335">
        <f>IF($D1335="","",IF($AN1335=1,0,IF($AM1335=1,Settings!$C$6,Settings!$C$7))*100)</f>
        <v/>
      </c>
      <c r="AF1335" s="7" t="n"/>
      <c r="AI1335" s="11" t="n"/>
      <c r="AK1335">
        <f>IF($D1335="","",IF(COUNTIF($D$2:$D1335,$D1335)=1,1,0))</f>
        <v/>
      </c>
      <c r="AL1335">
        <f>IF($AK1335=1,SUMPRODUCT(--($AO$2:$AO$1501&lt;$AO1335))+1,"")</f>
        <v/>
      </c>
      <c r="AM1335">
        <f>IF($D1335="","",IF(OR($R1335=TRUE(),$R1335="TRUE"),1,0))</f>
        <v/>
      </c>
      <c r="AN1335">
        <f>IF($D1335="","",IF($AA1335="Yes",1,0))</f>
        <v/>
      </c>
      <c r="AO1335">
        <f>IF($AK1335=1,IFERROR(IF(VALUE($D1335)&lt;100000000,VALUE($D1335),1000000000),IFERROR(IF(VALUE(MID($D1335,2,20))&lt;100000000,VALUE(MID($D1335,2,20)),1000000000),1000000000))+ROW()/100000,"")</f>
        <v/>
      </c>
    </row>
    <row r="1336">
      <c r="F1336" s="11" t="n"/>
      <c r="N1336" s="7">
        <f>IF($D1336="","",M1336*V1336/100)</f>
        <v/>
      </c>
      <c r="O1336" s="7" t="n"/>
      <c r="U1336" s="7" t="n"/>
      <c r="V1336" s="7" t="n"/>
      <c r="W1336" s="7">
        <f>IF($D1336="","",V1336*AB1336/100)</f>
        <v/>
      </c>
      <c r="X1336" s="7">
        <f>IF($D1336="","",V1336-W1336)</f>
        <v/>
      </c>
      <c r="Y1336" s="7">
        <f>IF($D1336="","",X1336-N1336)</f>
        <v/>
      </c>
      <c r="AB1336">
        <f>IF($D1336="","",IF($AN1336=1,0,IF($AM1336=1,Settings!$C$6,Settings!$C$7))*100)</f>
        <v/>
      </c>
      <c r="AF1336" s="7" t="n"/>
      <c r="AI1336" s="11" t="n"/>
      <c r="AK1336">
        <f>IF($D1336="","",IF(COUNTIF($D$2:$D1336,$D1336)=1,1,0))</f>
        <v/>
      </c>
      <c r="AL1336">
        <f>IF($AK1336=1,SUMPRODUCT(--($AO$2:$AO$1501&lt;$AO1336))+1,"")</f>
        <v/>
      </c>
      <c r="AM1336">
        <f>IF($D1336="","",IF(OR($R1336=TRUE(),$R1336="TRUE"),1,0))</f>
        <v/>
      </c>
      <c r="AN1336">
        <f>IF($D1336="","",IF($AA1336="Yes",1,0))</f>
        <v/>
      </c>
      <c r="AO1336">
        <f>IF($AK1336=1,IFERROR(IF(VALUE($D1336)&lt;100000000,VALUE($D1336),1000000000),IFERROR(IF(VALUE(MID($D1336,2,20))&lt;100000000,VALUE(MID($D1336,2,20)),1000000000),1000000000))+ROW()/100000,"")</f>
        <v/>
      </c>
    </row>
    <row r="1337">
      <c r="F1337" s="11" t="n"/>
      <c r="N1337" s="7">
        <f>IF($D1337="","",M1337*V1337/100)</f>
        <v/>
      </c>
      <c r="O1337" s="7" t="n"/>
      <c r="U1337" s="7" t="n"/>
      <c r="V1337" s="7" t="n"/>
      <c r="W1337" s="7">
        <f>IF($D1337="","",V1337*AB1337/100)</f>
        <v/>
      </c>
      <c r="X1337" s="7">
        <f>IF($D1337="","",V1337-W1337)</f>
        <v/>
      </c>
      <c r="Y1337" s="7">
        <f>IF($D1337="","",X1337-N1337)</f>
        <v/>
      </c>
      <c r="AB1337">
        <f>IF($D1337="","",IF($AN1337=1,0,IF($AM1337=1,Settings!$C$6,Settings!$C$7))*100)</f>
        <v/>
      </c>
      <c r="AF1337" s="7" t="n"/>
      <c r="AI1337" s="11" t="n"/>
      <c r="AK1337">
        <f>IF($D1337="","",IF(COUNTIF($D$2:$D1337,$D1337)=1,1,0))</f>
        <v/>
      </c>
      <c r="AL1337">
        <f>IF($AK1337=1,SUMPRODUCT(--($AO$2:$AO$1501&lt;$AO1337))+1,"")</f>
        <v/>
      </c>
      <c r="AM1337">
        <f>IF($D1337="","",IF(OR($R1337=TRUE(),$R1337="TRUE"),1,0))</f>
        <v/>
      </c>
      <c r="AN1337">
        <f>IF($D1337="","",IF($AA1337="Yes",1,0))</f>
        <v/>
      </c>
      <c r="AO1337">
        <f>IF($AK1337=1,IFERROR(IF(VALUE($D1337)&lt;100000000,VALUE($D1337),1000000000),IFERROR(IF(VALUE(MID($D1337,2,20))&lt;100000000,VALUE(MID($D1337,2,20)),1000000000),1000000000))+ROW()/100000,"")</f>
        <v/>
      </c>
    </row>
    <row r="1338">
      <c r="F1338" s="11" t="n"/>
      <c r="N1338" s="7">
        <f>IF($D1338="","",M1338*V1338/100)</f>
        <v/>
      </c>
      <c r="O1338" s="7" t="n"/>
      <c r="U1338" s="7" t="n"/>
      <c r="V1338" s="7" t="n"/>
      <c r="W1338" s="7">
        <f>IF($D1338="","",V1338*AB1338/100)</f>
        <v/>
      </c>
      <c r="X1338" s="7">
        <f>IF($D1338="","",V1338-W1338)</f>
        <v/>
      </c>
      <c r="Y1338" s="7">
        <f>IF($D1338="","",X1338-N1338)</f>
        <v/>
      </c>
      <c r="AB1338">
        <f>IF($D1338="","",IF($AN1338=1,0,IF($AM1338=1,Settings!$C$6,Settings!$C$7))*100)</f>
        <v/>
      </c>
      <c r="AF1338" s="7" t="n"/>
      <c r="AI1338" s="11" t="n"/>
      <c r="AK1338">
        <f>IF($D1338="","",IF(COUNTIF($D$2:$D1338,$D1338)=1,1,0))</f>
        <v/>
      </c>
      <c r="AL1338">
        <f>IF($AK1338=1,SUMPRODUCT(--($AO$2:$AO$1501&lt;$AO1338))+1,"")</f>
        <v/>
      </c>
      <c r="AM1338">
        <f>IF($D1338="","",IF(OR($R1338=TRUE(),$R1338="TRUE"),1,0))</f>
        <v/>
      </c>
      <c r="AN1338">
        <f>IF($D1338="","",IF($AA1338="Yes",1,0))</f>
        <v/>
      </c>
      <c r="AO1338">
        <f>IF($AK1338=1,IFERROR(IF(VALUE($D1338)&lt;100000000,VALUE($D1338),1000000000),IFERROR(IF(VALUE(MID($D1338,2,20))&lt;100000000,VALUE(MID($D1338,2,20)),1000000000),1000000000))+ROW()/100000,"")</f>
        <v/>
      </c>
    </row>
    <row r="1339">
      <c r="F1339" s="11" t="n"/>
      <c r="N1339" s="7">
        <f>IF($D1339="","",M1339*V1339/100)</f>
        <v/>
      </c>
      <c r="O1339" s="7" t="n"/>
      <c r="U1339" s="7" t="n"/>
      <c r="V1339" s="7" t="n"/>
      <c r="W1339" s="7">
        <f>IF($D1339="","",V1339*AB1339/100)</f>
        <v/>
      </c>
      <c r="X1339" s="7">
        <f>IF($D1339="","",V1339-W1339)</f>
        <v/>
      </c>
      <c r="Y1339" s="7">
        <f>IF($D1339="","",X1339-N1339)</f>
        <v/>
      </c>
      <c r="AB1339">
        <f>IF($D1339="","",IF($AN1339=1,0,IF($AM1339=1,Settings!$C$6,Settings!$C$7))*100)</f>
        <v/>
      </c>
      <c r="AF1339" s="7" t="n"/>
      <c r="AI1339" s="11" t="n"/>
      <c r="AK1339">
        <f>IF($D1339="","",IF(COUNTIF($D$2:$D1339,$D1339)=1,1,0))</f>
        <v/>
      </c>
      <c r="AL1339">
        <f>IF($AK1339=1,SUMPRODUCT(--($AO$2:$AO$1501&lt;$AO1339))+1,"")</f>
        <v/>
      </c>
      <c r="AM1339">
        <f>IF($D1339="","",IF(OR($R1339=TRUE(),$R1339="TRUE"),1,0))</f>
        <v/>
      </c>
      <c r="AN1339">
        <f>IF($D1339="","",IF($AA1339="Yes",1,0))</f>
        <v/>
      </c>
      <c r="AO1339">
        <f>IF($AK1339=1,IFERROR(IF(VALUE($D1339)&lt;100000000,VALUE($D1339),1000000000),IFERROR(IF(VALUE(MID($D1339,2,20))&lt;100000000,VALUE(MID($D1339,2,20)),1000000000),1000000000))+ROW()/100000,"")</f>
        <v/>
      </c>
    </row>
    <row r="1340">
      <c r="F1340" s="11" t="n"/>
      <c r="N1340" s="7">
        <f>IF($D1340="","",M1340*V1340/100)</f>
        <v/>
      </c>
      <c r="O1340" s="7" t="n"/>
      <c r="U1340" s="7" t="n"/>
      <c r="V1340" s="7" t="n"/>
      <c r="W1340" s="7">
        <f>IF($D1340="","",V1340*AB1340/100)</f>
        <v/>
      </c>
      <c r="X1340" s="7">
        <f>IF($D1340="","",V1340-W1340)</f>
        <v/>
      </c>
      <c r="Y1340" s="7">
        <f>IF($D1340="","",X1340-N1340)</f>
        <v/>
      </c>
      <c r="AB1340">
        <f>IF($D1340="","",IF($AN1340=1,0,IF($AM1340=1,Settings!$C$6,Settings!$C$7))*100)</f>
        <v/>
      </c>
      <c r="AF1340" s="7" t="n"/>
      <c r="AI1340" s="11" t="n"/>
      <c r="AK1340">
        <f>IF($D1340="","",IF(COUNTIF($D$2:$D1340,$D1340)=1,1,0))</f>
        <v/>
      </c>
      <c r="AL1340">
        <f>IF($AK1340=1,SUMPRODUCT(--($AO$2:$AO$1501&lt;$AO1340))+1,"")</f>
        <v/>
      </c>
      <c r="AM1340">
        <f>IF($D1340="","",IF(OR($R1340=TRUE(),$R1340="TRUE"),1,0))</f>
        <v/>
      </c>
      <c r="AN1340">
        <f>IF($D1340="","",IF($AA1340="Yes",1,0))</f>
        <v/>
      </c>
      <c r="AO1340">
        <f>IF($AK1340=1,IFERROR(IF(VALUE($D1340)&lt;100000000,VALUE($D1340),1000000000),IFERROR(IF(VALUE(MID($D1340,2,20))&lt;100000000,VALUE(MID($D1340,2,20)),1000000000),1000000000))+ROW()/100000,"")</f>
        <v/>
      </c>
    </row>
    <row r="1341">
      <c r="F1341" s="11" t="n"/>
      <c r="N1341" s="7">
        <f>IF($D1341="","",M1341*V1341/100)</f>
        <v/>
      </c>
      <c r="O1341" s="7" t="n"/>
      <c r="U1341" s="7" t="n"/>
      <c r="V1341" s="7" t="n"/>
      <c r="W1341" s="7">
        <f>IF($D1341="","",V1341*AB1341/100)</f>
        <v/>
      </c>
      <c r="X1341" s="7">
        <f>IF($D1341="","",V1341-W1341)</f>
        <v/>
      </c>
      <c r="Y1341" s="7">
        <f>IF($D1341="","",X1341-N1341)</f>
        <v/>
      </c>
      <c r="AB1341">
        <f>IF($D1341="","",IF($AN1341=1,0,IF($AM1341=1,Settings!$C$6,Settings!$C$7))*100)</f>
        <v/>
      </c>
      <c r="AF1341" s="7" t="n"/>
      <c r="AI1341" s="11" t="n"/>
      <c r="AK1341">
        <f>IF($D1341="","",IF(COUNTIF($D$2:$D1341,$D1341)=1,1,0))</f>
        <v/>
      </c>
      <c r="AL1341">
        <f>IF($AK1341=1,SUMPRODUCT(--($AO$2:$AO$1501&lt;$AO1341))+1,"")</f>
        <v/>
      </c>
      <c r="AM1341">
        <f>IF($D1341="","",IF(OR($R1341=TRUE(),$R1341="TRUE"),1,0))</f>
        <v/>
      </c>
      <c r="AN1341">
        <f>IF($D1341="","",IF($AA1341="Yes",1,0))</f>
        <v/>
      </c>
      <c r="AO1341">
        <f>IF($AK1341=1,IFERROR(IF(VALUE($D1341)&lt;100000000,VALUE($D1341),1000000000),IFERROR(IF(VALUE(MID($D1341,2,20))&lt;100000000,VALUE(MID($D1341,2,20)),1000000000),1000000000))+ROW()/100000,"")</f>
        <v/>
      </c>
    </row>
    <row r="1342">
      <c r="F1342" s="11" t="n"/>
      <c r="N1342" s="7">
        <f>IF($D1342="","",M1342*V1342/100)</f>
        <v/>
      </c>
      <c r="O1342" s="7" t="n"/>
      <c r="U1342" s="7" t="n"/>
      <c r="V1342" s="7" t="n"/>
      <c r="W1342" s="7">
        <f>IF($D1342="","",V1342*AB1342/100)</f>
        <v/>
      </c>
      <c r="X1342" s="7">
        <f>IF($D1342="","",V1342-W1342)</f>
        <v/>
      </c>
      <c r="Y1342" s="7">
        <f>IF($D1342="","",X1342-N1342)</f>
        <v/>
      </c>
      <c r="AB1342">
        <f>IF($D1342="","",IF($AN1342=1,0,IF($AM1342=1,Settings!$C$6,Settings!$C$7))*100)</f>
        <v/>
      </c>
      <c r="AF1342" s="7" t="n"/>
      <c r="AI1342" s="11" t="n"/>
      <c r="AK1342">
        <f>IF($D1342="","",IF(COUNTIF($D$2:$D1342,$D1342)=1,1,0))</f>
        <v/>
      </c>
      <c r="AL1342">
        <f>IF($AK1342=1,SUMPRODUCT(--($AO$2:$AO$1501&lt;$AO1342))+1,"")</f>
        <v/>
      </c>
      <c r="AM1342">
        <f>IF($D1342="","",IF(OR($R1342=TRUE(),$R1342="TRUE"),1,0))</f>
        <v/>
      </c>
      <c r="AN1342">
        <f>IF($D1342="","",IF($AA1342="Yes",1,0))</f>
        <v/>
      </c>
      <c r="AO1342">
        <f>IF($AK1342=1,IFERROR(IF(VALUE($D1342)&lt;100000000,VALUE($D1342),1000000000),IFERROR(IF(VALUE(MID($D1342,2,20))&lt;100000000,VALUE(MID($D1342,2,20)),1000000000),1000000000))+ROW()/100000,"")</f>
        <v/>
      </c>
    </row>
    <row r="1343">
      <c r="F1343" s="11" t="n"/>
      <c r="N1343" s="7">
        <f>IF($D1343="","",M1343*V1343/100)</f>
        <v/>
      </c>
      <c r="O1343" s="7" t="n"/>
      <c r="U1343" s="7" t="n"/>
      <c r="V1343" s="7" t="n"/>
      <c r="W1343" s="7">
        <f>IF($D1343="","",V1343*AB1343/100)</f>
        <v/>
      </c>
      <c r="X1343" s="7">
        <f>IF($D1343="","",V1343-W1343)</f>
        <v/>
      </c>
      <c r="Y1343" s="7">
        <f>IF($D1343="","",X1343-N1343)</f>
        <v/>
      </c>
      <c r="AB1343">
        <f>IF($D1343="","",IF($AN1343=1,0,IF($AM1343=1,Settings!$C$6,Settings!$C$7))*100)</f>
        <v/>
      </c>
      <c r="AF1343" s="7" t="n"/>
      <c r="AI1343" s="11" t="n"/>
      <c r="AK1343">
        <f>IF($D1343="","",IF(COUNTIF($D$2:$D1343,$D1343)=1,1,0))</f>
        <v/>
      </c>
      <c r="AL1343">
        <f>IF($AK1343=1,SUMPRODUCT(--($AO$2:$AO$1501&lt;$AO1343))+1,"")</f>
        <v/>
      </c>
      <c r="AM1343">
        <f>IF($D1343="","",IF(OR($R1343=TRUE(),$R1343="TRUE"),1,0))</f>
        <v/>
      </c>
      <c r="AN1343">
        <f>IF($D1343="","",IF($AA1343="Yes",1,0))</f>
        <v/>
      </c>
      <c r="AO1343">
        <f>IF($AK1343=1,IFERROR(IF(VALUE($D1343)&lt;100000000,VALUE($D1343),1000000000),IFERROR(IF(VALUE(MID($D1343,2,20))&lt;100000000,VALUE(MID($D1343,2,20)),1000000000),1000000000))+ROW()/100000,"")</f>
        <v/>
      </c>
    </row>
    <row r="1344">
      <c r="F1344" s="11" t="n"/>
      <c r="N1344" s="7">
        <f>IF($D1344="","",M1344*V1344/100)</f>
        <v/>
      </c>
      <c r="O1344" s="7" t="n"/>
      <c r="U1344" s="7" t="n"/>
      <c r="V1344" s="7" t="n"/>
      <c r="W1344" s="7">
        <f>IF($D1344="","",V1344*AB1344/100)</f>
        <v/>
      </c>
      <c r="X1344" s="7">
        <f>IF($D1344="","",V1344-W1344)</f>
        <v/>
      </c>
      <c r="Y1344" s="7">
        <f>IF($D1344="","",X1344-N1344)</f>
        <v/>
      </c>
      <c r="AB1344">
        <f>IF($D1344="","",IF($AN1344=1,0,IF($AM1344=1,Settings!$C$6,Settings!$C$7))*100)</f>
        <v/>
      </c>
      <c r="AF1344" s="7" t="n"/>
      <c r="AI1344" s="11" t="n"/>
      <c r="AK1344">
        <f>IF($D1344="","",IF(COUNTIF($D$2:$D1344,$D1344)=1,1,0))</f>
        <v/>
      </c>
      <c r="AL1344">
        <f>IF($AK1344=1,SUMPRODUCT(--($AO$2:$AO$1501&lt;$AO1344))+1,"")</f>
        <v/>
      </c>
      <c r="AM1344">
        <f>IF($D1344="","",IF(OR($R1344=TRUE(),$R1344="TRUE"),1,0))</f>
        <v/>
      </c>
      <c r="AN1344">
        <f>IF($D1344="","",IF($AA1344="Yes",1,0))</f>
        <v/>
      </c>
      <c r="AO1344">
        <f>IF($AK1344=1,IFERROR(IF(VALUE($D1344)&lt;100000000,VALUE($D1344),1000000000),IFERROR(IF(VALUE(MID($D1344,2,20))&lt;100000000,VALUE(MID($D1344,2,20)),1000000000),1000000000))+ROW()/100000,"")</f>
        <v/>
      </c>
    </row>
    <row r="1345">
      <c r="F1345" s="11" t="n"/>
      <c r="N1345" s="7">
        <f>IF($D1345="","",M1345*V1345/100)</f>
        <v/>
      </c>
      <c r="O1345" s="7" t="n"/>
      <c r="U1345" s="7" t="n"/>
      <c r="V1345" s="7" t="n"/>
      <c r="W1345" s="7">
        <f>IF($D1345="","",V1345*AB1345/100)</f>
        <v/>
      </c>
      <c r="X1345" s="7">
        <f>IF($D1345="","",V1345-W1345)</f>
        <v/>
      </c>
      <c r="Y1345" s="7">
        <f>IF($D1345="","",X1345-N1345)</f>
        <v/>
      </c>
      <c r="AB1345">
        <f>IF($D1345="","",IF($AN1345=1,0,IF($AM1345=1,Settings!$C$6,Settings!$C$7))*100)</f>
        <v/>
      </c>
      <c r="AF1345" s="7" t="n"/>
      <c r="AI1345" s="11" t="n"/>
      <c r="AK1345">
        <f>IF($D1345="","",IF(COUNTIF($D$2:$D1345,$D1345)=1,1,0))</f>
        <v/>
      </c>
      <c r="AL1345">
        <f>IF($AK1345=1,SUMPRODUCT(--($AO$2:$AO$1501&lt;$AO1345))+1,"")</f>
        <v/>
      </c>
      <c r="AM1345">
        <f>IF($D1345="","",IF(OR($R1345=TRUE(),$R1345="TRUE"),1,0))</f>
        <v/>
      </c>
      <c r="AN1345">
        <f>IF($D1345="","",IF($AA1345="Yes",1,0))</f>
        <v/>
      </c>
      <c r="AO1345">
        <f>IF($AK1345=1,IFERROR(IF(VALUE($D1345)&lt;100000000,VALUE($D1345),1000000000),IFERROR(IF(VALUE(MID($D1345,2,20))&lt;100000000,VALUE(MID($D1345,2,20)),1000000000),1000000000))+ROW()/100000,"")</f>
        <v/>
      </c>
    </row>
    <row r="1346">
      <c r="F1346" s="11" t="n"/>
      <c r="N1346" s="7">
        <f>IF($D1346="","",M1346*V1346/100)</f>
        <v/>
      </c>
      <c r="O1346" s="7" t="n"/>
      <c r="U1346" s="7" t="n"/>
      <c r="V1346" s="7" t="n"/>
      <c r="W1346" s="7">
        <f>IF($D1346="","",V1346*AB1346/100)</f>
        <v/>
      </c>
      <c r="X1346" s="7">
        <f>IF($D1346="","",V1346-W1346)</f>
        <v/>
      </c>
      <c r="Y1346" s="7">
        <f>IF($D1346="","",X1346-N1346)</f>
        <v/>
      </c>
      <c r="AB1346">
        <f>IF($D1346="","",IF($AN1346=1,0,IF($AM1346=1,Settings!$C$6,Settings!$C$7))*100)</f>
        <v/>
      </c>
      <c r="AF1346" s="7" t="n"/>
      <c r="AI1346" s="11" t="n"/>
      <c r="AK1346">
        <f>IF($D1346="","",IF(COUNTIF($D$2:$D1346,$D1346)=1,1,0))</f>
        <v/>
      </c>
      <c r="AL1346">
        <f>IF($AK1346=1,SUMPRODUCT(--($AO$2:$AO$1501&lt;$AO1346))+1,"")</f>
        <v/>
      </c>
      <c r="AM1346">
        <f>IF($D1346="","",IF(OR($R1346=TRUE(),$R1346="TRUE"),1,0))</f>
        <v/>
      </c>
      <c r="AN1346">
        <f>IF($D1346="","",IF($AA1346="Yes",1,0))</f>
        <v/>
      </c>
      <c r="AO1346">
        <f>IF($AK1346=1,IFERROR(IF(VALUE($D1346)&lt;100000000,VALUE($D1346),1000000000),IFERROR(IF(VALUE(MID($D1346,2,20))&lt;100000000,VALUE(MID($D1346,2,20)),1000000000),1000000000))+ROW()/100000,"")</f>
        <v/>
      </c>
    </row>
    <row r="1347">
      <c r="F1347" s="11" t="n"/>
      <c r="N1347" s="7">
        <f>IF($D1347="","",M1347*V1347/100)</f>
        <v/>
      </c>
      <c r="O1347" s="7" t="n"/>
      <c r="U1347" s="7" t="n"/>
      <c r="V1347" s="7" t="n"/>
      <c r="W1347" s="7">
        <f>IF($D1347="","",V1347*AB1347/100)</f>
        <v/>
      </c>
      <c r="X1347" s="7">
        <f>IF($D1347="","",V1347-W1347)</f>
        <v/>
      </c>
      <c r="Y1347" s="7">
        <f>IF($D1347="","",X1347-N1347)</f>
        <v/>
      </c>
      <c r="AB1347">
        <f>IF($D1347="","",IF($AN1347=1,0,IF($AM1347=1,Settings!$C$6,Settings!$C$7))*100)</f>
        <v/>
      </c>
      <c r="AF1347" s="7" t="n"/>
      <c r="AI1347" s="11" t="n"/>
      <c r="AK1347">
        <f>IF($D1347="","",IF(COUNTIF($D$2:$D1347,$D1347)=1,1,0))</f>
        <v/>
      </c>
      <c r="AL1347">
        <f>IF($AK1347=1,SUMPRODUCT(--($AO$2:$AO$1501&lt;$AO1347))+1,"")</f>
        <v/>
      </c>
      <c r="AM1347">
        <f>IF($D1347="","",IF(OR($R1347=TRUE(),$R1347="TRUE"),1,0))</f>
        <v/>
      </c>
      <c r="AN1347">
        <f>IF($D1347="","",IF($AA1347="Yes",1,0))</f>
        <v/>
      </c>
      <c r="AO1347">
        <f>IF($AK1347=1,IFERROR(IF(VALUE($D1347)&lt;100000000,VALUE($D1347),1000000000),IFERROR(IF(VALUE(MID($D1347,2,20))&lt;100000000,VALUE(MID($D1347,2,20)),1000000000),1000000000))+ROW()/100000,"")</f>
        <v/>
      </c>
    </row>
    <row r="1348">
      <c r="F1348" s="11" t="n"/>
      <c r="N1348" s="7">
        <f>IF($D1348="","",M1348*V1348/100)</f>
        <v/>
      </c>
      <c r="O1348" s="7" t="n"/>
      <c r="U1348" s="7" t="n"/>
      <c r="V1348" s="7" t="n"/>
      <c r="W1348" s="7">
        <f>IF($D1348="","",V1348*AB1348/100)</f>
        <v/>
      </c>
      <c r="X1348" s="7">
        <f>IF($D1348="","",V1348-W1348)</f>
        <v/>
      </c>
      <c r="Y1348" s="7">
        <f>IF($D1348="","",X1348-N1348)</f>
        <v/>
      </c>
      <c r="AB1348">
        <f>IF($D1348="","",IF($AN1348=1,0,IF($AM1348=1,Settings!$C$6,Settings!$C$7))*100)</f>
        <v/>
      </c>
      <c r="AF1348" s="7" t="n"/>
      <c r="AI1348" s="11" t="n"/>
      <c r="AK1348">
        <f>IF($D1348="","",IF(COUNTIF($D$2:$D1348,$D1348)=1,1,0))</f>
        <v/>
      </c>
      <c r="AL1348">
        <f>IF($AK1348=1,SUMPRODUCT(--($AO$2:$AO$1501&lt;$AO1348))+1,"")</f>
        <v/>
      </c>
      <c r="AM1348">
        <f>IF($D1348="","",IF(OR($R1348=TRUE(),$R1348="TRUE"),1,0))</f>
        <v/>
      </c>
      <c r="AN1348">
        <f>IF($D1348="","",IF($AA1348="Yes",1,0))</f>
        <v/>
      </c>
      <c r="AO1348">
        <f>IF($AK1348=1,IFERROR(IF(VALUE($D1348)&lt;100000000,VALUE($D1348),1000000000),IFERROR(IF(VALUE(MID($D1348,2,20))&lt;100000000,VALUE(MID($D1348,2,20)),1000000000),1000000000))+ROW()/100000,"")</f>
        <v/>
      </c>
    </row>
    <row r="1349">
      <c r="F1349" s="11" t="n"/>
      <c r="N1349" s="7">
        <f>IF($D1349="","",M1349*V1349/100)</f>
        <v/>
      </c>
      <c r="O1349" s="7" t="n"/>
      <c r="U1349" s="7" t="n"/>
      <c r="V1349" s="7" t="n"/>
      <c r="W1349" s="7">
        <f>IF($D1349="","",V1349*AB1349/100)</f>
        <v/>
      </c>
      <c r="X1349" s="7">
        <f>IF($D1349="","",V1349-W1349)</f>
        <v/>
      </c>
      <c r="Y1349" s="7">
        <f>IF($D1349="","",X1349-N1349)</f>
        <v/>
      </c>
      <c r="AB1349">
        <f>IF($D1349="","",IF($AN1349=1,0,IF($AM1349=1,Settings!$C$6,Settings!$C$7))*100)</f>
        <v/>
      </c>
      <c r="AF1349" s="7" t="n"/>
      <c r="AI1349" s="11" t="n"/>
      <c r="AK1349">
        <f>IF($D1349="","",IF(COUNTIF($D$2:$D1349,$D1349)=1,1,0))</f>
        <v/>
      </c>
      <c r="AL1349">
        <f>IF($AK1349=1,SUMPRODUCT(--($AO$2:$AO$1501&lt;$AO1349))+1,"")</f>
        <v/>
      </c>
      <c r="AM1349">
        <f>IF($D1349="","",IF(OR($R1349=TRUE(),$R1349="TRUE"),1,0))</f>
        <v/>
      </c>
      <c r="AN1349">
        <f>IF($D1349="","",IF($AA1349="Yes",1,0))</f>
        <v/>
      </c>
      <c r="AO1349">
        <f>IF($AK1349=1,IFERROR(IF(VALUE($D1349)&lt;100000000,VALUE($D1349),1000000000),IFERROR(IF(VALUE(MID($D1349,2,20))&lt;100000000,VALUE(MID($D1349,2,20)),1000000000),1000000000))+ROW()/100000,"")</f>
        <v/>
      </c>
    </row>
    <row r="1350">
      <c r="F1350" s="11" t="n"/>
      <c r="N1350" s="7">
        <f>IF($D1350="","",M1350*V1350/100)</f>
        <v/>
      </c>
      <c r="O1350" s="7" t="n"/>
      <c r="U1350" s="7" t="n"/>
      <c r="V1350" s="7" t="n"/>
      <c r="W1350" s="7">
        <f>IF($D1350="","",V1350*AB1350/100)</f>
        <v/>
      </c>
      <c r="X1350" s="7">
        <f>IF($D1350="","",V1350-W1350)</f>
        <v/>
      </c>
      <c r="Y1350" s="7">
        <f>IF($D1350="","",X1350-N1350)</f>
        <v/>
      </c>
      <c r="AB1350">
        <f>IF($D1350="","",IF($AN1350=1,0,IF($AM1350=1,Settings!$C$6,Settings!$C$7))*100)</f>
        <v/>
      </c>
      <c r="AF1350" s="7" t="n"/>
      <c r="AI1350" s="11" t="n"/>
      <c r="AK1350">
        <f>IF($D1350="","",IF(COUNTIF($D$2:$D1350,$D1350)=1,1,0))</f>
        <v/>
      </c>
      <c r="AL1350">
        <f>IF($AK1350=1,SUMPRODUCT(--($AO$2:$AO$1501&lt;$AO1350))+1,"")</f>
        <v/>
      </c>
      <c r="AM1350">
        <f>IF($D1350="","",IF(OR($R1350=TRUE(),$R1350="TRUE"),1,0))</f>
        <v/>
      </c>
      <c r="AN1350">
        <f>IF($D1350="","",IF($AA1350="Yes",1,0))</f>
        <v/>
      </c>
      <c r="AO1350">
        <f>IF($AK1350=1,IFERROR(IF(VALUE($D1350)&lt;100000000,VALUE($D1350),1000000000),IFERROR(IF(VALUE(MID($D1350,2,20))&lt;100000000,VALUE(MID($D1350,2,20)),1000000000),1000000000))+ROW()/100000,"")</f>
        <v/>
      </c>
    </row>
    <row r="1351">
      <c r="F1351" s="11" t="n"/>
      <c r="N1351" s="7">
        <f>IF($D1351="","",M1351*V1351/100)</f>
        <v/>
      </c>
      <c r="O1351" s="7" t="n"/>
      <c r="U1351" s="7" t="n"/>
      <c r="V1351" s="7" t="n"/>
      <c r="W1351" s="7">
        <f>IF($D1351="","",V1351*AB1351/100)</f>
        <v/>
      </c>
      <c r="X1351" s="7">
        <f>IF($D1351="","",V1351-W1351)</f>
        <v/>
      </c>
      <c r="Y1351" s="7">
        <f>IF($D1351="","",X1351-N1351)</f>
        <v/>
      </c>
      <c r="AB1351">
        <f>IF($D1351="","",IF($AN1351=1,0,IF($AM1351=1,Settings!$C$6,Settings!$C$7))*100)</f>
        <v/>
      </c>
      <c r="AF1351" s="7" t="n"/>
      <c r="AI1351" s="11" t="n"/>
      <c r="AK1351">
        <f>IF($D1351="","",IF(COUNTIF($D$2:$D1351,$D1351)=1,1,0))</f>
        <v/>
      </c>
      <c r="AL1351">
        <f>IF($AK1351=1,SUMPRODUCT(--($AO$2:$AO$1501&lt;$AO1351))+1,"")</f>
        <v/>
      </c>
      <c r="AM1351">
        <f>IF($D1351="","",IF(OR($R1351=TRUE(),$R1351="TRUE"),1,0))</f>
        <v/>
      </c>
      <c r="AN1351">
        <f>IF($D1351="","",IF($AA1351="Yes",1,0))</f>
        <v/>
      </c>
      <c r="AO1351">
        <f>IF($AK1351=1,IFERROR(IF(VALUE($D1351)&lt;100000000,VALUE($D1351),1000000000),IFERROR(IF(VALUE(MID($D1351,2,20))&lt;100000000,VALUE(MID($D1351,2,20)),1000000000),1000000000))+ROW()/100000,"")</f>
        <v/>
      </c>
    </row>
    <row r="1352">
      <c r="F1352" s="11" t="n"/>
      <c r="N1352" s="7">
        <f>IF($D1352="","",M1352*V1352/100)</f>
        <v/>
      </c>
      <c r="O1352" s="7" t="n"/>
      <c r="U1352" s="7" t="n"/>
      <c r="V1352" s="7" t="n"/>
      <c r="W1352" s="7">
        <f>IF($D1352="","",V1352*AB1352/100)</f>
        <v/>
      </c>
      <c r="X1352" s="7">
        <f>IF($D1352="","",V1352-W1352)</f>
        <v/>
      </c>
      <c r="Y1352" s="7">
        <f>IF($D1352="","",X1352-N1352)</f>
        <v/>
      </c>
      <c r="AB1352">
        <f>IF($D1352="","",IF($AN1352=1,0,IF($AM1352=1,Settings!$C$6,Settings!$C$7))*100)</f>
        <v/>
      </c>
      <c r="AF1352" s="7" t="n"/>
      <c r="AI1352" s="11" t="n"/>
      <c r="AK1352">
        <f>IF($D1352="","",IF(COUNTIF($D$2:$D1352,$D1352)=1,1,0))</f>
        <v/>
      </c>
      <c r="AL1352">
        <f>IF($AK1352=1,SUMPRODUCT(--($AO$2:$AO$1501&lt;$AO1352))+1,"")</f>
        <v/>
      </c>
      <c r="AM1352">
        <f>IF($D1352="","",IF(OR($R1352=TRUE(),$R1352="TRUE"),1,0))</f>
        <v/>
      </c>
      <c r="AN1352">
        <f>IF($D1352="","",IF($AA1352="Yes",1,0))</f>
        <v/>
      </c>
      <c r="AO1352">
        <f>IF($AK1352=1,IFERROR(IF(VALUE($D1352)&lt;100000000,VALUE($D1352),1000000000),IFERROR(IF(VALUE(MID($D1352,2,20))&lt;100000000,VALUE(MID($D1352,2,20)),1000000000),1000000000))+ROW()/100000,"")</f>
        <v/>
      </c>
    </row>
    <row r="1353">
      <c r="F1353" s="11" t="n"/>
      <c r="N1353" s="7">
        <f>IF($D1353="","",M1353*V1353/100)</f>
        <v/>
      </c>
      <c r="O1353" s="7" t="n"/>
      <c r="U1353" s="7" t="n"/>
      <c r="V1353" s="7" t="n"/>
      <c r="W1353" s="7">
        <f>IF($D1353="","",V1353*AB1353/100)</f>
        <v/>
      </c>
      <c r="X1353" s="7">
        <f>IF($D1353="","",V1353-W1353)</f>
        <v/>
      </c>
      <c r="Y1353" s="7">
        <f>IF($D1353="","",X1353-N1353)</f>
        <v/>
      </c>
      <c r="AB1353">
        <f>IF($D1353="","",IF($AN1353=1,0,IF($AM1353=1,Settings!$C$6,Settings!$C$7))*100)</f>
        <v/>
      </c>
      <c r="AF1353" s="7" t="n"/>
      <c r="AI1353" s="11" t="n"/>
      <c r="AK1353">
        <f>IF($D1353="","",IF(COUNTIF($D$2:$D1353,$D1353)=1,1,0))</f>
        <v/>
      </c>
      <c r="AL1353">
        <f>IF($AK1353=1,SUMPRODUCT(--($AO$2:$AO$1501&lt;$AO1353))+1,"")</f>
        <v/>
      </c>
      <c r="AM1353">
        <f>IF($D1353="","",IF(OR($R1353=TRUE(),$R1353="TRUE"),1,0))</f>
        <v/>
      </c>
      <c r="AN1353">
        <f>IF($D1353="","",IF($AA1353="Yes",1,0))</f>
        <v/>
      </c>
      <c r="AO1353">
        <f>IF($AK1353=1,IFERROR(IF(VALUE($D1353)&lt;100000000,VALUE($D1353),1000000000),IFERROR(IF(VALUE(MID($D1353,2,20))&lt;100000000,VALUE(MID($D1353,2,20)),1000000000),1000000000))+ROW()/100000,"")</f>
        <v/>
      </c>
    </row>
    <row r="1354">
      <c r="F1354" s="11" t="n"/>
      <c r="N1354" s="7">
        <f>IF($D1354="","",M1354*V1354/100)</f>
        <v/>
      </c>
      <c r="O1354" s="7" t="n"/>
      <c r="U1354" s="7" t="n"/>
      <c r="V1354" s="7" t="n"/>
      <c r="W1354" s="7">
        <f>IF($D1354="","",V1354*AB1354/100)</f>
        <v/>
      </c>
      <c r="X1354" s="7">
        <f>IF($D1354="","",V1354-W1354)</f>
        <v/>
      </c>
      <c r="Y1354" s="7">
        <f>IF($D1354="","",X1354-N1354)</f>
        <v/>
      </c>
      <c r="AB1354">
        <f>IF($D1354="","",IF($AN1354=1,0,IF($AM1354=1,Settings!$C$6,Settings!$C$7))*100)</f>
        <v/>
      </c>
      <c r="AF1354" s="7" t="n"/>
      <c r="AI1354" s="11" t="n"/>
      <c r="AK1354">
        <f>IF($D1354="","",IF(COUNTIF($D$2:$D1354,$D1354)=1,1,0))</f>
        <v/>
      </c>
      <c r="AL1354">
        <f>IF($AK1354=1,SUMPRODUCT(--($AO$2:$AO$1501&lt;$AO1354))+1,"")</f>
        <v/>
      </c>
      <c r="AM1354">
        <f>IF($D1354="","",IF(OR($R1354=TRUE(),$R1354="TRUE"),1,0))</f>
        <v/>
      </c>
      <c r="AN1354">
        <f>IF($D1354="","",IF($AA1354="Yes",1,0))</f>
        <v/>
      </c>
      <c r="AO1354">
        <f>IF($AK1354=1,IFERROR(IF(VALUE($D1354)&lt;100000000,VALUE($D1354),1000000000),IFERROR(IF(VALUE(MID($D1354,2,20))&lt;100000000,VALUE(MID($D1354,2,20)),1000000000),1000000000))+ROW()/100000,"")</f>
        <v/>
      </c>
    </row>
    <row r="1355">
      <c r="F1355" s="11" t="n"/>
      <c r="N1355" s="7">
        <f>IF($D1355="","",M1355*V1355/100)</f>
        <v/>
      </c>
      <c r="O1355" s="7" t="n"/>
      <c r="U1355" s="7" t="n"/>
      <c r="V1355" s="7" t="n"/>
      <c r="W1355" s="7">
        <f>IF($D1355="","",V1355*AB1355/100)</f>
        <v/>
      </c>
      <c r="X1355" s="7">
        <f>IF($D1355="","",V1355-W1355)</f>
        <v/>
      </c>
      <c r="Y1355" s="7">
        <f>IF($D1355="","",X1355-N1355)</f>
        <v/>
      </c>
      <c r="AB1355">
        <f>IF($D1355="","",IF($AN1355=1,0,IF($AM1355=1,Settings!$C$6,Settings!$C$7))*100)</f>
        <v/>
      </c>
      <c r="AF1355" s="7" t="n"/>
      <c r="AI1355" s="11" t="n"/>
      <c r="AK1355">
        <f>IF($D1355="","",IF(COUNTIF($D$2:$D1355,$D1355)=1,1,0))</f>
        <v/>
      </c>
      <c r="AL1355">
        <f>IF($AK1355=1,SUMPRODUCT(--($AO$2:$AO$1501&lt;$AO1355))+1,"")</f>
        <v/>
      </c>
      <c r="AM1355">
        <f>IF($D1355="","",IF(OR($R1355=TRUE(),$R1355="TRUE"),1,0))</f>
        <v/>
      </c>
      <c r="AN1355">
        <f>IF($D1355="","",IF($AA1355="Yes",1,0))</f>
        <v/>
      </c>
      <c r="AO1355">
        <f>IF($AK1355=1,IFERROR(IF(VALUE($D1355)&lt;100000000,VALUE($D1355),1000000000),IFERROR(IF(VALUE(MID($D1355,2,20))&lt;100000000,VALUE(MID($D1355,2,20)),1000000000),1000000000))+ROW()/100000,"")</f>
        <v/>
      </c>
    </row>
    <row r="1356">
      <c r="F1356" s="11" t="n"/>
      <c r="N1356" s="7">
        <f>IF($D1356="","",M1356*V1356/100)</f>
        <v/>
      </c>
      <c r="O1356" s="7" t="n"/>
      <c r="U1356" s="7" t="n"/>
      <c r="V1356" s="7" t="n"/>
      <c r="W1356" s="7">
        <f>IF($D1356="","",V1356*AB1356/100)</f>
        <v/>
      </c>
      <c r="X1356" s="7">
        <f>IF($D1356="","",V1356-W1356)</f>
        <v/>
      </c>
      <c r="Y1356" s="7">
        <f>IF($D1356="","",X1356-N1356)</f>
        <v/>
      </c>
      <c r="AB1356">
        <f>IF($D1356="","",IF($AN1356=1,0,IF($AM1356=1,Settings!$C$6,Settings!$C$7))*100)</f>
        <v/>
      </c>
      <c r="AF1356" s="7" t="n"/>
      <c r="AI1356" s="11" t="n"/>
      <c r="AK1356">
        <f>IF($D1356="","",IF(COUNTIF($D$2:$D1356,$D1356)=1,1,0))</f>
        <v/>
      </c>
      <c r="AL1356">
        <f>IF($AK1356=1,SUMPRODUCT(--($AO$2:$AO$1501&lt;$AO1356))+1,"")</f>
        <v/>
      </c>
      <c r="AM1356">
        <f>IF($D1356="","",IF(OR($R1356=TRUE(),$R1356="TRUE"),1,0))</f>
        <v/>
      </c>
      <c r="AN1356">
        <f>IF($D1356="","",IF($AA1356="Yes",1,0))</f>
        <v/>
      </c>
      <c r="AO1356">
        <f>IF($AK1356=1,IFERROR(IF(VALUE($D1356)&lt;100000000,VALUE($D1356),1000000000),IFERROR(IF(VALUE(MID($D1356,2,20))&lt;100000000,VALUE(MID($D1356,2,20)),1000000000),1000000000))+ROW()/100000,"")</f>
        <v/>
      </c>
    </row>
    <row r="1357">
      <c r="F1357" s="11" t="n"/>
      <c r="N1357" s="7">
        <f>IF($D1357="","",M1357*V1357/100)</f>
        <v/>
      </c>
      <c r="O1357" s="7" t="n"/>
      <c r="U1357" s="7" t="n"/>
      <c r="V1357" s="7" t="n"/>
      <c r="W1357" s="7">
        <f>IF($D1357="","",V1357*AB1357/100)</f>
        <v/>
      </c>
      <c r="X1357" s="7">
        <f>IF($D1357="","",V1357-W1357)</f>
        <v/>
      </c>
      <c r="Y1357" s="7">
        <f>IF($D1357="","",X1357-N1357)</f>
        <v/>
      </c>
      <c r="AB1357">
        <f>IF($D1357="","",IF($AN1357=1,0,IF($AM1357=1,Settings!$C$6,Settings!$C$7))*100)</f>
        <v/>
      </c>
      <c r="AF1357" s="7" t="n"/>
      <c r="AI1357" s="11" t="n"/>
      <c r="AK1357">
        <f>IF($D1357="","",IF(COUNTIF($D$2:$D1357,$D1357)=1,1,0))</f>
        <v/>
      </c>
      <c r="AL1357">
        <f>IF($AK1357=1,SUMPRODUCT(--($AO$2:$AO$1501&lt;$AO1357))+1,"")</f>
        <v/>
      </c>
      <c r="AM1357">
        <f>IF($D1357="","",IF(OR($R1357=TRUE(),$R1357="TRUE"),1,0))</f>
        <v/>
      </c>
      <c r="AN1357">
        <f>IF($D1357="","",IF($AA1357="Yes",1,0))</f>
        <v/>
      </c>
      <c r="AO1357">
        <f>IF($AK1357=1,IFERROR(IF(VALUE($D1357)&lt;100000000,VALUE($D1357),1000000000),IFERROR(IF(VALUE(MID($D1357,2,20))&lt;100000000,VALUE(MID($D1357,2,20)),1000000000),1000000000))+ROW()/100000,"")</f>
        <v/>
      </c>
    </row>
    <row r="1358">
      <c r="F1358" s="11" t="n"/>
      <c r="N1358" s="7">
        <f>IF($D1358="","",M1358*V1358/100)</f>
        <v/>
      </c>
      <c r="O1358" s="7" t="n"/>
      <c r="U1358" s="7" t="n"/>
      <c r="V1358" s="7" t="n"/>
      <c r="W1358" s="7">
        <f>IF($D1358="","",V1358*AB1358/100)</f>
        <v/>
      </c>
      <c r="X1358" s="7">
        <f>IF($D1358="","",V1358-W1358)</f>
        <v/>
      </c>
      <c r="Y1358" s="7">
        <f>IF($D1358="","",X1358-N1358)</f>
        <v/>
      </c>
      <c r="AB1358">
        <f>IF($D1358="","",IF($AN1358=1,0,IF($AM1358=1,Settings!$C$6,Settings!$C$7))*100)</f>
        <v/>
      </c>
      <c r="AF1358" s="7" t="n"/>
      <c r="AI1358" s="11" t="n"/>
      <c r="AK1358">
        <f>IF($D1358="","",IF(COUNTIF($D$2:$D1358,$D1358)=1,1,0))</f>
        <v/>
      </c>
      <c r="AL1358">
        <f>IF($AK1358=1,SUMPRODUCT(--($AO$2:$AO$1501&lt;$AO1358))+1,"")</f>
        <v/>
      </c>
      <c r="AM1358">
        <f>IF($D1358="","",IF(OR($R1358=TRUE(),$R1358="TRUE"),1,0))</f>
        <v/>
      </c>
      <c r="AN1358">
        <f>IF($D1358="","",IF($AA1358="Yes",1,0))</f>
        <v/>
      </c>
      <c r="AO1358">
        <f>IF($AK1358=1,IFERROR(IF(VALUE($D1358)&lt;100000000,VALUE($D1358),1000000000),IFERROR(IF(VALUE(MID($D1358,2,20))&lt;100000000,VALUE(MID($D1358,2,20)),1000000000),1000000000))+ROW()/100000,"")</f>
        <v/>
      </c>
    </row>
    <row r="1359">
      <c r="F1359" s="11" t="n"/>
      <c r="N1359" s="7">
        <f>IF($D1359="","",M1359*V1359/100)</f>
        <v/>
      </c>
      <c r="O1359" s="7" t="n"/>
      <c r="U1359" s="7" t="n"/>
      <c r="V1359" s="7" t="n"/>
      <c r="W1359" s="7">
        <f>IF($D1359="","",V1359*AB1359/100)</f>
        <v/>
      </c>
      <c r="X1359" s="7">
        <f>IF($D1359="","",V1359-W1359)</f>
        <v/>
      </c>
      <c r="Y1359" s="7">
        <f>IF($D1359="","",X1359-N1359)</f>
        <v/>
      </c>
      <c r="AB1359">
        <f>IF($D1359="","",IF($AN1359=1,0,IF($AM1359=1,Settings!$C$6,Settings!$C$7))*100)</f>
        <v/>
      </c>
      <c r="AF1359" s="7" t="n"/>
      <c r="AI1359" s="11" t="n"/>
      <c r="AK1359">
        <f>IF($D1359="","",IF(COUNTIF($D$2:$D1359,$D1359)=1,1,0))</f>
        <v/>
      </c>
      <c r="AL1359">
        <f>IF($AK1359=1,SUMPRODUCT(--($AO$2:$AO$1501&lt;$AO1359))+1,"")</f>
        <v/>
      </c>
      <c r="AM1359">
        <f>IF($D1359="","",IF(OR($R1359=TRUE(),$R1359="TRUE"),1,0))</f>
        <v/>
      </c>
      <c r="AN1359">
        <f>IF($D1359="","",IF($AA1359="Yes",1,0))</f>
        <v/>
      </c>
      <c r="AO1359">
        <f>IF($AK1359=1,IFERROR(IF(VALUE($D1359)&lt;100000000,VALUE($D1359),1000000000),IFERROR(IF(VALUE(MID($D1359,2,20))&lt;100000000,VALUE(MID($D1359,2,20)),1000000000),1000000000))+ROW()/100000,"")</f>
        <v/>
      </c>
    </row>
    <row r="1360">
      <c r="F1360" s="11" t="n"/>
      <c r="N1360" s="7">
        <f>IF($D1360="","",M1360*V1360/100)</f>
        <v/>
      </c>
      <c r="O1360" s="7" t="n"/>
      <c r="U1360" s="7" t="n"/>
      <c r="V1360" s="7" t="n"/>
      <c r="W1360" s="7">
        <f>IF($D1360="","",V1360*AB1360/100)</f>
        <v/>
      </c>
      <c r="X1360" s="7">
        <f>IF($D1360="","",V1360-W1360)</f>
        <v/>
      </c>
      <c r="Y1360" s="7">
        <f>IF($D1360="","",X1360-N1360)</f>
        <v/>
      </c>
      <c r="AB1360">
        <f>IF($D1360="","",IF($AN1360=1,0,IF($AM1360=1,Settings!$C$6,Settings!$C$7))*100)</f>
        <v/>
      </c>
      <c r="AF1360" s="7" t="n"/>
      <c r="AI1360" s="11" t="n"/>
      <c r="AK1360">
        <f>IF($D1360="","",IF(COUNTIF($D$2:$D1360,$D1360)=1,1,0))</f>
        <v/>
      </c>
      <c r="AL1360">
        <f>IF($AK1360=1,SUMPRODUCT(--($AO$2:$AO$1501&lt;$AO1360))+1,"")</f>
        <v/>
      </c>
      <c r="AM1360">
        <f>IF($D1360="","",IF(OR($R1360=TRUE(),$R1360="TRUE"),1,0))</f>
        <v/>
      </c>
      <c r="AN1360">
        <f>IF($D1360="","",IF($AA1360="Yes",1,0))</f>
        <v/>
      </c>
      <c r="AO1360">
        <f>IF($AK1360=1,IFERROR(IF(VALUE($D1360)&lt;100000000,VALUE($D1360),1000000000),IFERROR(IF(VALUE(MID($D1360,2,20))&lt;100000000,VALUE(MID($D1360,2,20)),1000000000),1000000000))+ROW()/100000,"")</f>
        <v/>
      </c>
    </row>
    <row r="1361">
      <c r="F1361" s="11" t="n"/>
      <c r="N1361" s="7">
        <f>IF($D1361="","",M1361*V1361/100)</f>
        <v/>
      </c>
      <c r="O1361" s="7" t="n"/>
      <c r="U1361" s="7" t="n"/>
      <c r="V1361" s="7" t="n"/>
      <c r="W1361" s="7">
        <f>IF($D1361="","",V1361*AB1361/100)</f>
        <v/>
      </c>
      <c r="X1361" s="7">
        <f>IF($D1361="","",V1361-W1361)</f>
        <v/>
      </c>
      <c r="Y1361" s="7">
        <f>IF($D1361="","",X1361-N1361)</f>
        <v/>
      </c>
      <c r="AB1361">
        <f>IF($D1361="","",IF($AN1361=1,0,IF($AM1361=1,Settings!$C$6,Settings!$C$7))*100)</f>
        <v/>
      </c>
      <c r="AF1361" s="7" t="n"/>
      <c r="AI1361" s="11" t="n"/>
      <c r="AK1361">
        <f>IF($D1361="","",IF(COUNTIF($D$2:$D1361,$D1361)=1,1,0))</f>
        <v/>
      </c>
      <c r="AL1361">
        <f>IF($AK1361=1,SUMPRODUCT(--($AO$2:$AO$1501&lt;$AO1361))+1,"")</f>
        <v/>
      </c>
      <c r="AM1361">
        <f>IF($D1361="","",IF(OR($R1361=TRUE(),$R1361="TRUE"),1,0))</f>
        <v/>
      </c>
      <c r="AN1361">
        <f>IF($D1361="","",IF($AA1361="Yes",1,0))</f>
        <v/>
      </c>
      <c r="AO1361">
        <f>IF($AK1361=1,IFERROR(IF(VALUE($D1361)&lt;100000000,VALUE($D1361),1000000000),IFERROR(IF(VALUE(MID($D1361,2,20))&lt;100000000,VALUE(MID($D1361,2,20)),1000000000),1000000000))+ROW()/100000,"")</f>
        <v/>
      </c>
    </row>
    <row r="1362">
      <c r="F1362" s="11" t="n"/>
      <c r="N1362" s="7">
        <f>IF($D1362="","",M1362*V1362/100)</f>
        <v/>
      </c>
      <c r="O1362" s="7" t="n"/>
      <c r="U1362" s="7" t="n"/>
      <c r="V1362" s="7" t="n"/>
      <c r="W1362" s="7">
        <f>IF($D1362="","",V1362*AB1362/100)</f>
        <v/>
      </c>
      <c r="X1362" s="7">
        <f>IF($D1362="","",V1362-W1362)</f>
        <v/>
      </c>
      <c r="Y1362" s="7">
        <f>IF($D1362="","",X1362-N1362)</f>
        <v/>
      </c>
      <c r="AB1362">
        <f>IF($D1362="","",IF($AN1362=1,0,IF($AM1362=1,Settings!$C$6,Settings!$C$7))*100)</f>
        <v/>
      </c>
      <c r="AF1362" s="7" t="n"/>
      <c r="AI1362" s="11" t="n"/>
      <c r="AK1362">
        <f>IF($D1362="","",IF(COUNTIF($D$2:$D1362,$D1362)=1,1,0))</f>
        <v/>
      </c>
      <c r="AL1362">
        <f>IF($AK1362=1,SUMPRODUCT(--($AO$2:$AO$1501&lt;$AO1362))+1,"")</f>
        <v/>
      </c>
      <c r="AM1362">
        <f>IF($D1362="","",IF(OR($R1362=TRUE(),$R1362="TRUE"),1,0))</f>
        <v/>
      </c>
      <c r="AN1362">
        <f>IF($D1362="","",IF($AA1362="Yes",1,0))</f>
        <v/>
      </c>
      <c r="AO1362">
        <f>IF($AK1362=1,IFERROR(IF(VALUE($D1362)&lt;100000000,VALUE($D1362),1000000000),IFERROR(IF(VALUE(MID($D1362,2,20))&lt;100000000,VALUE(MID($D1362,2,20)),1000000000),1000000000))+ROW()/100000,"")</f>
        <v/>
      </c>
    </row>
    <row r="1363">
      <c r="F1363" s="11" t="n"/>
      <c r="N1363" s="7">
        <f>IF($D1363="","",M1363*V1363/100)</f>
        <v/>
      </c>
      <c r="O1363" s="7" t="n"/>
      <c r="U1363" s="7" t="n"/>
      <c r="V1363" s="7" t="n"/>
      <c r="W1363" s="7">
        <f>IF($D1363="","",V1363*AB1363/100)</f>
        <v/>
      </c>
      <c r="X1363" s="7">
        <f>IF($D1363="","",V1363-W1363)</f>
        <v/>
      </c>
      <c r="Y1363" s="7">
        <f>IF($D1363="","",X1363-N1363)</f>
        <v/>
      </c>
      <c r="AB1363">
        <f>IF($D1363="","",IF($AN1363=1,0,IF($AM1363=1,Settings!$C$6,Settings!$C$7))*100)</f>
        <v/>
      </c>
      <c r="AF1363" s="7" t="n"/>
      <c r="AI1363" s="11" t="n"/>
      <c r="AK1363">
        <f>IF($D1363="","",IF(COUNTIF($D$2:$D1363,$D1363)=1,1,0))</f>
        <v/>
      </c>
      <c r="AL1363">
        <f>IF($AK1363=1,SUMPRODUCT(--($AO$2:$AO$1501&lt;$AO1363))+1,"")</f>
        <v/>
      </c>
      <c r="AM1363">
        <f>IF($D1363="","",IF(OR($R1363=TRUE(),$R1363="TRUE"),1,0))</f>
        <v/>
      </c>
      <c r="AN1363">
        <f>IF($D1363="","",IF($AA1363="Yes",1,0))</f>
        <v/>
      </c>
      <c r="AO1363">
        <f>IF($AK1363=1,IFERROR(IF(VALUE($D1363)&lt;100000000,VALUE($D1363),1000000000),IFERROR(IF(VALUE(MID($D1363,2,20))&lt;100000000,VALUE(MID($D1363,2,20)),1000000000),1000000000))+ROW()/100000,"")</f>
        <v/>
      </c>
    </row>
    <row r="1364">
      <c r="F1364" s="11" t="n"/>
      <c r="N1364" s="7">
        <f>IF($D1364="","",M1364*V1364/100)</f>
        <v/>
      </c>
      <c r="O1364" s="7" t="n"/>
      <c r="U1364" s="7" t="n"/>
      <c r="V1364" s="7" t="n"/>
      <c r="W1364" s="7">
        <f>IF($D1364="","",V1364*AB1364/100)</f>
        <v/>
      </c>
      <c r="X1364" s="7">
        <f>IF($D1364="","",V1364-W1364)</f>
        <v/>
      </c>
      <c r="Y1364" s="7">
        <f>IF($D1364="","",X1364-N1364)</f>
        <v/>
      </c>
      <c r="AB1364">
        <f>IF($D1364="","",IF($AN1364=1,0,IF($AM1364=1,Settings!$C$6,Settings!$C$7))*100)</f>
        <v/>
      </c>
      <c r="AF1364" s="7" t="n"/>
      <c r="AI1364" s="11" t="n"/>
      <c r="AK1364">
        <f>IF($D1364="","",IF(COUNTIF($D$2:$D1364,$D1364)=1,1,0))</f>
        <v/>
      </c>
      <c r="AL1364">
        <f>IF($AK1364=1,SUMPRODUCT(--($AO$2:$AO$1501&lt;$AO1364))+1,"")</f>
        <v/>
      </c>
      <c r="AM1364">
        <f>IF($D1364="","",IF(OR($R1364=TRUE(),$R1364="TRUE"),1,0))</f>
        <v/>
      </c>
      <c r="AN1364">
        <f>IF($D1364="","",IF($AA1364="Yes",1,0))</f>
        <v/>
      </c>
      <c r="AO1364">
        <f>IF($AK1364=1,IFERROR(IF(VALUE($D1364)&lt;100000000,VALUE($D1364),1000000000),IFERROR(IF(VALUE(MID($D1364,2,20))&lt;100000000,VALUE(MID($D1364,2,20)),1000000000),1000000000))+ROW()/100000,"")</f>
        <v/>
      </c>
    </row>
    <row r="1365">
      <c r="F1365" s="11" t="n"/>
      <c r="N1365" s="7">
        <f>IF($D1365="","",M1365*V1365/100)</f>
        <v/>
      </c>
      <c r="O1365" s="7" t="n"/>
      <c r="U1365" s="7" t="n"/>
      <c r="V1365" s="7" t="n"/>
      <c r="W1365" s="7">
        <f>IF($D1365="","",V1365*AB1365/100)</f>
        <v/>
      </c>
      <c r="X1365" s="7">
        <f>IF($D1365="","",V1365-W1365)</f>
        <v/>
      </c>
      <c r="Y1365" s="7">
        <f>IF($D1365="","",X1365-N1365)</f>
        <v/>
      </c>
      <c r="AB1365">
        <f>IF($D1365="","",IF($AN1365=1,0,IF($AM1365=1,Settings!$C$6,Settings!$C$7))*100)</f>
        <v/>
      </c>
      <c r="AF1365" s="7" t="n"/>
      <c r="AI1365" s="11" t="n"/>
      <c r="AK1365">
        <f>IF($D1365="","",IF(COUNTIF($D$2:$D1365,$D1365)=1,1,0))</f>
        <v/>
      </c>
      <c r="AL1365">
        <f>IF($AK1365=1,SUMPRODUCT(--($AO$2:$AO$1501&lt;$AO1365))+1,"")</f>
        <v/>
      </c>
      <c r="AM1365">
        <f>IF($D1365="","",IF(OR($R1365=TRUE(),$R1365="TRUE"),1,0))</f>
        <v/>
      </c>
      <c r="AN1365">
        <f>IF($D1365="","",IF($AA1365="Yes",1,0))</f>
        <v/>
      </c>
      <c r="AO1365">
        <f>IF($AK1365=1,IFERROR(IF(VALUE($D1365)&lt;100000000,VALUE($D1365),1000000000),IFERROR(IF(VALUE(MID($D1365,2,20))&lt;100000000,VALUE(MID($D1365,2,20)),1000000000),1000000000))+ROW()/100000,"")</f>
        <v/>
      </c>
    </row>
    <row r="1366">
      <c r="F1366" s="11" t="n"/>
      <c r="N1366" s="7">
        <f>IF($D1366="","",M1366*V1366/100)</f>
        <v/>
      </c>
      <c r="O1366" s="7" t="n"/>
      <c r="U1366" s="7" t="n"/>
      <c r="V1366" s="7" t="n"/>
      <c r="W1366" s="7">
        <f>IF($D1366="","",V1366*AB1366/100)</f>
        <v/>
      </c>
      <c r="X1366" s="7">
        <f>IF($D1366="","",V1366-W1366)</f>
        <v/>
      </c>
      <c r="Y1366" s="7">
        <f>IF($D1366="","",X1366-N1366)</f>
        <v/>
      </c>
      <c r="AB1366">
        <f>IF($D1366="","",IF($AN1366=1,0,IF($AM1366=1,Settings!$C$6,Settings!$C$7))*100)</f>
        <v/>
      </c>
      <c r="AF1366" s="7" t="n"/>
      <c r="AI1366" s="11" t="n"/>
      <c r="AK1366">
        <f>IF($D1366="","",IF(COUNTIF($D$2:$D1366,$D1366)=1,1,0))</f>
        <v/>
      </c>
      <c r="AL1366">
        <f>IF($AK1366=1,SUMPRODUCT(--($AO$2:$AO$1501&lt;$AO1366))+1,"")</f>
        <v/>
      </c>
      <c r="AM1366">
        <f>IF($D1366="","",IF(OR($R1366=TRUE(),$R1366="TRUE"),1,0))</f>
        <v/>
      </c>
      <c r="AN1366">
        <f>IF($D1366="","",IF($AA1366="Yes",1,0))</f>
        <v/>
      </c>
      <c r="AO1366">
        <f>IF($AK1366=1,IFERROR(IF(VALUE($D1366)&lt;100000000,VALUE($D1366),1000000000),IFERROR(IF(VALUE(MID($D1366,2,20))&lt;100000000,VALUE(MID($D1366,2,20)),1000000000),1000000000))+ROW()/100000,"")</f>
        <v/>
      </c>
    </row>
    <row r="1367">
      <c r="F1367" s="11" t="n"/>
      <c r="N1367" s="7">
        <f>IF($D1367="","",M1367*V1367/100)</f>
        <v/>
      </c>
      <c r="O1367" s="7" t="n"/>
      <c r="U1367" s="7" t="n"/>
      <c r="V1367" s="7" t="n"/>
      <c r="W1367" s="7">
        <f>IF($D1367="","",V1367*AB1367/100)</f>
        <v/>
      </c>
      <c r="X1367" s="7">
        <f>IF($D1367="","",V1367-W1367)</f>
        <v/>
      </c>
      <c r="Y1367" s="7">
        <f>IF($D1367="","",X1367-N1367)</f>
        <v/>
      </c>
      <c r="AB1367">
        <f>IF($D1367="","",IF($AN1367=1,0,IF($AM1367=1,Settings!$C$6,Settings!$C$7))*100)</f>
        <v/>
      </c>
      <c r="AF1367" s="7" t="n"/>
      <c r="AI1367" s="11" t="n"/>
      <c r="AK1367">
        <f>IF($D1367="","",IF(COUNTIF($D$2:$D1367,$D1367)=1,1,0))</f>
        <v/>
      </c>
      <c r="AL1367">
        <f>IF($AK1367=1,SUMPRODUCT(--($AO$2:$AO$1501&lt;$AO1367))+1,"")</f>
        <v/>
      </c>
      <c r="AM1367">
        <f>IF($D1367="","",IF(OR($R1367=TRUE(),$R1367="TRUE"),1,0))</f>
        <v/>
      </c>
      <c r="AN1367">
        <f>IF($D1367="","",IF($AA1367="Yes",1,0))</f>
        <v/>
      </c>
      <c r="AO1367">
        <f>IF($AK1367=1,IFERROR(IF(VALUE($D1367)&lt;100000000,VALUE($D1367),1000000000),IFERROR(IF(VALUE(MID($D1367,2,20))&lt;100000000,VALUE(MID($D1367,2,20)),1000000000),1000000000))+ROW()/100000,"")</f>
        <v/>
      </c>
    </row>
    <row r="1368">
      <c r="F1368" s="11" t="n"/>
      <c r="N1368" s="7">
        <f>IF($D1368="","",M1368*V1368/100)</f>
        <v/>
      </c>
      <c r="O1368" s="7" t="n"/>
      <c r="U1368" s="7" t="n"/>
      <c r="V1368" s="7" t="n"/>
      <c r="W1368" s="7">
        <f>IF($D1368="","",V1368*AB1368/100)</f>
        <v/>
      </c>
      <c r="X1368" s="7">
        <f>IF($D1368="","",V1368-W1368)</f>
        <v/>
      </c>
      <c r="Y1368" s="7">
        <f>IF($D1368="","",X1368-N1368)</f>
        <v/>
      </c>
      <c r="AB1368">
        <f>IF($D1368="","",IF($AN1368=1,0,IF($AM1368=1,Settings!$C$6,Settings!$C$7))*100)</f>
        <v/>
      </c>
      <c r="AF1368" s="7" t="n"/>
      <c r="AI1368" s="11" t="n"/>
      <c r="AK1368">
        <f>IF($D1368="","",IF(COUNTIF($D$2:$D1368,$D1368)=1,1,0))</f>
        <v/>
      </c>
      <c r="AL1368">
        <f>IF($AK1368=1,SUMPRODUCT(--($AO$2:$AO$1501&lt;$AO1368))+1,"")</f>
        <v/>
      </c>
      <c r="AM1368">
        <f>IF($D1368="","",IF(OR($R1368=TRUE(),$R1368="TRUE"),1,0))</f>
        <v/>
      </c>
      <c r="AN1368">
        <f>IF($D1368="","",IF($AA1368="Yes",1,0))</f>
        <v/>
      </c>
      <c r="AO1368">
        <f>IF($AK1368=1,IFERROR(IF(VALUE($D1368)&lt;100000000,VALUE($D1368),1000000000),IFERROR(IF(VALUE(MID($D1368,2,20))&lt;100000000,VALUE(MID($D1368,2,20)),1000000000),1000000000))+ROW()/100000,"")</f>
        <v/>
      </c>
    </row>
    <row r="1369">
      <c r="F1369" s="11" t="n"/>
      <c r="N1369" s="7">
        <f>IF($D1369="","",M1369*V1369/100)</f>
        <v/>
      </c>
      <c r="O1369" s="7" t="n"/>
      <c r="U1369" s="7" t="n"/>
      <c r="V1369" s="7" t="n"/>
      <c r="W1369" s="7">
        <f>IF($D1369="","",V1369*AB1369/100)</f>
        <v/>
      </c>
      <c r="X1369" s="7">
        <f>IF($D1369="","",V1369-W1369)</f>
        <v/>
      </c>
      <c r="Y1369" s="7">
        <f>IF($D1369="","",X1369-N1369)</f>
        <v/>
      </c>
      <c r="AB1369">
        <f>IF($D1369="","",IF($AN1369=1,0,IF($AM1369=1,Settings!$C$6,Settings!$C$7))*100)</f>
        <v/>
      </c>
      <c r="AF1369" s="7" t="n"/>
      <c r="AI1369" s="11" t="n"/>
      <c r="AK1369">
        <f>IF($D1369="","",IF(COUNTIF($D$2:$D1369,$D1369)=1,1,0))</f>
        <v/>
      </c>
      <c r="AL1369">
        <f>IF($AK1369=1,SUMPRODUCT(--($AO$2:$AO$1501&lt;$AO1369))+1,"")</f>
        <v/>
      </c>
      <c r="AM1369">
        <f>IF($D1369="","",IF(OR($R1369=TRUE(),$R1369="TRUE"),1,0))</f>
        <v/>
      </c>
      <c r="AN1369">
        <f>IF($D1369="","",IF($AA1369="Yes",1,0))</f>
        <v/>
      </c>
      <c r="AO1369">
        <f>IF($AK1369=1,IFERROR(IF(VALUE($D1369)&lt;100000000,VALUE($D1369),1000000000),IFERROR(IF(VALUE(MID($D1369,2,20))&lt;100000000,VALUE(MID($D1369,2,20)),1000000000),1000000000))+ROW()/100000,"")</f>
        <v/>
      </c>
    </row>
    <row r="1370">
      <c r="F1370" s="11" t="n"/>
      <c r="N1370" s="7">
        <f>IF($D1370="","",M1370*V1370/100)</f>
        <v/>
      </c>
      <c r="O1370" s="7" t="n"/>
      <c r="U1370" s="7" t="n"/>
      <c r="V1370" s="7" t="n"/>
      <c r="W1370" s="7">
        <f>IF($D1370="","",V1370*AB1370/100)</f>
        <v/>
      </c>
      <c r="X1370" s="7">
        <f>IF($D1370="","",V1370-W1370)</f>
        <v/>
      </c>
      <c r="Y1370" s="7">
        <f>IF($D1370="","",X1370-N1370)</f>
        <v/>
      </c>
      <c r="AB1370">
        <f>IF($D1370="","",IF($AN1370=1,0,IF($AM1370=1,Settings!$C$6,Settings!$C$7))*100)</f>
        <v/>
      </c>
      <c r="AF1370" s="7" t="n"/>
      <c r="AI1370" s="11" t="n"/>
      <c r="AK1370">
        <f>IF($D1370="","",IF(COUNTIF($D$2:$D1370,$D1370)=1,1,0))</f>
        <v/>
      </c>
      <c r="AL1370">
        <f>IF($AK1370=1,SUMPRODUCT(--($AO$2:$AO$1501&lt;$AO1370))+1,"")</f>
        <v/>
      </c>
      <c r="AM1370">
        <f>IF($D1370="","",IF(OR($R1370=TRUE(),$R1370="TRUE"),1,0))</f>
        <v/>
      </c>
      <c r="AN1370">
        <f>IF($D1370="","",IF($AA1370="Yes",1,0))</f>
        <v/>
      </c>
      <c r="AO1370">
        <f>IF($AK1370=1,IFERROR(IF(VALUE($D1370)&lt;100000000,VALUE($D1370),1000000000),IFERROR(IF(VALUE(MID($D1370,2,20))&lt;100000000,VALUE(MID($D1370,2,20)),1000000000),1000000000))+ROW()/100000,"")</f>
        <v/>
      </c>
    </row>
    <row r="1371">
      <c r="F1371" s="11" t="n"/>
      <c r="N1371" s="7">
        <f>IF($D1371="","",M1371*V1371/100)</f>
        <v/>
      </c>
      <c r="O1371" s="7" t="n"/>
      <c r="U1371" s="7" t="n"/>
      <c r="V1371" s="7" t="n"/>
      <c r="W1371" s="7">
        <f>IF($D1371="","",V1371*AB1371/100)</f>
        <v/>
      </c>
      <c r="X1371" s="7">
        <f>IF($D1371="","",V1371-W1371)</f>
        <v/>
      </c>
      <c r="Y1371" s="7">
        <f>IF($D1371="","",X1371-N1371)</f>
        <v/>
      </c>
      <c r="AB1371">
        <f>IF($D1371="","",IF($AN1371=1,0,IF($AM1371=1,Settings!$C$6,Settings!$C$7))*100)</f>
        <v/>
      </c>
      <c r="AF1371" s="7" t="n"/>
      <c r="AI1371" s="11" t="n"/>
      <c r="AK1371">
        <f>IF($D1371="","",IF(COUNTIF($D$2:$D1371,$D1371)=1,1,0))</f>
        <v/>
      </c>
      <c r="AL1371">
        <f>IF($AK1371=1,SUMPRODUCT(--($AO$2:$AO$1501&lt;$AO1371))+1,"")</f>
        <v/>
      </c>
      <c r="AM1371">
        <f>IF($D1371="","",IF(OR($R1371=TRUE(),$R1371="TRUE"),1,0))</f>
        <v/>
      </c>
      <c r="AN1371">
        <f>IF($D1371="","",IF($AA1371="Yes",1,0))</f>
        <v/>
      </c>
      <c r="AO1371">
        <f>IF($AK1371=1,IFERROR(IF(VALUE($D1371)&lt;100000000,VALUE($D1371),1000000000),IFERROR(IF(VALUE(MID($D1371,2,20))&lt;100000000,VALUE(MID($D1371,2,20)),1000000000),1000000000))+ROW()/100000,"")</f>
        <v/>
      </c>
    </row>
    <row r="1372">
      <c r="F1372" s="11" t="n"/>
      <c r="N1372" s="7">
        <f>IF($D1372="","",M1372*V1372/100)</f>
        <v/>
      </c>
      <c r="O1372" s="7" t="n"/>
      <c r="U1372" s="7" t="n"/>
      <c r="V1372" s="7" t="n"/>
      <c r="W1372" s="7">
        <f>IF($D1372="","",V1372*AB1372/100)</f>
        <v/>
      </c>
      <c r="X1372" s="7">
        <f>IF($D1372="","",V1372-W1372)</f>
        <v/>
      </c>
      <c r="Y1372" s="7">
        <f>IF($D1372="","",X1372-N1372)</f>
        <v/>
      </c>
      <c r="AB1372">
        <f>IF($D1372="","",IF($AN1372=1,0,IF($AM1372=1,Settings!$C$6,Settings!$C$7))*100)</f>
        <v/>
      </c>
      <c r="AF1372" s="7" t="n"/>
      <c r="AI1372" s="11" t="n"/>
      <c r="AK1372">
        <f>IF($D1372="","",IF(COUNTIF($D$2:$D1372,$D1372)=1,1,0))</f>
        <v/>
      </c>
      <c r="AL1372">
        <f>IF($AK1372=1,SUMPRODUCT(--($AO$2:$AO$1501&lt;$AO1372))+1,"")</f>
        <v/>
      </c>
      <c r="AM1372">
        <f>IF($D1372="","",IF(OR($R1372=TRUE(),$R1372="TRUE"),1,0))</f>
        <v/>
      </c>
      <c r="AN1372">
        <f>IF($D1372="","",IF($AA1372="Yes",1,0))</f>
        <v/>
      </c>
      <c r="AO1372">
        <f>IF($AK1372=1,IFERROR(IF(VALUE($D1372)&lt;100000000,VALUE($D1372),1000000000),IFERROR(IF(VALUE(MID($D1372,2,20))&lt;100000000,VALUE(MID($D1372,2,20)),1000000000),1000000000))+ROW()/100000,"")</f>
        <v/>
      </c>
    </row>
    <row r="1373">
      <c r="F1373" s="11" t="n"/>
      <c r="N1373" s="7">
        <f>IF($D1373="","",M1373*V1373/100)</f>
        <v/>
      </c>
      <c r="O1373" s="7" t="n"/>
      <c r="U1373" s="7" t="n"/>
      <c r="V1373" s="7" t="n"/>
      <c r="W1373" s="7">
        <f>IF($D1373="","",V1373*AB1373/100)</f>
        <v/>
      </c>
      <c r="X1373" s="7">
        <f>IF($D1373="","",V1373-W1373)</f>
        <v/>
      </c>
      <c r="Y1373" s="7">
        <f>IF($D1373="","",X1373-N1373)</f>
        <v/>
      </c>
      <c r="AB1373">
        <f>IF($D1373="","",IF($AN1373=1,0,IF($AM1373=1,Settings!$C$6,Settings!$C$7))*100)</f>
        <v/>
      </c>
      <c r="AF1373" s="7" t="n"/>
      <c r="AI1373" s="11" t="n"/>
      <c r="AK1373">
        <f>IF($D1373="","",IF(COUNTIF($D$2:$D1373,$D1373)=1,1,0))</f>
        <v/>
      </c>
      <c r="AL1373">
        <f>IF($AK1373=1,SUMPRODUCT(--($AO$2:$AO$1501&lt;$AO1373))+1,"")</f>
        <v/>
      </c>
      <c r="AM1373">
        <f>IF($D1373="","",IF(OR($R1373=TRUE(),$R1373="TRUE"),1,0))</f>
        <v/>
      </c>
      <c r="AN1373">
        <f>IF($D1373="","",IF($AA1373="Yes",1,0))</f>
        <v/>
      </c>
      <c r="AO1373">
        <f>IF($AK1373=1,IFERROR(IF(VALUE($D1373)&lt;100000000,VALUE($D1373),1000000000),IFERROR(IF(VALUE(MID($D1373,2,20))&lt;100000000,VALUE(MID($D1373,2,20)),1000000000),1000000000))+ROW()/100000,"")</f>
        <v/>
      </c>
    </row>
    <row r="1374">
      <c r="F1374" s="11" t="n"/>
      <c r="N1374" s="7">
        <f>IF($D1374="","",M1374*V1374/100)</f>
        <v/>
      </c>
      <c r="O1374" s="7" t="n"/>
      <c r="U1374" s="7" t="n"/>
      <c r="V1374" s="7" t="n"/>
      <c r="W1374" s="7">
        <f>IF($D1374="","",V1374*AB1374/100)</f>
        <v/>
      </c>
      <c r="X1374" s="7">
        <f>IF($D1374="","",V1374-W1374)</f>
        <v/>
      </c>
      <c r="Y1374" s="7">
        <f>IF($D1374="","",X1374-N1374)</f>
        <v/>
      </c>
      <c r="AB1374">
        <f>IF($D1374="","",IF($AN1374=1,0,IF($AM1374=1,Settings!$C$6,Settings!$C$7))*100)</f>
        <v/>
      </c>
      <c r="AF1374" s="7" t="n"/>
      <c r="AI1374" s="11" t="n"/>
      <c r="AK1374">
        <f>IF($D1374="","",IF(COUNTIF($D$2:$D1374,$D1374)=1,1,0))</f>
        <v/>
      </c>
      <c r="AL1374">
        <f>IF($AK1374=1,SUMPRODUCT(--($AO$2:$AO$1501&lt;$AO1374))+1,"")</f>
        <v/>
      </c>
      <c r="AM1374">
        <f>IF($D1374="","",IF(OR($R1374=TRUE(),$R1374="TRUE"),1,0))</f>
        <v/>
      </c>
      <c r="AN1374">
        <f>IF($D1374="","",IF($AA1374="Yes",1,0))</f>
        <v/>
      </c>
      <c r="AO1374">
        <f>IF($AK1374=1,IFERROR(IF(VALUE($D1374)&lt;100000000,VALUE($D1374),1000000000),IFERROR(IF(VALUE(MID($D1374,2,20))&lt;100000000,VALUE(MID($D1374,2,20)),1000000000),1000000000))+ROW()/100000,"")</f>
        <v/>
      </c>
    </row>
    <row r="1375">
      <c r="F1375" s="11" t="n"/>
      <c r="N1375" s="7">
        <f>IF($D1375="","",M1375*V1375/100)</f>
        <v/>
      </c>
      <c r="O1375" s="7" t="n"/>
      <c r="U1375" s="7" t="n"/>
      <c r="V1375" s="7" t="n"/>
      <c r="W1375" s="7">
        <f>IF($D1375="","",V1375*AB1375/100)</f>
        <v/>
      </c>
      <c r="X1375" s="7">
        <f>IF($D1375="","",V1375-W1375)</f>
        <v/>
      </c>
      <c r="Y1375" s="7">
        <f>IF($D1375="","",X1375-N1375)</f>
        <v/>
      </c>
      <c r="AB1375">
        <f>IF($D1375="","",IF($AN1375=1,0,IF($AM1375=1,Settings!$C$6,Settings!$C$7))*100)</f>
        <v/>
      </c>
      <c r="AF1375" s="7" t="n"/>
      <c r="AI1375" s="11" t="n"/>
      <c r="AK1375">
        <f>IF($D1375="","",IF(COUNTIF($D$2:$D1375,$D1375)=1,1,0))</f>
        <v/>
      </c>
      <c r="AL1375">
        <f>IF($AK1375=1,SUMPRODUCT(--($AO$2:$AO$1501&lt;$AO1375))+1,"")</f>
        <v/>
      </c>
      <c r="AM1375">
        <f>IF($D1375="","",IF(OR($R1375=TRUE(),$R1375="TRUE"),1,0))</f>
        <v/>
      </c>
      <c r="AN1375">
        <f>IF($D1375="","",IF($AA1375="Yes",1,0))</f>
        <v/>
      </c>
      <c r="AO1375">
        <f>IF($AK1375=1,IFERROR(IF(VALUE($D1375)&lt;100000000,VALUE($D1375),1000000000),IFERROR(IF(VALUE(MID($D1375,2,20))&lt;100000000,VALUE(MID($D1375,2,20)),1000000000),1000000000))+ROW()/100000,"")</f>
        <v/>
      </c>
    </row>
    <row r="1376">
      <c r="F1376" s="11" t="n"/>
      <c r="N1376" s="7">
        <f>IF($D1376="","",M1376*V1376/100)</f>
        <v/>
      </c>
      <c r="O1376" s="7" t="n"/>
      <c r="U1376" s="7" t="n"/>
      <c r="V1376" s="7" t="n"/>
      <c r="W1376" s="7">
        <f>IF($D1376="","",V1376*AB1376/100)</f>
        <v/>
      </c>
      <c r="X1376" s="7">
        <f>IF($D1376="","",V1376-W1376)</f>
        <v/>
      </c>
      <c r="Y1376" s="7">
        <f>IF($D1376="","",X1376-N1376)</f>
        <v/>
      </c>
      <c r="AB1376">
        <f>IF($D1376="","",IF($AN1376=1,0,IF($AM1376=1,Settings!$C$6,Settings!$C$7))*100)</f>
        <v/>
      </c>
      <c r="AF1376" s="7" t="n"/>
      <c r="AI1376" s="11" t="n"/>
      <c r="AK1376">
        <f>IF($D1376="","",IF(COUNTIF($D$2:$D1376,$D1376)=1,1,0))</f>
        <v/>
      </c>
      <c r="AL1376">
        <f>IF($AK1376=1,SUMPRODUCT(--($AO$2:$AO$1501&lt;$AO1376))+1,"")</f>
        <v/>
      </c>
      <c r="AM1376">
        <f>IF($D1376="","",IF(OR($R1376=TRUE(),$R1376="TRUE"),1,0))</f>
        <v/>
      </c>
      <c r="AN1376">
        <f>IF($D1376="","",IF($AA1376="Yes",1,0))</f>
        <v/>
      </c>
      <c r="AO1376">
        <f>IF($AK1376=1,IFERROR(IF(VALUE($D1376)&lt;100000000,VALUE($D1376),1000000000),IFERROR(IF(VALUE(MID($D1376,2,20))&lt;100000000,VALUE(MID($D1376,2,20)),1000000000),1000000000))+ROW()/100000,"")</f>
        <v/>
      </c>
    </row>
    <row r="1377">
      <c r="F1377" s="11" t="n"/>
      <c r="N1377" s="7">
        <f>IF($D1377="","",M1377*V1377/100)</f>
        <v/>
      </c>
      <c r="O1377" s="7" t="n"/>
      <c r="U1377" s="7" t="n"/>
      <c r="V1377" s="7" t="n"/>
      <c r="W1377" s="7">
        <f>IF($D1377="","",V1377*AB1377/100)</f>
        <v/>
      </c>
      <c r="X1377" s="7">
        <f>IF($D1377="","",V1377-W1377)</f>
        <v/>
      </c>
      <c r="Y1377" s="7">
        <f>IF($D1377="","",X1377-N1377)</f>
        <v/>
      </c>
      <c r="AB1377">
        <f>IF($D1377="","",IF($AN1377=1,0,IF($AM1377=1,Settings!$C$6,Settings!$C$7))*100)</f>
        <v/>
      </c>
      <c r="AF1377" s="7" t="n"/>
      <c r="AI1377" s="11" t="n"/>
      <c r="AK1377">
        <f>IF($D1377="","",IF(COUNTIF($D$2:$D1377,$D1377)=1,1,0))</f>
        <v/>
      </c>
      <c r="AL1377">
        <f>IF($AK1377=1,SUMPRODUCT(--($AO$2:$AO$1501&lt;$AO1377))+1,"")</f>
        <v/>
      </c>
      <c r="AM1377">
        <f>IF($D1377="","",IF(OR($R1377=TRUE(),$R1377="TRUE"),1,0))</f>
        <v/>
      </c>
      <c r="AN1377">
        <f>IF($D1377="","",IF($AA1377="Yes",1,0))</f>
        <v/>
      </c>
      <c r="AO1377">
        <f>IF($AK1377=1,IFERROR(IF(VALUE($D1377)&lt;100000000,VALUE($D1377),1000000000),IFERROR(IF(VALUE(MID($D1377,2,20))&lt;100000000,VALUE(MID($D1377,2,20)),1000000000),1000000000))+ROW()/100000,"")</f>
        <v/>
      </c>
    </row>
    <row r="1378">
      <c r="F1378" s="11" t="n"/>
      <c r="N1378" s="7">
        <f>IF($D1378="","",M1378*V1378/100)</f>
        <v/>
      </c>
      <c r="O1378" s="7" t="n"/>
      <c r="U1378" s="7" t="n"/>
      <c r="V1378" s="7" t="n"/>
      <c r="W1378" s="7">
        <f>IF($D1378="","",V1378*AB1378/100)</f>
        <v/>
      </c>
      <c r="X1378" s="7">
        <f>IF($D1378="","",V1378-W1378)</f>
        <v/>
      </c>
      <c r="Y1378" s="7">
        <f>IF($D1378="","",X1378-N1378)</f>
        <v/>
      </c>
      <c r="AB1378">
        <f>IF($D1378="","",IF($AN1378=1,0,IF($AM1378=1,Settings!$C$6,Settings!$C$7))*100)</f>
        <v/>
      </c>
      <c r="AF1378" s="7" t="n"/>
      <c r="AI1378" s="11" t="n"/>
      <c r="AK1378">
        <f>IF($D1378="","",IF(COUNTIF($D$2:$D1378,$D1378)=1,1,0))</f>
        <v/>
      </c>
      <c r="AL1378">
        <f>IF($AK1378=1,SUMPRODUCT(--($AO$2:$AO$1501&lt;$AO1378))+1,"")</f>
        <v/>
      </c>
      <c r="AM1378">
        <f>IF($D1378="","",IF(OR($R1378=TRUE(),$R1378="TRUE"),1,0))</f>
        <v/>
      </c>
      <c r="AN1378">
        <f>IF($D1378="","",IF($AA1378="Yes",1,0))</f>
        <v/>
      </c>
      <c r="AO1378">
        <f>IF($AK1378=1,IFERROR(IF(VALUE($D1378)&lt;100000000,VALUE($D1378),1000000000),IFERROR(IF(VALUE(MID($D1378,2,20))&lt;100000000,VALUE(MID($D1378,2,20)),1000000000),1000000000))+ROW()/100000,"")</f>
        <v/>
      </c>
    </row>
    <row r="1379">
      <c r="F1379" s="11" t="n"/>
      <c r="N1379" s="7">
        <f>IF($D1379="","",M1379*V1379/100)</f>
        <v/>
      </c>
      <c r="O1379" s="7" t="n"/>
      <c r="U1379" s="7" t="n"/>
      <c r="V1379" s="7" t="n"/>
      <c r="W1379" s="7">
        <f>IF($D1379="","",V1379*AB1379/100)</f>
        <v/>
      </c>
      <c r="X1379" s="7">
        <f>IF($D1379="","",V1379-W1379)</f>
        <v/>
      </c>
      <c r="Y1379" s="7">
        <f>IF($D1379="","",X1379-N1379)</f>
        <v/>
      </c>
      <c r="AB1379">
        <f>IF($D1379="","",IF($AN1379=1,0,IF($AM1379=1,Settings!$C$6,Settings!$C$7))*100)</f>
        <v/>
      </c>
      <c r="AF1379" s="7" t="n"/>
      <c r="AI1379" s="11" t="n"/>
      <c r="AK1379">
        <f>IF($D1379="","",IF(COUNTIF($D$2:$D1379,$D1379)=1,1,0))</f>
        <v/>
      </c>
      <c r="AL1379">
        <f>IF($AK1379=1,SUMPRODUCT(--($AO$2:$AO$1501&lt;$AO1379))+1,"")</f>
        <v/>
      </c>
      <c r="AM1379">
        <f>IF($D1379="","",IF(OR($R1379=TRUE(),$R1379="TRUE"),1,0))</f>
        <v/>
      </c>
      <c r="AN1379">
        <f>IF($D1379="","",IF($AA1379="Yes",1,0))</f>
        <v/>
      </c>
      <c r="AO1379">
        <f>IF($AK1379=1,IFERROR(IF(VALUE($D1379)&lt;100000000,VALUE($D1379),1000000000),IFERROR(IF(VALUE(MID($D1379,2,20))&lt;100000000,VALUE(MID($D1379,2,20)),1000000000),1000000000))+ROW()/100000,"")</f>
        <v/>
      </c>
    </row>
    <row r="1380">
      <c r="F1380" s="11" t="n"/>
      <c r="N1380" s="7">
        <f>IF($D1380="","",M1380*V1380/100)</f>
        <v/>
      </c>
      <c r="O1380" s="7" t="n"/>
      <c r="U1380" s="7" t="n"/>
      <c r="V1380" s="7" t="n"/>
      <c r="W1380" s="7">
        <f>IF($D1380="","",V1380*AB1380/100)</f>
        <v/>
      </c>
      <c r="X1380" s="7">
        <f>IF($D1380="","",V1380-W1380)</f>
        <v/>
      </c>
      <c r="Y1380" s="7">
        <f>IF($D1380="","",X1380-N1380)</f>
        <v/>
      </c>
      <c r="AB1380">
        <f>IF($D1380="","",IF($AN1380=1,0,IF($AM1380=1,Settings!$C$6,Settings!$C$7))*100)</f>
        <v/>
      </c>
      <c r="AF1380" s="7" t="n"/>
      <c r="AI1380" s="11" t="n"/>
      <c r="AK1380">
        <f>IF($D1380="","",IF(COUNTIF($D$2:$D1380,$D1380)=1,1,0))</f>
        <v/>
      </c>
      <c r="AL1380">
        <f>IF($AK1380=1,SUMPRODUCT(--($AO$2:$AO$1501&lt;$AO1380))+1,"")</f>
        <v/>
      </c>
      <c r="AM1380">
        <f>IF($D1380="","",IF(OR($R1380=TRUE(),$R1380="TRUE"),1,0))</f>
        <v/>
      </c>
      <c r="AN1380">
        <f>IF($D1380="","",IF($AA1380="Yes",1,0))</f>
        <v/>
      </c>
      <c r="AO1380">
        <f>IF($AK1380=1,IFERROR(IF(VALUE($D1380)&lt;100000000,VALUE($D1380),1000000000),IFERROR(IF(VALUE(MID($D1380,2,20))&lt;100000000,VALUE(MID($D1380,2,20)),1000000000),1000000000))+ROW()/100000,"")</f>
        <v/>
      </c>
    </row>
    <row r="1381">
      <c r="F1381" s="11" t="n"/>
      <c r="N1381" s="7">
        <f>IF($D1381="","",M1381*V1381/100)</f>
        <v/>
      </c>
      <c r="O1381" s="7" t="n"/>
      <c r="U1381" s="7" t="n"/>
      <c r="V1381" s="7" t="n"/>
      <c r="W1381" s="7">
        <f>IF($D1381="","",V1381*AB1381/100)</f>
        <v/>
      </c>
      <c r="X1381" s="7">
        <f>IF($D1381="","",V1381-W1381)</f>
        <v/>
      </c>
      <c r="Y1381" s="7">
        <f>IF($D1381="","",X1381-N1381)</f>
        <v/>
      </c>
      <c r="AB1381">
        <f>IF($D1381="","",IF($AN1381=1,0,IF($AM1381=1,Settings!$C$6,Settings!$C$7))*100)</f>
        <v/>
      </c>
      <c r="AF1381" s="7" t="n"/>
      <c r="AI1381" s="11" t="n"/>
      <c r="AK1381">
        <f>IF($D1381="","",IF(COUNTIF($D$2:$D1381,$D1381)=1,1,0))</f>
        <v/>
      </c>
      <c r="AL1381">
        <f>IF($AK1381=1,SUMPRODUCT(--($AO$2:$AO$1501&lt;$AO1381))+1,"")</f>
        <v/>
      </c>
      <c r="AM1381">
        <f>IF($D1381="","",IF(OR($R1381=TRUE(),$R1381="TRUE"),1,0))</f>
        <v/>
      </c>
      <c r="AN1381">
        <f>IF($D1381="","",IF($AA1381="Yes",1,0))</f>
        <v/>
      </c>
      <c r="AO1381">
        <f>IF($AK1381=1,IFERROR(IF(VALUE($D1381)&lt;100000000,VALUE($D1381),1000000000),IFERROR(IF(VALUE(MID($D1381,2,20))&lt;100000000,VALUE(MID($D1381,2,20)),1000000000),1000000000))+ROW()/100000,"")</f>
        <v/>
      </c>
    </row>
    <row r="1382">
      <c r="F1382" s="11" t="n"/>
      <c r="N1382" s="7">
        <f>IF($D1382="","",M1382*V1382/100)</f>
        <v/>
      </c>
      <c r="O1382" s="7" t="n"/>
      <c r="U1382" s="7" t="n"/>
      <c r="V1382" s="7" t="n"/>
      <c r="W1382" s="7">
        <f>IF($D1382="","",V1382*AB1382/100)</f>
        <v/>
      </c>
      <c r="X1382" s="7">
        <f>IF($D1382="","",V1382-W1382)</f>
        <v/>
      </c>
      <c r="Y1382" s="7">
        <f>IF($D1382="","",X1382-N1382)</f>
        <v/>
      </c>
      <c r="AB1382">
        <f>IF($D1382="","",IF($AN1382=1,0,IF($AM1382=1,Settings!$C$6,Settings!$C$7))*100)</f>
        <v/>
      </c>
      <c r="AF1382" s="7" t="n"/>
      <c r="AI1382" s="11" t="n"/>
      <c r="AK1382">
        <f>IF($D1382="","",IF(COUNTIF($D$2:$D1382,$D1382)=1,1,0))</f>
        <v/>
      </c>
      <c r="AL1382">
        <f>IF($AK1382=1,SUMPRODUCT(--($AO$2:$AO$1501&lt;$AO1382))+1,"")</f>
        <v/>
      </c>
      <c r="AM1382">
        <f>IF($D1382="","",IF(OR($R1382=TRUE(),$R1382="TRUE"),1,0))</f>
        <v/>
      </c>
      <c r="AN1382">
        <f>IF($D1382="","",IF($AA1382="Yes",1,0))</f>
        <v/>
      </c>
      <c r="AO1382">
        <f>IF($AK1382=1,IFERROR(IF(VALUE($D1382)&lt;100000000,VALUE($D1382),1000000000),IFERROR(IF(VALUE(MID($D1382,2,20))&lt;100000000,VALUE(MID($D1382,2,20)),1000000000),1000000000))+ROW()/100000,"")</f>
        <v/>
      </c>
    </row>
    <row r="1383">
      <c r="F1383" s="11" t="n"/>
      <c r="N1383" s="7">
        <f>IF($D1383="","",M1383*V1383/100)</f>
        <v/>
      </c>
      <c r="O1383" s="7" t="n"/>
      <c r="U1383" s="7" t="n"/>
      <c r="V1383" s="7" t="n"/>
      <c r="W1383" s="7">
        <f>IF($D1383="","",V1383*AB1383/100)</f>
        <v/>
      </c>
      <c r="X1383" s="7">
        <f>IF($D1383="","",V1383-W1383)</f>
        <v/>
      </c>
      <c r="Y1383" s="7">
        <f>IF($D1383="","",X1383-N1383)</f>
        <v/>
      </c>
      <c r="AB1383">
        <f>IF($D1383="","",IF($AN1383=1,0,IF($AM1383=1,Settings!$C$6,Settings!$C$7))*100)</f>
        <v/>
      </c>
      <c r="AF1383" s="7" t="n"/>
      <c r="AI1383" s="11" t="n"/>
      <c r="AK1383">
        <f>IF($D1383="","",IF(COUNTIF($D$2:$D1383,$D1383)=1,1,0))</f>
        <v/>
      </c>
      <c r="AL1383">
        <f>IF($AK1383=1,SUMPRODUCT(--($AO$2:$AO$1501&lt;$AO1383))+1,"")</f>
        <v/>
      </c>
      <c r="AM1383">
        <f>IF($D1383="","",IF(OR($R1383=TRUE(),$R1383="TRUE"),1,0))</f>
        <v/>
      </c>
      <c r="AN1383">
        <f>IF($D1383="","",IF($AA1383="Yes",1,0))</f>
        <v/>
      </c>
      <c r="AO1383">
        <f>IF($AK1383=1,IFERROR(IF(VALUE($D1383)&lt;100000000,VALUE($D1383),1000000000),IFERROR(IF(VALUE(MID($D1383,2,20))&lt;100000000,VALUE(MID($D1383,2,20)),1000000000),1000000000))+ROW()/100000,"")</f>
        <v/>
      </c>
    </row>
    <row r="1384">
      <c r="F1384" s="11" t="n"/>
      <c r="N1384" s="7">
        <f>IF($D1384="","",M1384*V1384/100)</f>
        <v/>
      </c>
      <c r="O1384" s="7" t="n"/>
      <c r="U1384" s="7" t="n"/>
      <c r="V1384" s="7" t="n"/>
      <c r="W1384" s="7">
        <f>IF($D1384="","",V1384*AB1384/100)</f>
        <v/>
      </c>
      <c r="X1384" s="7">
        <f>IF($D1384="","",V1384-W1384)</f>
        <v/>
      </c>
      <c r="Y1384" s="7">
        <f>IF($D1384="","",X1384-N1384)</f>
        <v/>
      </c>
      <c r="AB1384">
        <f>IF($D1384="","",IF($AN1384=1,0,IF($AM1384=1,Settings!$C$6,Settings!$C$7))*100)</f>
        <v/>
      </c>
      <c r="AF1384" s="7" t="n"/>
      <c r="AI1384" s="11" t="n"/>
      <c r="AK1384">
        <f>IF($D1384="","",IF(COUNTIF($D$2:$D1384,$D1384)=1,1,0))</f>
        <v/>
      </c>
      <c r="AL1384">
        <f>IF($AK1384=1,SUMPRODUCT(--($AO$2:$AO$1501&lt;$AO1384))+1,"")</f>
        <v/>
      </c>
      <c r="AM1384">
        <f>IF($D1384="","",IF(OR($R1384=TRUE(),$R1384="TRUE"),1,0))</f>
        <v/>
      </c>
      <c r="AN1384">
        <f>IF($D1384="","",IF($AA1384="Yes",1,0))</f>
        <v/>
      </c>
      <c r="AO1384">
        <f>IF($AK1384=1,IFERROR(IF(VALUE($D1384)&lt;100000000,VALUE($D1384),1000000000),IFERROR(IF(VALUE(MID($D1384,2,20))&lt;100000000,VALUE(MID($D1384,2,20)),1000000000),1000000000))+ROW()/100000,"")</f>
        <v/>
      </c>
    </row>
    <row r="1385">
      <c r="F1385" s="11" t="n"/>
      <c r="N1385" s="7">
        <f>IF($D1385="","",M1385*V1385/100)</f>
        <v/>
      </c>
      <c r="O1385" s="7" t="n"/>
      <c r="U1385" s="7" t="n"/>
      <c r="V1385" s="7" t="n"/>
      <c r="W1385" s="7">
        <f>IF($D1385="","",V1385*AB1385/100)</f>
        <v/>
      </c>
      <c r="X1385" s="7">
        <f>IF($D1385="","",V1385-W1385)</f>
        <v/>
      </c>
      <c r="Y1385" s="7">
        <f>IF($D1385="","",X1385-N1385)</f>
        <v/>
      </c>
      <c r="AB1385">
        <f>IF($D1385="","",IF($AN1385=1,0,IF($AM1385=1,Settings!$C$6,Settings!$C$7))*100)</f>
        <v/>
      </c>
      <c r="AF1385" s="7" t="n"/>
      <c r="AI1385" s="11" t="n"/>
      <c r="AK1385">
        <f>IF($D1385="","",IF(COUNTIF($D$2:$D1385,$D1385)=1,1,0))</f>
        <v/>
      </c>
      <c r="AL1385">
        <f>IF($AK1385=1,SUMPRODUCT(--($AO$2:$AO$1501&lt;$AO1385))+1,"")</f>
        <v/>
      </c>
      <c r="AM1385">
        <f>IF($D1385="","",IF(OR($R1385=TRUE(),$R1385="TRUE"),1,0))</f>
        <v/>
      </c>
      <c r="AN1385">
        <f>IF($D1385="","",IF($AA1385="Yes",1,0))</f>
        <v/>
      </c>
      <c r="AO1385">
        <f>IF($AK1385=1,IFERROR(IF(VALUE($D1385)&lt;100000000,VALUE($D1385),1000000000),IFERROR(IF(VALUE(MID($D1385,2,20))&lt;100000000,VALUE(MID($D1385,2,20)),1000000000),1000000000))+ROW()/100000,"")</f>
        <v/>
      </c>
    </row>
    <row r="1386">
      <c r="F1386" s="11" t="n"/>
      <c r="N1386" s="7">
        <f>IF($D1386="","",M1386*V1386/100)</f>
        <v/>
      </c>
      <c r="O1386" s="7" t="n"/>
      <c r="U1386" s="7" t="n"/>
      <c r="V1386" s="7" t="n"/>
      <c r="W1386" s="7">
        <f>IF($D1386="","",V1386*AB1386/100)</f>
        <v/>
      </c>
      <c r="X1386" s="7">
        <f>IF($D1386="","",V1386-W1386)</f>
        <v/>
      </c>
      <c r="Y1386" s="7">
        <f>IF($D1386="","",X1386-N1386)</f>
        <v/>
      </c>
      <c r="AB1386">
        <f>IF($D1386="","",IF($AN1386=1,0,IF($AM1386=1,Settings!$C$6,Settings!$C$7))*100)</f>
        <v/>
      </c>
      <c r="AF1386" s="7" t="n"/>
      <c r="AI1386" s="11" t="n"/>
      <c r="AK1386">
        <f>IF($D1386="","",IF(COUNTIF($D$2:$D1386,$D1386)=1,1,0))</f>
        <v/>
      </c>
      <c r="AL1386">
        <f>IF($AK1386=1,SUMPRODUCT(--($AO$2:$AO$1501&lt;$AO1386))+1,"")</f>
        <v/>
      </c>
      <c r="AM1386">
        <f>IF($D1386="","",IF(OR($R1386=TRUE(),$R1386="TRUE"),1,0))</f>
        <v/>
      </c>
      <c r="AN1386">
        <f>IF($D1386="","",IF($AA1386="Yes",1,0))</f>
        <v/>
      </c>
      <c r="AO1386">
        <f>IF($AK1386=1,IFERROR(IF(VALUE($D1386)&lt;100000000,VALUE($D1386),1000000000),IFERROR(IF(VALUE(MID($D1386,2,20))&lt;100000000,VALUE(MID($D1386,2,20)),1000000000),1000000000))+ROW()/100000,"")</f>
        <v/>
      </c>
    </row>
    <row r="1387">
      <c r="F1387" s="11" t="n"/>
      <c r="N1387" s="7">
        <f>IF($D1387="","",M1387*V1387/100)</f>
        <v/>
      </c>
      <c r="O1387" s="7" t="n"/>
      <c r="U1387" s="7" t="n"/>
      <c r="V1387" s="7" t="n"/>
      <c r="W1387" s="7">
        <f>IF($D1387="","",V1387*AB1387/100)</f>
        <v/>
      </c>
      <c r="X1387" s="7">
        <f>IF($D1387="","",V1387-W1387)</f>
        <v/>
      </c>
      <c r="Y1387" s="7">
        <f>IF($D1387="","",X1387-N1387)</f>
        <v/>
      </c>
      <c r="AB1387">
        <f>IF($D1387="","",IF($AN1387=1,0,IF($AM1387=1,Settings!$C$6,Settings!$C$7))*100)</f>
        <v/>
      </c>
      <c r="AF1387" s="7" t="n"/>
      <c r="AI1387" s="11" t="n"/>
      <c r="AK1387">
        <f>IF($D1387="","",IF(COUNTIF($D$2:$D1387,$D1387)=1,1,0))</f>
        <v/>
      </c>
      <c r="AL1387">
        <f>IF($AK1387=1,SUMPRODUCT(--($AO$2:$AO$1501&lt;$AO1387))+1,"")</f>
        <v/>
      </c>
      <c r="AM1387">
        <f>IF($D1387="","",IF(OR($R1387=TRUE(),$R1387="TRUE"),1,0))</f>
        <v/>
      </c>
      <c r="AN1387">
        <f>IF($D1387="","",IF($AA1387="Yes",1,0))</f>
        <v/>
      </c>
      <c r="AO1387">
        <f>IF($AK1387=1,IFERROR(IF(VALUE($D1387)&lt;100000000,VALUE($D1387),1000000000),IFERROR(IF(VALUE(MID($D1387,2,20))&lt;100000000,VALUE(MID($D1387,2,20)),1000000000),1000000000))+ROW()/100000,"")</f>
        <v/>
      </c>
    </row>
    <row r="1388">
      <c r="F1388" s="11" t="n"/>
      <c r="N1388" s="7">
        <f>IF($D1388="","",M1388*V1388/100)</f>
        <v/>
      </c>
      <c r="O1388" s="7" t="n"/>
      <c r="U1388" s="7" t="n"/>
      <c r="V1388" s="7" t="n"/>
      <c r="W1388" s="7">
        <f>IF($D1388="","",V1388*AB1388/100)</f>
        <v/>
      </c>
      <c r="X1388" s="7">
        <f>IF($D1388="","",V1388-W1388)</f>
        <v/>
      </c>
      <c r="Y1388" s="7">
        <f>IF($D1388="","",X1388-N1388)</f>
        <v/>
      </c>
      <c r="AB1388">
        <f>IF($D1388="","",IF($AN1388=1,0,IF($AM1388=1,Settings!$C$6,Settings!$C$7))*100)</f>
        <v/>
      </c>
      <c r="AF1388" s="7" t="n"/>
      <c r="AI1388" s="11" t="n"/>
      <c r="AK1388">
        <f>IF($D1388="","",IF(COUNTIF($D$2:$D1388,$D1388)=1,1,0))</f>
        <v/>
      </c>
      <c r="AL1388">
        <f>IF($AK1388=1,SUMPRODUCT(--($AO$2:$AO$1501&lt;$AO1388))+1,"")</f>
        <v/>
      </c>
      <c r="AM1388">
        <f>IF($D1388="","",IF(OR($R1388=TRUE(),$R1388="TRUE"),1,0))</f>
        <v/>
      </c>
      <c r="AN1388">
        <f>IF($D1388="","",IF($AA1388="Yes",1,0))</f>
        <v/>
      </c>
      <c r="AO1388">
        <f>IF($AK1388=1,IFERROR(IF(VALUE($D1388)&lt;100000000,VALUE($D1388),1000000000),IFERROR(IF(VALUE(MID($D1388,2,20))&lt;100000000,VALUE(MID($D1388,2,20)),1000000000),1000000000))+ROW()/100000,"")</f>
        <v/>
      </c>
    </row>
    <row r="1389">
      <c r="F1389" s="11" t="n"/>
      <c r="N1389" s="7">
        <f>IF($D1389="","",M1389*V1389/100)</f>
        <v/>
      </c>
      <c r="O1389" s="7" t="n"/>
      <c r="U1389" s="7" t="n"/>
      <c r="V1389" s="7" t="n"/>
      <c r="W1389" s="7">
        <f>IF($D1389="","",V1389*AB1389/100)</f>
        <v/>
      </c>
      <c r="X1389" s="7">
        <f>IF($D1389="","",V1389-W1389)</f>
        <v/>
      </c>
      <c r="Y1389" s="7">
        <f>IF($D1389="","",X1389-N1389)</f>
        <v/>
      </c>
      <c r="AB1389">
        <f>IF($D1389="","",IF($AN1389=1,0,IF($AM1389=1,Settings!$C$6,Settings!$C$7))*100)</f>
        <v/>
      </c>
      <c r="AF1389" s="7" t="n"/>
      <c r="AI1389" s="11" t="n"/>
      <c r="AK1389">
        <f>IF($D1389="","",IF(COUNTIF($D$2:$D1389,$D1389)=1,1,0))</f>
        <v/>
      </c>
      <c r="AL1389">
        <f>IF($AK1389=1,SUMPRODUCT(--($AO$2:$AO$1501&lt;$AO1389))+1,"")</f>
        <v/>
      </c>
      <c r="AM1389">
        <f>IF($D1389="","",IF(OR($R1389=TRUE(),$R1389="TRUE"),1,0))</f>
        <v/>
      </c>
      <c r="AN1389">
        <f>IF($D1389="","",IF($AA1389="Yes",1,0))</f>
        <v/>
      </c>
      <c r="AO1389">
        <f>IF($AK1389=1,IFERROR(IF(VALUE($D1389)&lt;100000000,VALUE($D1389),1000000000),IFERROR(IF(VALUE(MID($D1389,2,20))&lt;100000000,VALUE(MID($D1389,2,20)),1000000000),1000000000))+ROW()/100000,"")</f>
        <v/>
      </c>
    </row>
    <row r="1390">
      <c r="F1390" s="11" t="n"/>
      <c r="N1390" s="7">
        <f>IF($D1390="","",M1390*V1390/100)</f>
        <v/>
      </c>
      <c r="O1390" s="7" t="n"/>
      <c r="U1390" s="7" t="n"/>
      <c r="V1390" s="7" t="n"/>
      <c r="W1390" s="7">
        <f>IF($D1390="","",V1390*AB1390/100)</f>
        <v/>
      </c>
      <c r="X1390" s="7">
        <f>IF($D1390="","",V1390-W1390)</f>
        <v/>
      </c>
      <c r="Y1390" s="7">
        <f>IF($D1390="","",X1390-N1390)</f>
        <v/>
      </c>
      <c r="AB1390">
        <f>IF($D1390="","",IF($AN1390=1,0,IF($AM1390=1,Settings!$C$6,Settings!$C$7))*100)</f>
        <v/>
      </c>
      <c r="AF1390" s="7" t="n"/>
      <c r="AI1390" s="11" t="n"/>
      <c r="AK1390">
        <f>IF($D1390="","",IF(COUNTIF($D$2:$D1390,$D1390)=1,1,0))</f>
        <v/>
      </c>
      <c r="AL1390">
        <f>IF($AK1390=1,SUMPRODUCT(--($AO$2:$AO$1501&lt;$AO1390))+1,"")</f>
        <v/>
      </c>
      <c r="AM1390">
        <f>IF($D1390="","",IF(OR($R1390=TRUE(),$R1390="TRUE"),1,0))</f>
        <v/>
      </c>
      <c r="AN1390">
        <f>IF($D1390="","",IF($AA1390="Yes",1,0))</f>
        <v/>
      </c>
      <c r="AO1390">
        <f>IF($AK1390=1,IFERROR(IF(VALUE($D1390)&lt;100000000,VALUE($D1390),1000000000),IFERROR(IF(VALUE(MID($D1390,2,20))&lt;100000000,VALUE(MID($D1390,2,20)),1000000000),1000000000))+ROW()/100000,"")</f>
        <v/>
      </c>
    </row>
    <row r="1391">
      <c r="F1391" s="11" t="n"/>
      <c r="N1391" s="7">
        <f>IF($D1391="","",M1391*V1391/100)</f>
        <v/>
      </c>
      <c r="O1391" s="7" t="n"/>
      <c r="U1391" s="7" t="n"/>
      <c r="V1391" s="7" t="n"/>
      <c r="W1391" s="7">
        <f>IF($D1391="","",V1391*AB1391/100)</f>
        <v/>
      </c>
      <c r="X1391" s="7">
        <f>IF($D1391="","",V1391-W1391)</f>
        <v/>
      </c>
      <c r="Y1391" s="7">
        <f>IF($D1391="","",X1391-N1391)</f>
        <v/>
      </c>
      <c r="AB1391">
        <f>IF($D1391="","",IF($AN1391=1,0,IF($AM1391=1,Settings!$C$6,Settings!$C$7))*100)</f>
        <v/>
      </c>
      <c r="AF1391" s="7" t="n"/>
      <c r="AI1391" s="11" t="n"/>
      <c r="AK1391">
        <f>IF($D1391="","",IF(COUNTIF($D$2:$D1391,$D1391)=1,1,0))</f>
        <v/>
      </c>
      <c r="AL1391">
        <f>IF($AK1391=1,SUMPRODUCT(--($AO$2:$AO$1501&lt;$AO1391))+1,"")</f>
        <v/>
      </c>
      <c r="AM1391">
        <f>IF($D1391="","",IF(OR($R1391=TRUE(),$R1391="TRUE"),1,0))</f>
        <v/>
      </c>
      <c r="AN1391">
        <f>IF($D1391="","",IF($AA1391="Yes",1,0))</f>
        <v/>
      </c>
      <c r="AO1391">
        <f>IF($AK1391=1,IFERROR(IF(VALUE($D1391)&lt;100000000,VALUE($D1391),1000000000),IFERROR(IF(VALUE(MID($D1391,2,20))&lt;100000000,VALUE(MID($D1391,2,20)),1000000000),1000000000))+ROW()/100000,"")</f>
        <v/>
      </c>
    </row>
    <row r="1392">
      <c r="F1392" s="11" t="n"/>
      <c r="N1392" s="7">
        <f>IF($D1392="","",M1392*V1392/100)</f>
        <v/>
      </c>
      <c r="O1392" s="7" t="n"/>
      <c r="U1392" s="7" t="n"/>
      <c r="V1392" s="7" t="n"/>
      <c r="W1392" s="7">
        <f>IF($D1392="","",V1392*AB1392/100)</f>
        <v/>
      </c>
      <c r="X1392" s="7">
        <f>IF($D1392="","",V1392-W1392)</f>
        <v/>
      </c>
      <c r="Y1392" s="7">
        <f>IF($D1392="","",X1392-N1392)</f>
        <v/>
      </c>
      <c r="AB1392">
        <f>IF($D1392="","",IF($AN1392=1,0,IF($AM1392=1,Settings!$C$6,Settings!$C$7))*100)</f>
        <v/>
      </c>
      <c r="AF1392" s="7" t="n"/>
      <c r="AI1392" s="11" t="n"/>
      <c r="AK1392">
        <f>IF($D1392="","",IF(COUNTIF($D$2:$D1392,$D1392)=1,1,0))</f>
        <v/>
      </c>
      <c r="AL1392">
        <f>IF($AK1392=1,SUMPRODUCT(--($AO$2:$AO$1501&lt;$AO1392))+1,"")</f>
        <v/>
      </c>
      <c r="AM1392">
        <f>IF($D1392="","",IF(OR($R1392=TRUE(),$R1392="TRUE"),1,0))</f>
        <v/>
      </c>
      <c r="AN1392">
        <f>IF($D1392="","",IF($AA1392="Yes",1,0))</f>
        <v/>
      </c>
      <c r="AO1392">
        <f>IF($AK1392=1,IFERROR(IF(VALUE($D1392)&lt;100000000,VALUE($D1392),1000000000),IFERROR(IF(VALUE(MID($D1392,2,20))&lt;100000000,VALUE(MID($D1392,2,20)),1000000000),1000000000))+ROW()/100000,"")</f>
        <v/>
      </c>
    </row>
    <row r="1393">
      <c r="F1393" s="11" t="n"/>
      <c r="N1393" s="7">
        <f>IF($D1393="","",M1393*V1393/100)</f>
        <v/>
      </c>
      <c r="O1393" s="7" t="n"/>
      <c r="U1393" s="7" t="n"/>
      <c r="V1393" s="7" t="n"/>
      <c r="W1393" s="7">
        <f>IF($D1393="","",V1393*AB1393/100)</f>
        <v/>
      </c>
      <c r="X1393" s="7">
        <f>IF($D1393="","",V1393-W1393)</f>
        <v/>
      </c>
      <c r="Y1393" s="7">
        <f>IF($D1393="","",X1393-N1393)</f>
        <v/>
      </c>
      <c r="AB1393">
        <f>IF($D1393="","",IF($AN1393=1,0,IF($AM1393=1,Settings!$C$6,Settings!$C$7))*100)</f>
        <v/>
      </c>
      <c r="AF1393" s="7" t="n"/>
      <c r="AI1393" s="11" t="n"/>
      <c r="AK1393">
        <f>IF($D1393="","",IF(COUNTIF($D$2:$D1393,$D1393)=1,1,0))</f>
        <v/>
      </c>
      <c r="AL1393">
        <f>IF($AK1393=1,SUMPRODUCT(--($AO$2:$AO$1501&lt;$AO1393))+1,"")</f>
        <v/>
      </c>
      <c r="AM1393">
        <f>IF($D1393="","",IF(OR($R1393=TRUE(),$R1393="TRUE"),1,0))</f>
        <v/>
      </c>
      <c r="AN1393">
        <f>IF($D1393="","",IF($AA1393="Yes",1,0))</f>
        <v/>
      </c>
      <c r="AO1393">
        <f>IF($AK1393=1,IFERROR(IF(VALUE($D1393)&lt;100000000,VALUE($D1393),1000000000),IFERROR(IF(VALUE(MID($D1393,2,20))&lt;100000000,VALUE(MID($D1393,2,20)),1000000000),1000000000))+ROW()/100000,"")</f>
        <v/>
      </c>
    </row>
    <row r="1394">
      <c r="F1394" s="11" t="n"/>
      <c r="N1394" s="7">
        <f>IF($D1394="","",M1394*V1394/100)</f>
        <v/>
      </c>
      <c r="O1394" s="7" t="n"/>
      <c r="U1394" s="7" t="n"/>
      <c r="V1394" s="7" t="n"/>
      <c r="W1394" s="7">
        <f>IF($D1394="","",V1394*AB1394/100)</f>
        <v/>
      </c>
      <c r="X1394" s="7">
        <f>IF($D1394="","",V1394-W1394)</f>
        <v/>
      </c>
      <c r="Y1394" s="7">
        <f>IF($D1394="","",X1394-N1394)</f>
        <v/>
      </c>
      <c r="AB1394">
        <f>IF($D1394="","",IF($AN1394=1,0,IF($AM1394=1,Settings!$C$6,Settings!$C$7))*100)</f>
        <v/>
      </c>
      <c r="AF1394" s="7" t="n"/>
      <c r="AI1394" s="11" t="n"/>
      <c r="AK1394">
        <f>IF($D1394="","",IF(COUNTIF($D$2:$D1394,$D1394)=1,1,0))</f>
        <v/>
      </c>
      <c r="AL1394">
        <f>IF($AK1394=1,SUMPRODUCT(--($AO$2:$AO$1501&lt;$AO1394))+1,"")</f>
        <v/>
      </c>
      <c r="AM1394">
        <f>IF($D1394="","",IF(OR($R1394=TRUE(),$R1394="TRUE"),1,0))</f>
        <v/>
      </c>
      <c r="AN1394">
        <f>IF($D1394="","",IF($AA1394="Yes",1,0))</f>
        <v/>
      </c>
      <c r="AO1394">
        <f>IF($AK1394=1,IFERROR(IF(VALUE($D1394)&lt;100000000,VALUE($D1394),1000000000),IFERROR(IF(VALUE(MID($D1394,2,20))&lt;100000000,VALUE(MID($D1394,2,20)),1000000000),1000000000))+ROW()/100000,"")</f>
        <v/>
      </c>
    </row>
    <row r="1395">
      <c r="F1395" s="11" t="n"/>
      <c r="N1395" s="7">
        <f>IF($D1395="","",M1395*V1395/100)</f>
        <v/>
      </c>
      <c r="O1395" s="7" t="n"/>
      <c r="U1395" s="7" t="n"/>
      <c r="V1395" s="7" t="n"/>
      <c r="W1395" s="7">
        <f>IF($D1395="","",V1395*AB1395/100)</f>
        <v/>
      </c>
      <c r="X1395" s="7">
        <f>IF($D1395="","",V1395-W1395)</f>
        <v/>
      </c>
      <c r="Y1395" s="7">
        <f>IF($D1395="","",X1395-N1395)</f>
        <v/>
      </c>
      <c r="AB1395">
        <f>IF($D1395="","",IF($AN1395=1,0,IF($AM1395=1,Settings!$C$6,Settings!$C$7))*100)</f>
        <v/>
      </c>
      <c r="AF1395" s="7" t="n"/>
      <c r="AI1395" s="11" t="n"/>
      <c r="AK1395">
        <f>IF($D1395="","",IF(COUNTIF($D$2:$D1395,$D1395)=1,1,0))</f>
        <v/>
      </c>
      <c r="AL1395">
        <f>IF($AK1395=1,SUMPRODUCT(--($AO$2:$AO$1501&lt;$AO1395))+1,"")</f>
        <v/>
      </c>
      <c r="AM1395">
        <f>IF($D1395="","",IF(OR($R1395=TRUE(),$R1395="TRUE"),1,0))</f>
        <v/>
      </c>
      <c r="AN1395">
        <f>IF($D1395="","",IF($AA1395="Yes",1,0))</f>
        <v/>
      </c>
      <c r="AO1395">
        <f>IF($AK1395=1,IFERROR(IF(VALUE($D1395)&lt;100000000,VALUE($D1395),1000000000),IFERROR(IF(VALUE(MID($D1395,2,20))&lt;100000000,VALUE(MID($D1395,2,20)),1000000000),1000000000))+ROW()/100000,"")</f>
        <v/>
      </c>
    </row>
    <row r="1396">
      <c r="F1396" s="11" t="n"/>
      <c r="N1396" s="7">
        <f>IF($D1396="","",M1396*V1396/100)</f>
        <v/>
      </c>
      <c r="O1396" s="7" t="n"/>
      <c r="U1396" s="7" t="n"/>
      <c r="V1396" s="7" t="n"/>
      <c r="W1396" s="7">
        <f>IF($D1396="","",V1396*AB1396/100)</f>
        <v/>
      </c>
      <c r="X1396" s="7">
        <f>IF($D1396="","",V1396-W1396)</f>
        <v/>
      </c>
      <c r="Y1396" s="7">
        <f>IF($D1396="","",X1396-N1396)</f>
        <v/>
      </c>
      <c r="AB1396">
        <f>IF($D1396="","",IF($AN1396=1,0,IF($AM1396=1,Settings!$C$6,Settings!$C$7))*100)</f>
        <v/>
      </c>
      <c r="AF1396" s="7" t="n"/>
      <c r="AI1396" s="11" t="n"/>
      <c r="AK1396">
        <f>IF($D1396="","",IF(COUNTIF($D$2:$D1396,$D1396)=1,1,0))</f>
        <v/>
      </c>
      <c r="AL1396">
        <f>IF($AK1396=1,SUMPRODUCT(--($AO$2:$AO$1501&lt;$AO1396))+1,"")</f>
        <v/>
      </c>
      <c r="AM1396">
        <f>IF($D1396="","",IF(OR($R1396=TRUE(),$R1396="TRUE"),1,0))</f>
        <v/>
      </c>
      <c r="AN1396">
        <f>IF($D1396="","",IF($AA1396="Yes",1,0))</f>
        <v/>
      </c>
      <c r="AO1396">
        <f>IF($AK1396=1,IFERROR(IF(VALUE($D1396)&lt;100000000,VALUE($D1396),1000000000),IFERROR(IF(VALUE(MID($D1396,2,20))&lt;100000000,VALUE(MID($D1396,2,20)),1000000000),1000000000))+ROW()/100000,"")</f>
        <v/>
      </c>
    </row>
    <row r="1397">
      <c r="F1397" s="11" t="n"/>
      <c r="N1397" s="7">
        <f>IF($D1397="","",M1397*V1397/100)</f>
        <v/>
      </c>
      <c r="O1397" s="7" t="n"/>
      <c r="U1397" s="7" t="n"/>
      <c r="V1397" s="7" t="n"/>
      <c r="W1397" s="7">
        <f>IF($D1397="","",V1397*AB1397/100)</f>
        <v/>
      </c>
      <c r="X1397" s="7">
        <f>IF($D1397="","",V1397-W1397)</f>
        <v/>
      </c>
      <c r="Y1397" s="7">
        <f>IF($D1397="","",X1397-N1397)</f>
        <v/>
      </c>
      <c r="AB1397">
        <f>IF($D1397="","",IF($AN1397=1,0,IF($AM1397=1,Settings!$C$6,Settings!$C$7))*100)</f>
        <v/>
      </c>
      <c r="AF1397" s="7" t="n"/>
      <c r="AI1397" s="11" t="n"/>
      <c r="AK1397">
        <f>IF($D1397="","",IF(COUNTIF($D$2:$D1397,$D1397)=1,1,0))</f>
        <v/>
      </c>
      <c r="AL1397">
        <f>IF($AK1397=1,SUMPRODUCT(--($AO$2:$AO$1501&lt;$AO1397))+1,"")</f>
        <v/>
      </c>
      <c r="AM1397">
        <f>IF($D1397="","",IF(OR($R1397=TRUE(),$R1397="TRUE"),1,0))</f>
        <v/>
      </c>
      <c r="AN1397">
        <f>IF($D1397="","",IF($AA1397="Yes",1,0))</f>
        <v/>
      </c>
      <c r="AO1397">
        <f>IF($AK1397=1,IFERROR(IF(VALUE($D1397)&lt;100000000,VALUE($D1397),1000000000),IFERROR(IF(VALUE(MID($D1397,2,20))&lt;100000000,VALUE(MID($D1397,2,20)),1000000000),1000000000))+ROW()/100000,"")</f>
        <v/>
      </c>
    </row>
    <row r="1398">
      <c r="F1398" s="11" t="n"/>
      <c r="N1398" s="7">
        <f>IF($D1398="","",M1398*V1398/100)</f>
        <v/>
      </c>
      <c r="O1398" s="7" t="n"/>
      <c r="U1398" s="7" t="n"/>
      <c r="V1398" s="7" t="n"/>
      <c r="W1398" s="7">
        <f>IF($D1398="","",V1398*AB1398/100)</f>
        <v/>
      </c>
      <c r="X1398" s="7">
        <f>IF($D1398="","",V1398-W1398)</f>
        <v/>
      </c>
      <c r="Y1398" s="7">
        <f>IF($D1398="","",X1398-N1398)</f>
        <v/>
      </c>
      <c r="AB1398">
        <f>IF($D1398="","",IF($AN1398=1,0,IF($AM1398=1,Settings!$C$6,Settings!$C$7))*100)</f>
        <v/>
      </c>
      <c r="AF1398" s="7" t="n"/>
      <c r="AI1398" s="11" t="n"/>
      <c r="AK1398">
        <f>IF($D1398="","",IF(COUNTIF($D$2:$D1398,$D1398)=1,1,0))</f>
        <v/>
      </c>
      <c r="AL1398">
        <f>IF($AK1398=1,SUMPRODUCT(--($AO$2:$AO$1501&lt;$AO1398))+1,"")</f>
        <v/>
      </c>
      <c r="AM1398">
        <f>IF($D1398="","",IF(OR($R1398=TRUE(),$R1398="TRUE"),1,0))</f>
        <v/>
      </c>
      <c r="AN1398">
        <f>IF($D1398="","",IF($AA1398="Yes",1,0))</f>
        <v/>
      </c>
      <c r="AO1398">
        <f>IF($AK1398=1,IFERROR(IF(VALUE($D1398)&lt;100000000,VALUE($D1398),1000000000),IFERROR(IF(VALUE(MID($D1398,2,20))&lt;100000000,VALUE(MID($D1398,2,20)),1000000000),1000000000))+ROW()/100000,"")</f>
        <v/>
      </c>
    </row>
    <row r="1399">
      <c r="F1399" s="11" t="n"/>
      <c r="N1399" s="7">
        <f>IF($D1399="","",M1399*V1399/100)</f>
        <v/>
      </c>
      <c r="O1399" s="7" t="n"/>
      <c r="U1399" s="7" t="n"/>
      <c r="V1399" s="7" t="n"/>
      <c r="W1399" s="7">
        <f>IF($D1399="","",V1399*AB1399/100)</f>
        <v/>
      </c>
      <c r="X1399" s="7">
        <f>IF($D1399="","",V1399-W1399)</f>
        <v/>
      </c>
      <c r="Y1399" s="7">
        <f>IF($D1399="","",X1399-N1399)</f>
        <v/>
      </c>
      <c r="AB1399">
        <f>IF($D1399="","",IF($AN1399=1,0,IF($AM1399=1,Settings!$C$6,Settings!$C$7))*100)</f>
        <v/>
      </c>
      <c r="AF1399" s="7" t="n"/>
      <c r="AI1399" s="11" t="n"/>
      <c r="AK1399">
        <f>IF($D1399="","",IF(COUNTIF($D$2:$D1399,$D1399)=1,1,0))</f>
        <v/>
      </c>
      <c r="AL1399">
        <f>IF($AK1399=1,SUMPRODUCT(--($AO$2:$AO$1501&lt;$AO1399))+1,"")</f>
        <v/>
      </c>
      <c r="AM1399">
        <f>IF($D1399="","",IF(OR($R1399=TRUE(),$R1399="TRUE"),1,0))</f>
        <v/>
      </c>
      <c r="AN1399">
        <f>IF($D1399="","",IF($AA1399="Yes",1,0))</f>
        <v/>
      </c>
      <c r="AO1399">
        <f>IF($AK1399=1,IFERROR(IF(VALUE($D1399)&lt;100000000,VALUE($D1399),1000000000),IFERROR(IF(VALUE(MID($D1399,2,20))&lt;100000000,VALUE(MID($D1399,2,20)),1000000000),1000000000))+ROW()/100000,"")</f>
        <v/>
      </c>
    </row>
    <row r="1400">
      <c r="F1400" s="11" t="n"/>
      <c r="N1400" s="7">
        <f>IF($D1400="","",M1400*V1400/100)</f>
        <v/>
      </c>
      <c r="O1400" s="7" t="n"/>
      <c r="U1400" s="7" t="n"/>
      <c r="V1400" s="7" t="n"/>
      <c r="W1400" s="7">
        <f>IF($D1400="","",V1400*AB1400/100)</f>
        <v/>
      </c>
      <c r="X1400" s="7">
        <f>IF($D1400="","",V1400-W1400)</f>
        <v/>
      </c>
      <c r="Y1400" s="7">
        <f>IF($D1400="","",X1400-N1400)</f>
        <v/>
      </c>
      <c r="AB1400">
        <f>IF($D1400="","",IF($AN1400=1,0,IF($AM1400=1,Settings!$C$6,Settings!$C$7))*100)</f>
        <v/>
      </c>
      <c r="AF1400" s="7" t="n"/>
      <c r="AI1400" s="11" t="n"/>
      <c r="AK1400">
        <f>IF($D1400="","",IF(COUNTIF($D$2:$D1400,$D1400)=1,1,0))</f>
        <v/>
      </c>
      <c r="AL1400">
        <f>IF($AK1400=1,SUMPRODUCT(--($AO$2:$AO$1501&lt;$AO1400))+1,"")</f>
        <v/>
      </c>
      <c r="AM1400">
        <f>IF($D1400="","",IF(OR($R1400=TRUE(),$R1400="TRUE"),1,0))</f>
        <v/>
      </c>
      <c r="AN1400">
        <f>IF($D1400="","",IF($AA1400="Yes",1,0))</f>
        <v/>
      </c>
      <c r="AO1400">
        <f>IF($AK1400=1,IFERROR(IF(VALUE($D1400)&lt;100000000,VALUE($D1400),1000000000),IFERROR(IF(VALUE(MID($D1400,2,20))&lt;100000000,VALUE(MID($D1400,2,20)),1000000000),1000000000))+ROW()/100000,"")</f>
        <v/>
      </c>
    </row>
    <row r="1401">
      <c r="F1401" s="11" t="n"/>
      <c r="N1401" s="7">
        <f>IF($D1401="","",M1401*V1401/100)</f>
        <v/>
      </c>
      <c r="O1401" s="7" t="n"/>
      <c r="U1401" s="7" t="n"/>
      <c r="V1401" s="7" t="n"/>
      <c r="W1401" s="7">
        <f>IF($D1401="","",V1401*AB1401/100)</f>
        <v/>
      </c>
      <c r="X1401" s="7">
        <f>IF($D1401="","",V1401-W1401)</f>
        <v/>
      </c>
      <c r="Y1401" s="7">
        <f>IF($D1401="","",X1401-N1401)</f>
        <v/>
      </c>
      <c r="AB1401">
        <f>IF($D1401="","",IF($AN1401=1,0,IF($AM1401=1,Settings!$C$6,Settings!$C$7))*100)</f>
        <v/>
      </c>
      <c r="AF1401" s="7" t="n"/>
      <c r="AI1401" s="11" t="n"/>
      <c r="AK1401">
        <f>IF($D1401="","",IF(COUNTIF($D$2:$D1401,$D1401)=1,1,0))</f>
        <v/>
      </c>
      <c r="AL1401">
        <f>IF($AK1401=1,SUMPRODUCT(--($AO$2:$AO$1501&lt;$AO1401))+1,"")</f>
        <v/>
      </c>
      <c r="AM1401">
        <f>IF($D1401="","",IF(OR($R1401=TRUE(),$R1401="TRUE"),1,0))</f>
        <v/>
      </c>
      <c r="AN1401">
        <f>IF($D1401="","",IF($AA1401="Yes",1,0))</f>
        <v/>
      </c>
      <c r="AO1401">
        <f>IF($AK1401=1,IFERROR(IF(VALUE($D1401)&lt;100000000,VALUE($D1401),1000000000),IFERROR(IF(VALUE(MID($D1401,2,20))&lt;100000000,VALUE(MID($D1401,2,20)),1000000000),1000000000))+ROW()/100000,"")</f>
        <v/>
      </c>
    </row>
    <row r="1402">
      <c r="F1402" s="11" t="n"/>
      <c r="N1402" s="7">
        <f>IF($D1402="","",M1402*V1402/100)</f>
        <v/>
      </c>
      <c r="O1402" s="7" t="n"/>
      <c r="U1402" s="7" t="n"/>
      <c r="V1402" s="7" t="n"/>
      <c r="W1402" s="7">
        <f>IF($D1402="","",V1402*AB1402/100)</f>
        <v/>
      </c>
      <c r="X1402" s="7">
        <f>IF($D1402="","",V1402-W1402)</f>
        <v/>
      </c>
      <c r="Y1402" s="7">
        <f>IF($D1402="","",X1402-N1402)</f>
        <v/>
      </c>
      <c r="AB1402">
        <f>IF($D1402="","",IF($AN1402=1,0,IF($AM1402=1,Settings!$C$6,Settings!$C$7))*100)</f>
        <v/>
      </c>
      <c r="AF1402" s="7" t="n"/>
      <c r="AI1402" s="11" t="n"/>
      <c r="AK1402">
        <f>IF($D1402="","",IF(COUNTIF($D$2:$D1402,$D1402)=1,1,0))</f>
        <v/>
      </c>
      <c r="AL1402">
        <f>IF($AK1402=1,SUMPRODUCT(--($AO$2:$AO$1501&lt;$AO1402))+1,"")</f>
        <v/>
      </c>
      <c r="AM1402">
        <f>IF($D1402="","",IF(OR($R1402=TRUE(),$R1402="TRUE"),1,0))</f>
        <v/>
      </c>
      <c r="AN1402">
        <f>IF($D1402="","",IF($AA1402="Yes",1,0))</f>
        <v/>
      </c>
      <c r="AO1402">
        <f>IF($AK1402=1,IFERROR(IF(VALUE($D1402)&lt;100000000,VALUE($D1402),1000000000),IFERROR(IF(VALUE(MID($D1402,2,20))&lt;100000000,VALUE(MID($D1402,2,20)),1000000000),1000000000))+ROW()/100000,"")</f>
        <v/>
      </c>
    </row>
    <row r="1403">
      <c r="F1403" s="11" t="n"/>
      <c r="N1403" s="7">
        <f>IF($D1403="","",M1403*V1403/100)</f>
        <v/>
      </c>
      <c r="O1403" s="7" t="n"/>
      <c r="U1403" s="7" t="n"/>
      <c r="V1403" s="7" t="n"/>
      <c r="W1403" s="7">
        <f>IF($D1403="","",V1403*AB1403/100)</f>
        <v/>
      </c>
      <c r="X1403" s="7">
        <f>IF($D1403="","",V1403-W1403)</f>
        <v/>
      </c>
      <c r="Y1403" s="7">
        <f>IF($D1403="","",X1403-N1403)</f>
        <v/>
      </c>
      <c r="AB1403">
        <f>IF($D1403="","",IF($AN1403=1,0,IF($AM1403=1,Settings!$C$6,Settings!$C$7))*100)</f>
        <v/>
      </c>
      <c r="AF1403" s="7" t="n"/>
      <c r="AI1403" s="11" t="n"/>
      <c r="AK1403">
        <f>IF($D1403="","",IF(COUNTIF($D$2:$D1403,$D1403)=1,1,0))</f>
        <v/>
      </c>
      <c r="AL1403">
        <f>IF($AK1403=1,SUMPRODUCT(--($AO$2:$AO$1501&lt;$AO1403))+1,"")</f>
        <v/>
      </c>
      <c r="AM1403">
        <f>IF($D1403="","",IF(OR($R1403=TRUE(),$R1403="TRUE"),1,0))</f>
        <v/>
      </c>
      <c r="AN1403">
        <f>IF($D1403="","",IF($AA1403="Yes",1,0))</f>
        <v/>
      </c>
      <c r="AO1403">
        <f>IF($AK1403=1,IFERROR(IF(VALUE($D1403)&lt;100000000,VALUE($D1403),1000000000),IFERROR(IF(VALUE(MID($D1403,2,20))&lt;100000000,VALUE(MID($D1403,2,20)),1000000000),1000000000))+ROW()/100000,"")</f>
        <v/>
      </c>
    </row>
    <row r="1404">
      <c r="F1404" s="11" t="n"/>
      <c r="N1404" s="7">
        <f>IF($D1404="","",M1404*V1404/100)</f>
        <v/>
      </c>
      <c r="O1404" s="7" t="n"/>
      <c r="U1404" s="7" t="n"/>
      <c r="V1404" s="7" t="n"/>
      <c r="W1404" s="7">
        <f>IF($D1404="","",V1404*AB1404/100)</f>
        <v/>
      </c>
      <c r="X1404" s="7">
        <f>IF($D1404="","",V1404-W1404)</f>
        <v/>
      </c>
      <c r="Y1404" s="7">
        <f>IF($D1404="","",X1404-N1404)</f>
        <v/>
      </c>
      <c r="AB1404">
        <f>IF($D1404="","",IF($AN1404=1,0,IF($AM1404=1,Settings!$C$6,Settings!$C$7))*100)</f>
        <v/>
      </c>
      <c r="AF1404" s="7" t="n"/>
      <c r="AI1404" s="11" t="n"/>
      <c r="AK1404">
        <f>IF($D1404="","",IF(COUNTIF($D$2:$D1404,$D1404)=1,1,0))</f>
        <v/>
      </c>
      <c r="AL1404">
        <f>IF($AK1404=1,SUMPRODUCT(--($AO$2:$AO$1501&lt;$AO1404))+1,"")</f>
        <v/>
      </c>
      <c r="AM1404">
        <f>IF($D1404="","",IF(OR($R1404=TRUE(),$R1404="TRUE"),1,0))</f>
        <v/>
      </c>
      <c r="AN1404">
        <f>IF($D1404="","",IF($AA1404="Yes",1,0))</f>
        <v/>
      </c>
      <c r="AO1404">
        <f>IF($AK1404=1,IFERROR(IF(VALUE($D1404)&lt;100000000,VALUE($D1404),1000000000),IFERROR(IF(VALUE(MID($D1404,2,20))&lt;100000000,VALUE(MID($D1404,2,20)),1000000000),1000000000))+ROW()/100000,"")</f>
        <v/>
      </c>
    </row>
    <row r="1405">
      <c r="F1405" s="11" t="n"/>
      <c r="N1405" s="7">
        <f>IF($D1405="","",M1405*V1405/100)</f>
        <v/>
      </c>
      <c r="O1405" s="7" t="n"/>
      <c r="U1405" s="7" t="n"/>
      <c r="V1405" s="7" t="n"/>
      <c r="W1405" s="7">
        <f>IF($D1405="","",V1405*AB1405/100)</f>
        <v/>
      </c>
      <c r="X1405" s="7">
        <f>IF($D1405="","",V1405-W1405)</f>
        <v/>
      </c>
      <c r="Y1405" s="7">
        <f>IF($D1405="","",X1405-N1405)</f>
        <v/>
      </c>
      <c r="AB1405">
        <f>IF($D1405="","",IF($AN1405=1,0,IF($AM1405=1,Settings!$C$6,Settings!$C$7))*100)</f>
        <v/>
      </c>
      <c r="AF1405" s="7" t="n"/>
      <c r="AI1405" s="11" t="n"/>
      <c r="AK1405">
        <f>IF($D1405="","",IF(COUNTIF($D$2:$D1405,$D1405)=1,1,0))</f>
        <v/>
      </c>
      <c r="AL1405">
        <f>IF($AK1405=1,SUMPRODUCT(--($AO$2:$AO$1501&lt;$AO1405))+1,"")</f>
        <v/>
      </c>
      <c r="AM1405">
        <f>IF($D1405="","",IF(OR($R1405=TRUE(),$R1405="TRUE"),1,0))</f>
        <v/>
      </c>
      <c r="AN1405">
        <f>IF($D1405="","",IF($AA1405="Yes",1,0))</f>
        <v/>
      </c>
      <c r="AO1405">
        <f>IF($AK1405=1,IFERROR(IF(VALUE($D1405)&lt;100000000,VALUE($D1405),1000000000),IFERROR(IF(VALUE(MID($D1405,2,20))&lt;100000000,VALUE(MID($D1405,2,20)),1000000000),1000000000))+ROW()/100000,"")</f>
        <v/>
      </c>
    </row>
    <row r="1406">
      <c r="F1406" s="11" t="n"/>
      <c r="N1406" s="7">
        <f>IF($D1406="","",M1406*V1406/100)</f>
        <v/>
      </c>
      <c r="O1406" s="7" t="n"/>
      <c r="U1406" s="7" t="n"/>
      <c r="V1406" s="7" t="n"/>
      <c r="W1406" s="7">
        <f>IF($D1406="","",V1406*AB1406/100)</f>
        <v/>
      </c>
      <c r="X1406" s="7">
        <f>IF($D1406="","",V1406-W1406)</f>
        <v/>
      </c>
      <c r="Y1406" s="7">
        <f>IF($D1406="","",X1406-N1406)</f>
        <v/>
      </c>
      <c r="AB1406">
        <f>IF($D1406="","",IF($AN1406=1,0,IF($AM1406=1,Settings!$C$6,Settings!$C$7))*100)</f>
        <v/>
      </c>
      <c r="AF1406" s="7" t="n"/>
      <c r="AI1406" s="11" t="n"/>
      <c r="AK1406">
        <f>IF($D1406="","",IF(COUNTIF($D$2:$D1406,$D1406)=1,1,0))</f>
        <v/>
      </c>
      <c r="AL1406">
        <f>IF($AK1406=1,SUMPRODUCT(--($AO$2:$AO$1501&lt;$AO1406))+1,"")</f>
        <v/>
      </c>
      <c r="AM1406">
        <f>IF($D1406="","",IF(OR($R1406=TRUE(),$R1406="TRUE"),1,0))</f>
        <v/>
      </c>
      <c r="AN1406">
        <f>IF($D1406="","",IF($AA1406="Yes",1,0))</f>
        <v/>
      </c>
      <c r="AO1406">
        <f>IF($AK1406=1,IFERROR(IF(VALUE($D1406)&lt;100000000,VALUE($D1406),1000000000),IFERROR(IF(VALUE(MID($D1406,2,20))&lt;100000000,VALUE(MID($D1406,2,20)),1000000000),1000000000))+ROW()/100000,"")</f>
        <v/>
      </c>
    </row>
    <row r="1407">
      <c r="F1407" s="11" t="n"/>
      <c r="N1407" s="7">
        <f>IF($D1407="","",M1407*V1407/100)</f>
        <v/>
      </c>
      <c r="O1407" s="7" t="n"/>
      <c r="U1407" s="7" t="n"/>
      <c r="V1407" s="7" t="n"/>
      <c r="W1407" s="7">
        <f>IF($D1407="","",V1407*AB1407/100)</f>
        <v/>
      </c>
      <c r="X1407" s="7">
        <f>IF($D1407="","",V1407-W1407)</f>
        <v/>
      </c>
      <c r="Y1407" s="7">
        <f>IF($D1407="","",X1407-N1407)</f>
        <v/>
      </c>
      <c r="AB1407">
        <f>IF($D1407="","",IF($AN1407=1,0,IF($AM1407=1,Settings!$C$6,Settings!$C$7))*100)</f>
        <v/>
      </c>
      <c r="AF1407" s="7" t="n"/>
      <c r="AI1407" s="11" t="n"/>
      <c r="AK1407">
        <f>IF($D1407="","",IF(COUNTIF($D$2:$D1407,$D1407)=1,1,0))</f>
        <v/>
      </c>
      <c r="AL1407">
        <f>IF($AK1407=1,SUMPRODUCT(--($AO$2:$AO$1501&lt;$AO1407))+1,"")</f>
        <v/>
      </c>
      <c r="AM1407">
        <f>IF($D1407="","",IF(OR($R1407=TRUE(),$R1407="TRUE"),1,0))</f>
        <v/>
      </c>
      <c r="AN1407">
        <f>IF($D1407="","",IF($AA1407="Yes",1,0))</f>
        <v/>
      </c>
      <c r="AO1407">
        <f>IF($AK1407=1,IFERROR(IF(VALUE($D1407)&lt;100000000,VALUE($D1407),1000000000),IFERROR(IF(VALUE(MID($D1407,2,20))&lt;100000000,VALUE(MID($D1407,2,20)),1000000000),1000000000))+ROW()/100000,"")</f>
        <v/>
      </c>
    </row>
    <row r="1408">
      <c r="F1408" s="11" t="n"/>
      <c r="N1408" s="7">
        <f>IF($D1408="","",M1408*V1408/100)</f>
        <v/>
      </c>
      <c r="O1408" s="7" t="n"/>
      <c r="U1408" s="7" t="n"/>
      <c r="V1408" s="7" t="n"/>
      <c r="W1408" s="7">
        <f>IF($D1408="","",V1408*AB1408/100)</f>
        <v/>
      </c>
      <c r="X1408" s="7">
        <f>IF($D1408="","",V1408-W1408)</f>
        <v/>
      </c>
      <c r="Y1408" s="7">
        <f>IF($D1408="","",X1408-N1408)</f>
        <v/>
      </c>
      <c r="AB1408">
        <f>IF($D1408="","",IF($AN1408=1,0,IF($AM1408=1,Settings!$C$6,Settings!$C$7))*100)</f>
        <v/>
      </c>
      <c r="AF1408" s="7" t="n"/>
      <c r="AI1408" s="11" t="n"/>
      <c r="AK1408">
        <f>IF($D1408="","",IF(COUNTIF($D$2:$D1408,$D1408)=1,1,0))</f>
        <v/>
      </c>
      <c r="AL1408">
        <f>IF($AK1408=1,SUMPRODUCT(--($AO$2:$AO$1501&lt;$AO1408))+1,"")</f>
        <v/>
      </c>
      <c r="AM1408">
        <f>IF($D1408="","",IF(OR($R1408=TRUE(),$R1408="TRUE"),1,0))</f>
        <v/>
      </c>
      <c r="AN1408">
        <f>IF($D1408="","",IF($AA1408="Yes",1,0))</f>
        <v/>
      </c>
      <c r="AO1408">
        <f>IF($AK1408=1,IFERROR(IF(VALUE($D1408)&lt;100000000,VALUE($D1408),1000000000),IFERROR(IF(VALUE(MID($D1408,2,20))&lt;100000000,VALUE(MID($D1408,2,20)),1000000000),1000000000))+ROW()/100000,"")</f>
        <v/>
      </c>
    </row>
    <row r="1409">
      <c r="F1409" s="11" t="n"/>
      <c r="N1409" s="7">
        <f>IF($D1409="","",M1409*V1409/100)</f>
        <v/>
      </c>
      <c r="O1409" s="7" t="n"/>
      <c r="U1409" s="7" t="n"/>
      <c r="V1409" s="7" t="n"/>
      <c r="W1409" s="7">
        <f>IF($D1409="","",V1409*AB1409/100)</f>
        <v/>
      </c>
      <c r="X1409" s="7">
        <f>IF($D1409="","",V1409-W1409)</f>
        <v/>
      </c>
      <c r="Y1409" s="7">
        <f>IF($D1409="","",X1409-N1409)</f>
        <v/>
      </c>
      <c r="AB1409">
        <f>IF($D1409="","",IF($AN1409=1,0,IF($AM1409=1,Settings!$C$6,Settings!$C$7))*100)</f>
        <v/>
      </c>
      <c r="AF1409" s="7" t="n"/>
      <c r="AI1409" s="11" t="n"/>
      <c r="AK1409">
        <f>IF($D1409="","",IF(COUNTIF($D$2:$D1409,$D1409)=1,1,0))</f>
        <v/>
      </c>
      <c r="AL1409">
        <f>IF($AK1409=1,SUMPRODUCT(--($AO$2:$AO$1501&lt;$AO1409))+1,"")</f>
        <v/>
      </c>
      <c r="AM1409">
        <f>IF($D1409="","",IF(OR($R1409=TRUE(),$R1409="TRUE"),1,0))</f>
        <v/>
      </c>
      <c r="AN1409">
        <f>IF($D1409="","",IF($AA1409="Yes",1,0))</f>
        <v/>
      </c>
      <c r="AO1409">
        <f>IF($AK1409=1,IFERROR(IF(VALUE($D1409)&lt;100000000,VALUE($D1409),1000000000),IFERROR(IF(VALUE(MID($D1409,2,20))&lt;100000000,VALUE(MID($D1409,2,20)),1000000000),1000000000))+ROW()/100000,"")</f>
        <v/>
      </c>
    </row>
    <row r="1410">
      <c r="F1410" s="11" t="n"/>
      <c r="N1410" s="7">
        <f>IF($D1410="","",M1410*V1410/100)</f>
        <v/>
      </c>
      <c r="O1410" s="7" t="n"/>
      <c r="U1410" s="7" t="n"/>
      <c r="V1410" s="7" t="n"/>
      <c r="W1410" s="7">
        <f>IF($D1410="","",V1410*AB1410/100)</f>
        <v/>
      </c>
      <c r="X1410" s="7">
        <f>IF($D1410="","",V1410-W1410)</f>
        <v/>
      </c>
      <c r="Y1410" s="7">
        <f>IF($D1410="","",X1410-N1410)</f>
        <v/>
      </c>
      <c r="AB1410">
        <f>IF($D1410="","",IF($AN1410=1,0,IF($AM1410=1,Settings!$C$6,Settings!$C$7))*100)</f>
        <v/>
      </c>
      <c r="AF1410" s="7" t="n"/>
      <c r="AI1410" s="11" t="n"/>
      <c r="AK1410">
        <f>IF($D1410="","",IF(COUNTIF($D$2:$D1410,$D1410)=1,1,0))</f>
        <v/>
      </c>
      <c r="AL1410">
        <f>IF($AK1410=1,SUMPRODUCT(--($AO$2:$AO$1501&lt;$AO1410))+1,"")</f>
        <v/>
      </c>
      <c r="AM1410">
        <f>IF($D1410="","",IF(OR($R1410=TRUE(),$R1410="TRUE"),1,0))</f>
        <v/>
      </c>
      <c r="AN1410">
        <f>IF($D1410="","",IF($AA1410="Yes",1,0))</f>
        <v/>
      </c>
      <c r="AO1410">
        <f>IF($AK1410=1,IFERROR(IF(VALUE($D1410)&lt;100000000,VALUE($D1410),1000000000),IFERROR(IF(VALUE(MID($D1410,2,20))&lt;100000000,VALUE(MID($D1410,2,20)),1000000000),1000000000))+ROW()/100000,"")</f>
        <v/>
      </c>
    </row>
    <row r="1411">
      <c r="F1411" s="11" t="n"/>
      <c r="N1411" s="7">
        <f>IF($D1411="","",M1411*V1411/100)</f>
        <v/>
      </c>
      <c r="O1411" s="7" t="n"/>
      <c r="U1411" s="7" t="n"/>
      <c r="V1411" s="7" t="n"/>
      <c r="W1411" s="7">
        <f>IF($D1411="","",V1411*AB1411/100)</f>
        <v/>
      </c>
      <c r="X1411" s="7">
        <f>IF($D1411="","",V1411-W1411)</f>
        <v/>
      </c>
      <c r="Y1411" s="7">
        <f>IF($D1411="","",X1411-N1411)</f>
        <v/>
      </c>
      <c r="AB1411">
        <f>IF($D1411="","",IF($AN1411=1,0,IF($AM1411=1,Settings!$C$6,Settings!$C$7))*100)</f>
        <v/>
      </c>
      <c r="AF1411" s="7" t="n"/>
      <c r="AI1411" s="11" t="n"/>
      <c r="AK1411">
        <f>IF($D1411="","",IF(COUNTIF($D$2:$D1411,$D1411)=1,1,0))</f>
        <v/>
      </c>
      <c r="AL1411">
        <f>IF($AK1411=1,SUMPRODUCT(--($AO$2:$AO$1501&lt;$AO1411))+1,"")</f>
        <v/>
      </c>
      <c r="AM1411">
        <f>IF($D1411="","",IF(OR($R1411=TRUE(),$R1411="TRUE"),1,0))</f>
        <v/>
      </c>
      <c r="AN1411">
        <f>IF($D1411="","",IF($AA1411="Yes",1,0))</f>
        <v/>
      </c>
      <c r="AO1411">
        <f>IF($AK1411=1,IFERROR(IF(VALUE($D1411)&lt;100000000,VALUE($D1411),1000000000),IFERROR(IF(VALUE(MID($D1411,2,20))&lt;100000000,VALUE(MID($D1411,2,20)),1000000000),1000000000))+ROW()/100000,"")</f>
        <v/>
      </c>
    </row>
    <row r="1412">
      <c r="F1412" s="11" t="n"/>
      <c r="N1412" s="7">
        <f>IF($D1412="","",M1412*V1412/100)</f>
        <v/>
      </c>
      <c r="O1412" s="7" t="n"/>
      <c r="U1412" s="7" t="n"/>
      <c r="V1412" s="7" t="n"/>
      <c r="W1412" s="7">
        <f>IF($D1412="","",V1412*AB1412/100)</f>
        <v/>
      </c>
      <c r="X1412" s="7">
        <f>IF($D1412="","",V1412-W1412)</f>
        <v/>
      </c>
      <c r="Y1412" s="7">
        <f>IF($D1412="","",X1412-N1412)</f>
        <v/>
      </c>
      <c r="AB1412">
        <f>IF($D1412="","",IF($AN1412=1,0,IF($AM1412=1,Settings!$C$6,Settings!$C$7))*100)</f>
        <v/>
      </c>
      <c r="AF1412" s="7" t="n"/>
      <c r="AI1412" s="11" t="n"/>
      <c r="AK1412">
        <f>IF($D1412="","",IF(COUNTIF($D$2:$D1412,$D1412)=1,1,0))</f>
        <v/>
      </c>
      <c r="AL1412">
        <f>IF($AK1412=1,SUMPRODUCT(--($AO$2:$AO$1501&lt;$AO1412))+1,"")</f>
        <v/>
      </c>
      <c r="AM1412">
        <f>IF($D1412="","",IF(OR($R1412=TRUE(),$R1412="TRUE"),1,0))</f>
        <v/>
      </c>
      <c r="AN1412">
        <f>IF($D1412="","",IF($AA1412="Yes",1,0))</f>
        <v/>
      </c>
      <c r="AO1412">
        <f>IF($AK1412=1,IFERROR(IF(VALUE($D1412)&lt;100000000,VALUE($D1412),1000000000),IFERROR(IF(VALUE(MID($D1412,2,20))&lt;100000000,VALUE(MID($D1412,2,20)),1000000000),1000000000))+ROW()/100000,"")</f>
        <v/>
      </c>
    </row>
    <row r="1413">
      <c r="F1413" s="11" t="n"/>
      <c r="N1413" s="7">
        <f>IF($D1413="","",M1413*V1413/100)</f>
        <v/>
      </c>
      <c r="O1413" s="7" t="n"/>
      <c r="U1413" s="7" t="n"/>
      <c r="V1413" s="7" t="n"/>
      <c r="W1413" s="7">
        <f>IF($D1413="","",V1413*AB1413/100)</f>
        <v/>
      </c>
      <c r="X1413" s="7">
        <f>IF($D1413="","",V1413-W1413)</f>
        <v/>
      </c>
      <c r="Y1413" s="7">
        <f>IF($D1413="","",X1413-N1413)</f>
        <v/>
      </c>
      <c r="AB1413">
        <f>IF($D1413="","",IF($AN1413=1,0,IF($AM1413=1,Settings!$C$6,Settings!$C$7))*100)</f>
        <v/>
      </c>
      <c r="AF1413" s="7" t="n"/>
      <c r="AI1413" s="11" t="n"/>
      <c r="AK1413">
        <f>IF($D1413="","",IF(COUNTIF($D$2:$D1413,$D1413)=1,1,0))</f>
        <v/>
      </c>
      <c r="AL1413">
        <f>IF($AK1413=1,SUMPRODUCT(--($AO$2:$AO$1501&lt;$AO1413))+1,"")</f>
        <v/>
      </c>
      <c r="AM1413">
        <f>IF($D1413="","",IF(OR($R1413=TRUE(),$R1413="TRUE"),1,0))</f>
        <v/>
      </c>
      <c r="AN1413">
        <f>IF($D1413="","",IF($AA1413="Yes",1,0))</f>
        <v/>
      </c>
      <c r="AO1413">
        <f>IF($AK1413=1,IFERROR(IF(VALUE($D1413)&lt;100000000,VALUE($D1413),1000000000),IFERROR(IF(VALUE(MID($D1413,2,20))&lt;100000000,VALUE(MID($D1413,2,20)),1000000000),1000000000))+ROW()/100000,"")</f>
        <v/>
      </c>
    </row>
    <row r="1414">
      <c r="F1414" s="11" t="n"/>
      <c r="N1414" s="7">
        <f>IF($D1414="","",M1414*V1414/100)</f>
        <v/>
      </c>
      <c r="O1414" s="7" t="n"/>
      <c r="U1414" s="7" t="n"/>
      <c r="V1414" s="7" t="n"/>
      <c r="W1414" s="7">
        <f>IF($D1414="","",V1414*AB1414/100)</f>
        <v/>
      </c>
      <c r="X1414" s="7">
        <f>IF($D1414="","",V1414-W1414)</f>
        <v/>
      </c>
      <c r="Y1414" s="7">
        <f>IF($D1414="","",X1414-N1414)</f>
        <v/>
      </c>
      <c r="AB1414">
        <f>IF($D1414="","",IF($AN1414=1,0,IF($AM1414=1,Settings!$C$6,Settings!$C$7))*100)</f>
        <v/>
      </c>
      <c r="AF1414" s="7" t="n"/>
      <c r="AI1414" s="11" t="n"/>
      <c r="AK1414">
        <f>IF($D1414="","",IF(COUNTIF($D$2:$D1414,$D1414)=1,1,0))</f>
        <v/>
      </c>
      <c r="AL1414">
        <f>IF($AK1414=1,SUMPRODUCT(--($AO$2:$AO$1501&lt;$AO1414))+1,"")</f>
        <v/>
      </c>
      <c r="AM1414">
        <f>IF($D1414="","",IF(OR($R1414=TRUE(),$R1414="TRUE"),1,0))</f>
        <v/>
      </c>
      <c r="AN1414">
        <f>IF($D1414="","",IF($AA1414="Yes",1,0))</f>
        <v/>
      </c>
      <c r="AO1414">
        <f>IF($AK1414=1,IFERROR(IF(VALUE($D1414)&lt;100000000,VALUE($D1414),1000000000),IFERROR(IF(VALUE(MID($D1414,2,20))&lt;100000000,VALUE(MID($D1414,2,20)),1000000000),1000000000))+ROW()/100000,"")</f>
        <v/>
      </c>
    </row>
    <row r="1415">
      <c r="F1415" s="11" t="n"/>
      <c r="N1415" s="7">
        <f>IF($D1415="","",M1415*V1415/100)</f>
        <v/>
      </c>
      <c r="O1415" s="7" t="n"/>
      <c r="U1415" s="7" t="n"/>
      <c r="V1415" s="7" t="n"/>
      <c r="W1415" s="7">
        <f>IF($D1415="","",V1415*AB1415/100)</f>
        <v/>
      </c>
      <c r="X1415" s="7">
        <f>IF($D1415="","",V1415-W1415)</f>
        <v/>
      </c>
      <c r="Y1415" s="7">
        <f>IF($D1415="","",X1415-N1415)</f>
        <v/>
      </c>
      <c r="AB1415">
        <f>IF($D1415="","",IF($AN1415=1,0,IF($AM1415=1,Settings!$C$6,Settings!$C$7))*100)</f>
        <v/>
      </c>
      <c r="AF1415" s="7" t="n"/>
      <c r="AI1415" s="11" t="n"/>
      <c r="AK1415">
        <f>IF($D1415="","",IF(COUNTIF($D$2:$D1415,$D1415)=1,1,0))</f>
        <v/>
      </c>
      <c r="AL1415">
        <f>IF($AK1415=1,SUMPRODUCT(--($AO$2:$AO$1501&lt;$AO1415))+1,"")</f>
        <v/>
      </c>
      <c r="AM1415">
        <f>IF($D1415="","",IF(OR($R1415=TRUE(),$R1415="TRUE"),1,0))</f>
        <v/>
      </c>
      <c r="AN1415">
        <f>IF($D1415="","",IF($AA1415="Yes",1,0))</f>
        <v/>
      </c>
      <c r="AO1415">
        <f>IF($AK1415=1,IFERROR(IF(VALUE($D1415)&lt;100000000,VALUE($D1415),1000000000),IFERROR(IF(VALUE(MID($D1415,2,20))&lt;100000000,VALUE(MID($D1415,2,20)),1000000000),1000000000))+ROW()/100000,"")</f>
        <v/>
      </c>
    </row>
    <row r="1416">
      <c r="F1416" s="11" t="n"/>
      <c r="N1416" s="7">
        <f>IF($D1416="","",M1416*V1416/100)</f>
        <v/>
      </c>
      <c r="O1416" s="7" t="n"/>
      <c r="U1416" s="7" t="n"/>
      <c r="V1416" s="7" t="n"/>
      <c r="W1416" s="7">
        <f>IF($D1416="","",V1416*AB1416/100)</f>
        <v/>
      </c>
      <c r="X1416" s="7">
        <f>IF($D1416="","",V1416-W1416)</f>
        <v/>
      </c>
      <c r="Y1416" s="7">
        <f>IF($D1416="","",X1416-N1416)</f>
        <v/>
      </c>
      <c r="AB1416">
        <f>IF($D1416="","",IF($AN1416=1,0,IF($AM1416=1,Settings!$C$6,Settings!$C$7))*100)</f>
        <v/>
      </c>
      <c r="AF1416" s="7" t="n"/>
      <c r="AI1416" s="11" t="n"/>
      <c r="AK1416">
        <f>IF($D1416="","",IF(COUNTIF($D$2:$D1416,$D1416)=1,1,0))</f>
        <v/>
      </c>
      <c r="AL1416">
        <f>IF($AK1416=1,SUMPRODUCT(--($AO$2:$AO$1501&lt;$AO1416))+1,"")</f>
        <v/>
      </c>
      <c r="AM1416">
        <f>IF($D1416="","",IF(OR($R1416=TRUE(),$R1416="TRUE"),1,0))</f>
        <v/>
      </c>
      <c r="AN1416">
        <f>IF($D1416="","",IF($AA1416="Yes",1,0))</f>
        <v/>
      </c>
      <c r="AO1416">
        <f>IF($AK1416=1,IFERROR(IF(VALUE($D1416)&lt;100000000,VALUE($D1416),1000000000),IFERROR(IF(VALUE(MID($D1416,2,20))&lt;100000000,VALUE(MID($D1416,2,20)),1000000000),1000000000))+ROW()/100000,"")</f>
        <v/>
      </c>
    </row>
    <row r="1417">
      <c r="F1417" s="11" t="n"/>
      <c r="N1417" s="7">
        <f>IF($D1417="","",M1417*V1417/100)</f>
        <v/>
      </c>
      <c r="O1417" s="7" t="n"/>
      <c r="U1417" s="7" t="n"/>
      <c r="V1417" s="7" t="n"/>
      <c r="W1417" s="7">
        <f>IF($D1417="","",V1417*AB1417/100)</f>
        <v/>
      </c>
      <c r="X1417" s="7">
        <f>IF($D1417="","",V1417-W1417)</f>
        <v/>
      </c>
      <c r="Y1417" s="7">
        <f>IF($D1417="","",X1417-N1417)</f>
        <v/>
      </c>
      <c r="AB1417">
        <f>IF($D1417="","",IF($AN1417=1,0,IF($AM1417=1,Settings!$C$6,Settings!$C$7))*100)</f>
        <v/>
      </c>
      <c r="AF1417" s="7" t="n"/>
      <c r="AI1417" s="11" t="n"/>
      <c r="AK1417">
        <f>IF($D1417="","",IF(COUNTIF($D$2:$D1417,$D1417)=1,1,0))</f>
        <v/>
      </c>
      <c r="AL1417">
        <f>IF($AK1417=1,SUMPRODUCT(--($AO$2:$AO$1501&lt;$AO1417))+1,"")</f>
        <v/>
      </c>
      <c r="AM1417">
        <f>IF($D1417="","",IF(OR($R1417=TRUE(),$R1417="TRUE"),1,0))</f>
        <v/>
      </c>
      <c r="AN1417">
        <f>IF($D1417="","",IF($AA1417="Yes",1,0))</f>
        <v/>
      </c>
      <c r="AO1417">
        <f>IF($AK1417=1,IFERROR(IF(VALUE($D1417)&lt;100000000,VALUE($D1417),1000000000),IFERROR(IF(VALUE(MID($D1417,2,20))&lt;100000000,VALUE(MID($D1417,2,20)),1000000000),1000000000))+ROW()/100000,"")</f>
        <v/>
      </c>
    </row>
    <row r="1418">
      <c r="F1418" s="11" t="n"/>
      <c r="N1418" s="7">
        <f>IF($D1418="","",M1418*V1418/100)</f>
        <v/>
      </c>
      <c r="O1418" s="7" t="n"/>
      <c r="U1418" s="7" t="n"/>
      <c r="V1418" s="7" t="n"/>
      <c r="W1418" s="7">
        <f>IF($D1418="","",V1418*AB1418/100)</f>
        <v/>
      </c>
      <c r="X1418" s="7">
        <f>IF($D1418="","",V1418-W1418)</f>
        <v/>
      </c>
      <c r="Y1418" s="7">
        <f>IF($D1418="","",X1418-N1418)</f>
        <v/>
      </c>
      <c r="AB1418">
        <f>IF($D1418="","",IF($AN1418=1,0,IF($AM1418=1,Settings!$C$6,Settings!$C$7))*100)</f>
        <v/>
      </c>
      <c r="AF1418" s="7" t="n"/>
      <c r="AI1418" s="11" t="n"/>
      <c r="AK1418">
        <f>IF($D1418="","",IF(COUNTIF($D$2:$D1418,$D1418)=1,1,0))</f>
        <v/>
      </c>
      <c r="AL1418">
        <f>IF($AK1418=1,SUMPRODUCT(--($AO$2:$AO$1501&lt;$AO1418))+1,"")</f>
        <v/>
      </c>
      <c r="AM1418">
        <f>IF($D1418="","",IF(OR($R1418=TRUE(),$R1418="TRUE"),1,0))</f>
        <v/>
      </c>
      <c r="AN1418">
        <f>IF($D1418="","",IF($AA1418="Yes",1,0))</f>
        <v/>
      </c>
      <c r="AO1418">
        <f>IF($AK1418=1,IFERROR(IF(VALUE($D1418)&lt;100000000,VALUE($D1418),1000000000),IFERROR(IF(VALUE(MID($D1418,2,20))&lt;100000000,VALUE(MID($D1418,2,20)),1000000000),1000000000))+ROW()/100000,"")</f>
        <v/>
      </c>
    </row>
    <row r="1419">
      <c r="F1419" s="11" t="n"/>
      <c r="N1419" s="7">
        <f>IF($D1419="","",M1419*V1419/100)</f>
        <v/>
      </c>
      <c r="O1419" s="7" t="n"/>
      <c r="U1419" s="7" t="n"/>
      <c r="V1419" s="7" t="n"/>
      <c r="W1419" s="7">
        <f>IF($D1419="","",V1419*AB1419/100)</f>
        <v/>
      </c>
      <c r="X1419" s="7">
        <f>IF($D1419="","",V1419-W1419)</f>
        <v/>
      </c>
      <c r="Y1419" s="7">
        <f>IF($D1419="","",X1419-N1419)</f>
        <v/>
      </c>
      <c r="AB1419">
        <f>IF($D1419="","",IF($AN1419=1,0,IF($AM1419=1,Settings!$C$6,Settings!$C$7))*100)</f>
        <v/>
      </c>
      <c r="AF1419" s="7" t="n"/>
      <c r="AI1419" s="11" t="n"/>
      <c r="AK1419">
        <f>IF($D1419="","",IF(COUNTIF($D$2:$D1419,$D1419)=1,1,0))</f>
        <v/>
      </c>
      <c r="AL1419">
        <f>IF($AK1419=1,SUMPRODUCT(--($AO$2:$AO$1501&lt;$AO1419))+1,"")</f>
        <v/>
      </c>
      <c r="AM1419">
        <f>IF($D1419="","",IF(OR($R1419=TRUE(),$R1419="TRUE"),1,0))</f>
        <v/>
      </c>
      <c r="AN1419">
        <f>IF($D1419="","",IF($AA1419="Yes",1,0))</f>
        <v/>
      </c>
      <c r="AO1419">
        <f>IF($AK1419=1,IFERROR(IF(VALUE($D1419)&lt;100000000,VALUE($D1419),1000000000),IFERROR(IF(VALUE(MID($D1419,2,20))&lt;100000000,VALUE(MID($D1419,2,20)),1000000000),1000000000))+ROW()/100000,"")</f>
        <v/>
      </c>
    </row>
    <row r="1420">
      <c r="F1420" s="11" t="n"/>
      <c r="N1420" s="7">
        <f>IF($D1420="","",M1420*V1420/100)</f>
        <v/>
      </c>
      <c r="O1420" s="7" t="n"/>
      <c r="U1420" s="7" t="n"/>
      <c r="V1420" s="7" t="n"/>
      <c r="W1420" s="7">
        <f>IF($D1420="","",V1420*AB1420/100)</f>
        <v/>
      </c>
      <c r="X1420" s="7">
        <f>IF($D1420="","",V1420-W1420)</f>
        <v/>
      </c>
      <c r="Y1420" s="7">
        <f>IF($D1420="","",X1420-N1420)</f>
        <v/>
      </c>
      <c r="AB1420">
        <f>IF($D1420="","",IF($AN1420=1,0,IF($AM1420=1,Settings!$C$6,Settings!$C$7))*100)</f>
        <v/>
      </c>
      <c r="AF1420" s="7" t="n"/>
      <c r="AI1420" s="11" t="n"/>
      <c r="AK1420">
        <f>IF($D1420="","",IF(COUNTIF($D$2:$D1420,$D1420)=1,1,0))</f>
        <v/>
      </c>
      <c r="AL1420">
        <f>IF($AK1420=1,SUMPRODUCT(--($AO$2:$AO$1501&lt;$AO1420))+1,"")</f>
        <v/>
      </c>
      <c r="AM1420">
        <f>IF($D1420="","",IF(OR($R1420=TRUE(),$R1420="TRUE"),1,0))</f>
        <v/>
      </c>
      <c r="AN1420">
        <f>IF($D1420="","",IF($AA1420="Yes",1,0))</f>
        <v/>
      </c>
      <c r="AO1420">
        <f>IF($AK1420=1,IFERROR(IF(VALUE($D1420)&lt;100000000,VALUE($D1420),1000000000),IFERROR(IF(VALUE(MID($D1420,2,20))&lt;100000000,VALUE(MID($D1420,2,20)),1000000000),1000000000))+ROW()/100000,"")</f>
        <v/>
      </c>
    </row>
    <row r="1421">
      <c r="F1421" s="11" t="n"/>
      <c r="N1421" s="7">
        <f>IF($D1421="","",M1421*V1421/100)</f>
        <v/>
      </c>
      <c r="O1421" s="7" t="n"/>
      <c r="U1421" s="7" t="n"/>
      <c r="V1421" s="7" t="n"/>
      <c r="W1421" s="7">
        <f>IF($D1421="","",V1421*AB1421/100)</f>
        <v/>
      </c>
      <c r="X1421" s="7">
        <f>IF($D1421="","",V1421-W1421)</f>
        <v/>
      </c>
      <c r="Y1421" s="7">
        <f>IF($D1421="","",X1421-N1421)</f>
        <v/>
      </c>
      <c r="AB1421">
        <f>IF($D1421="","",IF($AN1421=1,0,IF($AM1421=1,Settings!$C$6,Settings!$C$7))*100)</f>
        <v/>
      </c>
      <c r="AF1421" s="7" t="n"/>
      <c r="AI1421" s="11" t="n"/>
      <c r="AK1421">
        <f>IF($D1421="","",IF(COUNTIF($D$2:$D1421,$D1421)=1,1,0))</f>
        <v/>
      </c>
      <c r="AL1421">
        <f>IF($AK1421=1,SUMPRODUCT(--($AO$2:$AO$1501&lt;$AO1421))+1,"")</f>
        <v/>
      </c>
      <c r="AM1421">
        <f>IF($D1421="","",IF(OR($R1421=TRUE(),$R1421="TRUE"),1,0))</f>
        <v/>
      </c>
      <c r="AN1421">
        <f>IF($D1421="","",IF($AA1421="Yes",1,0))</f>
        <v/>
      </c>
      <c r="AO1421">
        <f>IF($AK1421=1,IFERROR(IF(VALUE($D1421)&lt;100000000,VALUE($D1421),1000000000),IFERROR(IF(VALUE(MID($D1421,2,20))&lt;100000000,VALUE(MID($D1421,2,20)),1000000000),1000000000))+ROW()/100000,"")</f>
        <v/>
      </c>
    </row>
    <row r="1422">
      <c r="F1422" s="11" t="n"/>
      <c r="N1422" s="7">
        <f>IF($D1422="","",M1422*V1422/100)</f>
        <v/>
      </c>
      <c r="O1422" s="7" t="n"/>
      <c r="U1422" s="7" t="n"/>
      <c r="V1422" s="7" t="n"/>
      <c r="W1422" s="7">
        <f>IF($D1422="","",V1422*AB1422/100)</f>
        <v/>
      </c>
      <c r="X1422" s="7">
        <f>IF($D1422="","",V1422-W1422)</f>
        <v/>
      </c>
      <c r="Y1422" s="7">
        <f>IF($D1422="","",X1422-N1422)</f>
        <v/>
      </c>
      <c r="AB1422">
        <f>IF($D1422="","",IF($AN1422=1,0,IF($AM1422=1,Settings!$C$6,Settings!$C$7))*100)</f>
        <v/>
      </c>
      <c r="AF1422" s="7" t="n"/>
      <c r="AI1422" s="11" t="n"/>
      <c r="AK1422">
        <f>IF($D1422="","",IF(COUNTIF($D$2:$D1422,$D1422)=1,1,0))</f>
        <v/>
      </c>
      <c r="AL1422">
        <f>IF($AK1422=1,SUMPRODUCT(--($AO$2:$AO$1501&lt;$AO1422))+1,"")</f>
        <v/>
      </c>
      <c r="AM1422">
        <f>IF($D1422="","",IF(OR($R1422=TRUE(),$R1422="TRUE"),1,0))</f>
        <v/>
      </c>
      <c r="AN1422">
        <f>IF($D1422="","",IF($AA1422="Yes",1,0))</f>
        <v/>
      </c>
      <c r="AO1422">
        <f>IF($AK1422=1,IFERROR(IF(VALUE($D1422)&lt;100000000,VALUE($D1422),1000000000),IFERROR(IF(VALUE(MID($D1422,2,20))&lt;100000000,VALUE(MID($D1422,2,20)),1000000000),1000000000))+ROW()/100000,"")</f>
        <v/>
      </c>
    </row>
    <row r="1423">
      <c r="F1423" s="11" t="n"/>
      <c r="N1423" s="7">
        <f>IF($D1423="","",M1423*V1423/100)</f>
        <v/>
      </c>
      <c r="O1423" s="7" t="n"/>
      <c r="U1423" s="7" t="n"/>
      <c r="V1423" s="7" t="n"/>
      <c r="W1423" s="7">
        <f>IF($D1423="","",V1423*AB1423/100)</f>
        <v/>
      </c>
      <c r="X1423" s="7">
        <f>IF($D1423="","",V1423-W1423)</f>
        <v/>
      </c>
      <c r="Y1423" s="7">
        <f>IF($D1423="","",X1423-N1423)</f>
        <v/>
      </c>
      <c r="AB1423">
        <f>IF($D1423="","",IF($AN1423=1,0,IF($AM1423=1,Settings!$C$6,Settings!$C$7))*100)</f>
        <v/>
      </c>
      <c r="AF1423" s="7" t="n"/>
      <c r="AI1423" s="11" t="n"/>
      <c r="AK1423">
        <f>IF($D1423="","",IF(COUNTIF($D$2:$D1423,$D1423)=1,1,0))</f>
        <v/>
      </c>
      <c r="AL1423">
        <f>IF($AK1423=1,SUMPRODUCT(--($AO$2:$AO$1501&lt;$AO1423))+1,"")</f>
        <v/>
      </c>
      <c r="AM1423">
        <f>IF($D1423="","",IF(OR($R1423=TRUE(),$R1423="TRUE"),1,0))</f>
        <v/>
      </c>
      <c r="AN1423">
        <f>IF($D1423="","",IF($AA1423="Yes",1,0))</f>
        <v/>
      </c>
      <c r="AO1423">
        <f>IF($AK1423=1,IFERROR(IF(VALUE($D1423)&lt;100000000,VALUE($D1423),1000000000),IFERROR(IF(VALUE(MID($D1423,2,20))&lt;100000000,VALUE(MID($D1423,2,20)),1000000000),1000000000))+ROW()/100000,"")</f>
        <v/>
      </c>
    </row>
    <row r="1424">
      <c r="F1424" s="11" t="n"/>
      <c r="N1424" s="7">
        <f>IF($D1424="","",M1424*V1424/100)</f>
        <v/>
      </c>
      <c r="O1424" s="7" t="n"/>
      <c r="U1424" s="7" t="n"/>
      <c r="V1424" s="7" t="n"/>
      <c r="W1424" s="7">
        <f>IF($D1424="","",V1424*AB1424/100)</f>
        <v/>
      </c>
      <c r="X1424" s="7">
        <f>IF($D1424="","",V1424-W1424)</f>
        <v/>
      </c>
      <c r="Y1424" s="7">
        <f>IF($D1424="","",X1424-N1424)</f>
        <v/>
      </c>
      <c r="AB1424">
        <f>IF($D1424="","",IF($AN1424=1,0,IF($AM1424=1,Settings!$C$6,Settings!$C$7))*100)</f>
        <v/>
      </c>
      <c r="AF1424" s="7" t="n"/>
      <c r="AI1424" s="11" t="n"/>
      <c r="AK1424">
        <f>IF($D1424="","",IF(COUNTIF($D$2:$D1424,$D1424)=1,1,0))</f>
        <v/>
      </c>
      <c r="AL1424">
        <f>IF($AK1424=1,SUMPRODUCT(--($AO$2:$AO$1501&lt;$AO1424))+1,"")</f>
        <v/>
      </c>
      <c r="AM1424">
        <f>IF($D1424="","",IF(OR($R1424=TRUE(),$R1424="TRUE"),1,0))</f>
        <v/>
      </c>
      <c r="AN1424">
        <f>IF($D1424="","",IF($AA1424="Yes",1,0))</f>
        <v/>
      </c>
      <c r="AO1424">
        <f>IF($AK1424=1,IFERROR(IF(VALUE($D1424)&lt;100000000,VALUE($D1424),1000000000),IFERROR(IF(VALUE(MID($D1424,2,20))&lt;100000000,VALUE(MID($D1424,2,20)),1000000000),1000000000))+ROW()/100000,"")</f>
        <v/>
      </c>
    </row>
    <row r="1425">
      <c r="F1425" s="11" t="n"/>
      <c r="N1425" s="7">
        <f>IF($D1425="","",M1425*V1425/100)</f>
        <v/>
      </c>
      <c r="O1425" s="7" t="n"/>
      <c r="U1425" s="7" t="n"/>
      <c r="V1425" s="7" t="n"/>
      <c r="W1425" s="7">
        <f>IF($D1425="","",V1425*AB1425/100)</f>
        <v/>
      </c>
      <c r="X1425" s="7">
        <f>IF($D1425="","",V1425-W1425)</f>
        <v/>
      </c>
      <c r="Y1425" s="7">
        <f>IF($D1425="","",X1425-N1425)</f>
        <v/>
      </c>
      <c r="AB1425">
        <f>IF($D1425="","",IF($AN1425=1,0,IF($AM1425=1,Settings!$C$6,Settings!$C$7))*100)</f>
        <v/>
      </c>
      <c r="AF1425" s="7" t="n"/>
      <c r="AI1425" s="11" t="n"/>
      <c r="AK1425">
        <f>IF($D1425="","",IF(COUNTIF($D$2:$D1425,$D1425)=1,1,0))</f>
        <v/>
      </c>
      <c r="AL1425">
        <f>IF($AK1425=1,SUMPRODUCT(--($AO$2:$AO$1501&lt;$AO1425))+1,"")</f>
        <v/>
      </c>
      <c r="AM1425">
        <f>IF($D1425="","",IF(OR($R1425=TRUE(),$R1425="TRUE"),1,0))</f>
        <v/>
      </c>
      <c r="AN1425">
        <f>IF($D1425="","",IF($AA1425="Yes",1,0))</f>
        <v/>
      </c>
      <c r="AO1425">
        <f>IF($AK1425=1,IFERROR(IF(VALUE($D1425)&lt;100000000,VALUE($D1425),1000000000),IFERROR(IF(VALUE(MID($D1425,2,20))&lt;100000000,VALUE(MID($D1425,2,20)),1000000000),1000000000))+ROW()/100000,"")</f>
        <v/>
      </c>
    </row>
    <row r="1426">
      <c r="F1426" s="11" t="n"/>
      <c r="N1426" s="7">
        <f>IF($D1426="","",M1426*V1426/100)</f>
        <v/>
      </c>
      <c r="O1426" s="7" t="n"/>
      <c r="U1426" s="7" t="n"/>
      <c r="V1426" s="7" t="n"/>
      <c r="W1426" s="7">
        <f>IF($D1426="","",V1426*AB1426/100)</f>
        <v/>
      </c>
      <c r="X1426" s="7">
        <f>IF($D1426="","",V1426-W1426)</f>
        <v/>
      </c>
      <c r="Y1426" s="7">
        <f>IF($D1426="","",X1426-N1426)</f>
        <v/>
      </c>
      <c r="AB1426">
        <f>IF($D1426="","",IF($AN1426=1,0,IF($AM1426=1,Settings!$C$6,Settings!$C$7))*100)</f>
        <v/>
      </c>
      <c r="AF1426" s="7" t="n"/>
      <c r="AI1426" s="11" t="n"/>
      <c r="AK1426">
        <f>IF($D1426="","",IF(COUNTIF($D$2:$D1426,$D1426)=1,1,0))</f>
        <v/>
      </c>
      <c r="AL1426">
        <f>IF($AK1426=1,SUMPRODUCT(--($AO$2:$AO$1501&lt;$AO1426))+1,"")</f>
        <v/>
      </c>
      <c r="AM1426">
        <f>IF($D1426="","",IF(OR($R1426=TRUE(),$R1426="TRUE"),1,0))</f>
        <v/>
      </c>
      <c r="AN1426">
        <f>IF($D1426="","",IF($AA1426="Yes",1,0))</f>
        <v/>
      </c>
      <c r="AO1426">
        <f>IF($AK1426=1,IFERROR(IF(VALUE($D1426)&lt;100000000,VALUE($D1426),1000000000),IFERROR(IF(VALUE(MID($D1426,2,20))&lt;100000000,VALUE(MID($D1426,2,20)),1000000000),1000000000))+ROW()/100000,"")</f>
        <v/>
      </c>
    </row>
    <row r="1427">
      <c r="F1427" s="11" t="n"/>
      <c r="N1427" s="7">
        <f>IF($D1427="","",M1427*V1427/100)</f>
        <v/>
      </c>
      <c r="O1427" s="7" t="n"/>
      <c r="U1427" s="7" t="n"/>
      <c r="V1427" s="7" t="n"/>
      <c r="W1427" s="7">
        <f>IF($D1427="","",V1427*AB1427/100)</f>
        <v/>
      </c>
      <c r="X1427" s="7">
        <f>IF($D1427="","",V1427-W1427)</f>
        <v/>
      </c>
      <c r="Y1427" s="7">
        <f>IF($D1427="","",X1427-N1427)</f>
        <v/>
      </c>
      <c r="AB1427">
        <f>IF($D1427="","",IF($AN1427=1,0,IF($AM1427=1,Settings!$C$6,Settings!$C$7))*100)</f>
        <v/>
      </c>
      <c r="AF1427" s="7" t="n"/>
      <c r="AI1427" s="11" t="n"/>
      <c r="AK1427">
        <f>IF($D1427="","",IF(COUNTIF($D$2:$D1427,$D1427)=1,1,0))</f>
        <v/>
      </c>
      <c r="AL1427">
        <f>IF($AK1427=1,SUMPRODUCT(--($AO$2:$AO$1501&lt;$AO1427))+1,"")</f>
        <v/>
      </c>
      <c r="AM1427">
        <f>IF($D1427="","",IF(OR($R1427=TRUE(),$R1427="TRUE"),1,0))</f>
        <v/>
      </c>
      <c r="AN1427">
        <f>IF($D1427="","",IF($AA1427="Yes",1,0))</f>
        <v/>
      </c>
      <c r="AO1427">
        <f>IF($AK1427=1,IFERROR(IF(VALUE($D1427)&lt;100000000,VALUE($D1427),1000000000),IFERROR(IF(VALUE(MID($D1427,2,20))&lt;100000000,VALUE(MID($D1427,2,20)),1000000000),1000000000))+ROW()/100000,"")</f>
        <v/>
      </c>
    </row>
    <row r="1428">
      <c r="F1428" s="11" t="n"/>
      <c r="N1428" s="7">
        <f>IF($D1428="","",M1428*V1428/100)</f>
        <v/>
      </c>
      <c r="O1428" s="7" t="n"/>
      <c r="U1428" s="7" t="n"/>
      <c r="V1428" s="7" t="n"/>
      <c r="W1428" s="7">
        <f>IF($D1428="","",V1428*AB1428/100)</f>
        <v/>
      </c>
      <c r="X1428" s="7">
        <f>IF($D1428="","",V1428-W1428)</f>
        <v/>
      </c>
      <c r="Y1428" s="7">
        <f>IF($D1428="","",X1428-N1428)</f>
        <v/>
      </c>
      <c r="AB1428">
        <f>IF($D1428="","",IF($AN1428=1,0,IF($AM1428=1,Settings!$C$6,Settings!$C$7))*100)</f>
        <v/>
      </c>
      <c r="AF1428" s="7" t="n"/>
      <c r="AI1428" s="11" t="n"/>
      <c r="AK1428">
        <f>IF($D1428="","",IF(COUNTIF($D$2:$D1428,$D1428)=1,1,0))</f>
        <v/>
      </c>
      <c r="AL1428">
        <f>IF($AK1428=1,SUMPRODUCT(--($AO$2:$AO$1501&lt;$AO1428))+1,"")</f>
        <v/>
      </c>
      <c r="AM1428">
        <f>IF($D1428="","",IF(OR($R1428=TRUE(),$R1428="TRUE"),1,0))</f>
        <v/>
      </c>
      <c r="AN1428">
        <f>IF($D1428="","",IF($AA1428="Yes",1,0))</f>
        <v/>
      </c>
      <c r="AO1428">
        <f>IF($AK1428=1,IFERROR(IF(VALUE($D1428)&lt;100000000,VALUE($D1428),1000000000),IFERROR(IF(VALUE(MID($D1428,2,20))&lt;100000000,VALUE(MID($D1428,2,20)),1000000000),1000000000))+ROW()/100000,"")</f>
        <v/>
      </c>
    </row>
    <row r="1429">
      <c r="F1429" s="11" t="n"/>
      <c r="N1429" s="7">
        <f>IF($D1429="","",M1429*V1429/100)</f>
        <v/>
      </c>
      <c r="O1429" s="7" t="n"/>
      <c r="U1429" s="7" t="n"/>
      <c r="V1429" s="7" t="n"/>
      <c r="W1429" s="7">
        <f>IF($D1429="","",V1429*AB1429/100)</f>
        <v/>
      </c>
      <c r="X1429" s="7">
        <f>IF($D1429="","",V1429-W1429)</f>
        <v/>
      </c>
      <c r="Y1429" s="7">
        <f>IF($D1429="","",X1429-N1429)</f>
        <v/>
      </c>
      <c r="AB1429">
        <f>IF($D1429="","",IF($AN1429=1,0,IF($AM1429=1,Settings!$C$6,Settings!$C$7))*100)</f>
        <v/>
      </c>
      <c r="AF1429" s="7" t="n"/>
      <c r="AI1429" s="11" t="n"/>
      <c r="AK1429">
        <f>IF($D1429="","",IF(COUNTIF($D$2:$D1429,$D1429)=1,1,0))</f>
        <v/>
      </c>
      <c r="AL1429">
        <f>IF($AK1429=1,SUMPRODUCT(--($AO$2:$AO$1501&lt;$AO1429))+1,"")</f>
        <v/>
      </c>
      <c r="AM1429">
        <f>IF($D1429="","",IF(OR($R1429=TRUE(),$R1429="TRUE"),1,0))</f>
        <v/>
      </c>
      <c r="AN1429">
        <f>IF($D1429="","",IF($AA1429="Yes",1,0))</f>
        <v/>
      </c>
      <c r="AO1429">
        <f>IF($AK1429=1,IFERROR(IF(VALUE($D1429)&lt;100000000,VALUE($D1429),1000000000),IFERROR(IF(VALUE(MID($D1429,2,20))&lt;100000000,VALUE(MID($D1429,2,20)),1000000000),1000000000))+ROW()/100000,"")</f>
        <v/>
      </c>
    </row>
    <row r="1430">
      <c r="F1430" s="11" t="n"/>
      <c r="N1430" s="7">
        <f>IF($D1430="","",M1430*V1430/100)</f>
        <v/>
      </c>
      <c r="O1430" s="7" t="n"/>
      <c r="U1430" s="7" t="n"/>
      <c r="V1430" s="7" t="n"/>
      <c r="W1430" s="7">
        <f>IF($D1430="","",V1430*AB1430/100)</f>
        <v/>
      </c>
      <c r="X1430" s="7">
        <f>IF($D1430="","",V1430-W1430)</f>
        <v/>
      </c>
      <c r="Y1430" s="7">
        <f>IF($D1430="","",X1430-N1430)</f>
        <v/>
      </c>
      <c r="AB1430">
        <f>IF($D1430="","",IF($AN1430=1,0,IF($AM1430=1,Settings!$C$6,Settings!$C$7))*100)</f>
        <v/>
      </c>
      <c r="AF1430" s="7" t="n"/>
      <c r="AI1430" s="11" t="n"/>
      <c r="AK1430">
        <f>IF($D1430="","",IF(COUNTIF($D$2:$D1430,$D1430)=1,1,0))</f>
        <v/>
      </c>
      <c r="AL1430">
        <f>IF($AK1430=1,SUMPRODUCT(--($AO$2:$AO$1501&lt;$AO1430))+1,"")</f>
        <v/>
      </c>
      <c r="AM1430">
        <f>IF($D1430="","",IF(OR($R1430=TRUE(),$R1430="TRUE"),1,0))</f>
        <v/>
      </c>
      <c r="AN1430">
        <f>IF($D1430="","",IF($AA1430="Yes",1,0))</f>
        <v/>
      </c>
      <c r="AO1430">
        <f>IF($AK1430=1,IFERROR(IF(VALUE($D1430)&lt;100000000,VALUE($D1430),1000000000),IFERROR(IF(VALUE(MID($D1430,2,20))&lt;100000000,VALUE(MID($D1430,2,20)),1000000000),1000000000))+ROW()/100000,"")</f>
        <v/>
      </c>
    </row>
    <row r="1431">
      <c r="F1431" s="11" t="n"/>
      <c r="N1431" s="7">
        <f>IF($D1431="","",M1431*V1431/100)</f>
        <v/>
      </c>
      <c r="O1431" s="7" t="n"/>
      <c r="U1431" s="7" t="n"/>
      <c r="V1431" s="7" t="n"/>
      <c r="W1431" s="7">
        <f>IF($D1431="","",V1431*AB1431/100)</f>
        <v/>
      </c>
      <c r="X1431" s="7">
        <f>IF($D1431="","",V1431-W1431)</f>
        <v/>
      </c>
      <c r="Y1431" s="7">
        <f>IF($D1431="","",X1431-N1431)</f>
        <v/>
      </c>
      <c r="AB1431">
        <f>IF($D1431="","",IF($AN1431=1,0,IF($AM1431=1,Settings!$C$6,Settings!$C$7))*100)</f>
        <v/>
      </c>
      <c r="AF1431" s="7" t="n"/>
      <c r="AI1431" s="11" t="n"/>
      <c r="AK1431">
        <f>IF($D1431="","",IF(COUNTIF($D$2:$D1431,$D1431)=1,1,0))</f>
        <v/>
      </c>
      <c r="AL1431">
        <f>IF($AK1431=1,SUMPRODUCT(--($AO$2:$AO$1501&lt;$AO1431))+1,"")</f>
        <v/>
      </c>
      <c r="AM1431">
        <f>IF($D1431="","",IF(OR($R1431=TRUE(),$R1431="TRUE"),1,0))</f>
        <v/>
      </c>
      <c r="AN1431">
        <f>IF($D1431="","",IF($AA1431="Yes",1,0))</f>
        <v/>
      </c>
      <c r="AO1431">
        <f>IF($AK1431=1,IFERROR(IF(VALUE($D1431)&lt;100000000,VALUE($D1431),1000000000),IFERROR(IF(VALUE(MID($D1431,2,20))&lt;100000000,VALUE(MID($D1431,2,20)),1000000000),1000000000))+ROW()/100000,"")</f>
        <v/>
      </c>
    </row>
    <row r="1432">
      <c r="F1432" s="11" t="n"/>
      <c r="N1432" s="7">
        <f>IF($D1432="","",M1432*V1432/100)</f>
        <v/>
      </c>
      <c r="O1432" s="7" t="n"/>
      <c r="U1432" s="7" t="n"/>
      <c r="V1432" s="7" t="n"/>
      <c r="W1432" s="7">
        <f>IF($D1432="","",V1432*AB1432/100)</f>
        <v/>
      </c>
      <c r="X1432" s="7">
        <f>IF($D1432="","",V1432-W1432)</f>
        <v/>
      </c>
      <c r="Y1432" s="7">
        <f>IF($D1432="","",X1432-N1432)</f>
        <v/>
      </c>
      <c r="AB1432">
        <f>IF($D1432="","",IF($AN1432=1,0,IF($AM1432=1,Settings!$C$6,Settings!$C$7))*100)</f>
        <v/>
      </c>
      <c r="AF1432" s="7" t="n"/>
      <c r="AI1432" s="11" t="n"/>
      <c r="AK1432">
        <f>IF($D1432="","",IF(COUNTIF($D$2:$D1432,$D1432)=1,1,0))</f>
        <v/>
      </c>
      <c r="AL1432">
        <f>IF($AK1432=1,SUMPRODUCT(--($AO$2:$AO$1501&lt;$AO1432))+1,"")</f>
        <v/>
      </c>
      <c r="AM1432">
        <f>IF($D1432="","",IF(OR($R1432=TRUE(),$R1432="TRUE"),1,0))</f>
        <v/>
      </c>
      <c r="AN1432">
        <f>IF($D1432="","",IF($AA1432="Yes",1,0))</f>
        <v/>
      </c>
      <c r="AO1432">
        <f>IF($AK1432=1,IFERROR(IF(VALUE($D1432)&lt;100000000,VALUE($D1432),1000000000),IFERROR(IF(VALUE(MID($D1432,2,20))&lt;100000000,VALUE(MID($D1432,2,20)),1000000000),1000000000))+ROW()/100000,"")</f>
        <v/>
      </c>
    </row>
    <row r="1433">
      <c r="F1433" s="11" t="n"/>
      <c r="N1433" s="7">
        <f>IF($D1433="","",M1433*V1433/100)</f>
        <v/>
      </c>
      <c r="O1433" s="7" t="n"/>
      <c r="U1433" s="7" t="n"/>
      <c r="V1433" s="7" t="n"/>
      <c r="W1433" s="7">
        <f>IF($D1433="","",V1433*AB1433/100)</f>
        <v/>
      </c>
      <c r="X1433" s="7">
        <f>IF($D1433="","",V1433-W1433)</f>
        <v/>
      </c>
      <c r="Y1433" s="7">
        <f>IF($D1433="","",X1433-N1433)</f>
        <v/>
      </c>
      <c r="AB1433">
        <f>IF($D1433="","",IF($AN1433=1,0,IF($AM1433=1,Settings!$C$6,Settings!$C$7))*100)</f>
        <v/>
      </c>
      <c r="AF1433" s="7" t="n"/>
      <c r="AI1433" s="11" t="n"/>
      <c r="AK1433">
        <f>IF($D1433="","",IF(COUNTIF($D$2:$D1433,$D1433)=1,1,0))</f>
        <v/>
      </c>
      <c r="AL1433">
        <f>IF($AK1433=1,SUMPRODUCT(--($AO$2:$AO$1501&lt;$AO1433))+1,"")</f>
        <v/>
      </c>
      <c r="AM1433">
        <f>IF($D1433="","",IF(OR($R1433=TRUE(),$R1433="TRUE"),1,0))</f>
        <v/>
      </c>
      <c r="AN1433">
        <f>IF($D1433="","",IF($AA1433="Yes",1,0))</f>
        <v/>
      </c>
      <c r="AO1433">
        <f>IF($AK1433=1,IFERROR(IF(VALUE($D1433)&lt;100000000,VALUE($D1433),1000000000),IFERROR(IF(VALUE(MID($D1433,2,20))&lt;100000000,VALUE(MID($D1433,2,20)),1000000000),1000000000))+ROW()/100000,"")</f>
        <v/>
      </c>
    </row>
    <row r="1434">
      <c r="F1434" s="11" t="n"/>
      <c r="N1434" s="7">
        <f>IF($D1434="","",M1434*V1434/100)</f>
        <v/>
      </c>
      <c r="O1434" s="7" t="n"/>
      <c r="U1434" s="7" t="n"/>
      <c r="V1434" s="7" t="n"/>
      <c r="W1434" s="7">
        <f>IF($D1434="","",V1434*AB1434/100)</f>
        <v/>
      </c>
      <c r="X1434" s="7">
        <f>IF($D1434="","",V1434-W1434)</f>
        <v/>
      </c>
      <c r="Y1434" s="7">
        <f>IF($D1434="","",X1434-N1434)</f>
        <v/>
      </c>
      <c r="AB1434">
        <f>IF($D1434="","",IF($AN1434=1,0,IF($AM1434=1,Settings!$C$6,Settings!$C$7))*100)</f>
        <v/>
      </c>
      <c r="AF1434" s="7" t="n"/>
      <c r="AI1434" s="11" t="n"/>
      <c r="AK1434">
        <f>IF($D1434="","",IF(COUNTIF($D$2:$D1434,$D1434)=1,1,0))</f>
        <v/>
      </c>
      <c r="AL1434">
        <f>IF($AK1434=1,SUMPRODUCT(--($AO$2:$AO$1501&lt;$AO1434))+1,"")</f>
        <v/>
      </c>
      <c r="AM1434">
        <f>IF($D1434="","",IF(OR($R1434=TRUE(),$R1434="TRUE"),1,0))</f>
        <v/>
      </c>
      <c r="AN1434">
        <f>IF($D1434="","",IF($AA1434="Yes",1,0))</f>
        <v/>
      </c>
      <c r="AO1434">
        <f>IF($AK1434=1,IFERROR(IF(VALUE($D1434)&lt;100000000,VALUE($D1434),1000000000),IFERROR(IF(VALUE(MID($D1434,2,20))&lt;100000000,VALUE(MID($D1434,2,20)),1000000000),1000000000))+ROW()/100000,"")</f>
        <v/>
      </c>
    </row>
    <row r="1435">
      <c r="F1435" s="11" t="n"/>
      <c r="N1435" s="7">
        <f>IF($D1435="","",M1435*V1435/100)</f>
        <v/>
      </c>
      <c r="O1435" s="7" t="n"/>
      <c r="U1435" s="7" t="n"/>
      <c r="V1435" s="7" t="n"/>
      <c r="W1435" s="7">
        <f>IF($D1435="","",V1435*AB1435/100)</f>
        <v/>
      </c>
      <c r="X1435" s="7">
        <f>IF($D1435="","",V1435-W1435)</f>
        <v/>
      </c>
      <c r="Y1435" s="7">
        <f>IF($D1435="","",X1435-N1435)</f>
        <v/>
      </c>
      <c r="AB1435">
        <f>IF($D1435="","",IF($AN1435=1,0,IF($AM1435=1,Settings!$C$6,Settings!$C$7))*100)</f>
        <v/>
      </c>
      <c r="AF1435" s="7" t="n"/>
      <c r="AI1435" s="11" t="n"/>
      <c r="AK1435">
        <f>IF($D1435="","",IF(COUNTIF($D$2:$D1435,$D1435)=1,1,0))</f>
        <v/>
      </c>
      <c r="AL1435">
        <f>IF($AK1435=1,SUMPRODUCT(--($AO$2:$AO$1501&lt;$AO1435))+1,"")</f>
        <v/>
      </c>
      <c r="AM1435">
        <f>IF($D1435="","",IF(OR($R1435=TRUE(),$R1435="TRUE"),1,0))</f>
        <v/>
      </c>
      <c r="AN1435">
        <f>IF($D1435="","",IF($AA1435="Yes",1,0))</f>
        <v/>
      </c>
      <c r="AO1435">
        <f>IF($AK1435=1,IFERROR(IF(VALUE($D1435)&lt;100000000,VALUE($D1435),1000000000),IFERROR(IF(VALUE(MID($D1435,2,20))&lt;100000000,VALUE(MID($D1435,2,20)),1000000000),1000000000))+ROW()/100000,"")</f>
        <v/>
      </c>
    </row>
    <row r="1436">
      <c r="F1436" s="11" t="n"/>
      <c r="N1436" s="7">
        <f>IF($D1436="","",M1436*V1436/100)</f>
        <v/>
      </c>
      <c r="O1436" s="7" t="n"/>
      <c r="U1436" s="7" t="n"/>
      <c r="V1436" s="7" t="n"/>
      <c r="W1436" s="7">
        <f>IF($D1436="","",V1436*AB1436/100)</f>
        <v/>
      </c>
      <c r="X1436" s="7">
        <f>IF($D1436="","",V1436-W1436)</f>
        <v/>
      </c>
      <c r="Y1436" s="7">
        <f>IF($D1436="","",X1436-N1436)</f>
        <v/>
      </c>
      <c r="AB1436">
        <f>IF($D1436="","",IF($AN1436=1,0,IF($AM1436=1,Settings!$C$6,Settings!$C$7))*100)</f>
        <v/>
      </c>
      <c r="AF1436" s="7" t="n"/>
      <c r="AI1436" s="11" t="n"/>
      <c r="AK1436">
        <f>IF($D1436="","",IF(COUNTIF($D$2:$D1436,$D1436)=1,1,0))</f>
        <v/>
      </c>
      <c r="AL1436">
        <f>IF($AK1436=1,SUMPRODUCT(--($AO$2:$AO$1501&lt;$AO1436))+1,"")</f>
        <v/>
      </c>
      <c r="AM1436">
        <f>IF($D1436="","",IF(OR($R1436=TRUE(),$R1436="TRUE"),1,0))</f>
        <v/>
      </c>
      <c r="AN1436">
        <f>IF($D1436="","",IF($AA1436="Yes",1,0))</f>
        <v/>
      </c>
      <c r="AO1436">
        <f>IF($AK1436=1,IFERROR(IF(VALUE($D1436)&lt;100000000,VALUE($D1436),1000000000),IFERROR(IF(VALUE(MID($D1436,2,20))&lt;100000000,VALUE(MID($D1436,2,20)),1000000000),1000000000))+ROW()/100000,"")</f>
        <v/>
      </c>
    </row>
    <row r="1437">
      <c r="F1437" s="11" t="n"/>
      <c r="N1437" s="7">
        <f>IF($D1437="","",M1437*V1437/100)</f>
        <v/>
      </c>
      <c r="O1437" s="7" t="n"/>
      <c r="U1437" s="7" t="n"/>
      <c r="V1437" s="7" t="n"/>
      <c r="W1437" s="7">
        <f>IF($D1437="","",V1437*AB1437/100)</f>
        <v/>
      </c>
      <c r="X1437" s="7">
        <f>IF($D1437="","",V1437-W1437)</f>
        <v/>
      </c>
      <c r="Y1437" s="7">
        <f>IF($D1437="","",X1437-N1437)</f>
        <v/>
      </c>
      <c r="AB1437">
        <f>IF($D1437="","",IF($AN1437=1,0,IF($AM1437=1,Settings!$C$6,Settings!$C$7))*100)</f>
        <v/>
      </c>
      <c r="AF1437" s="7" t="n"/>
      <c r="AI1437" s="11" t="n"/>
      <c r="AK1437">
        <f>IF($D1437="","",IF(COUNTIF($D$2:$D1437,$D1437)=1,1,0))</f>
        <v/>
      </c>
      <c r="AL1437">
        <f>IF($AK1437=1,SUMPRODUCT(--($AO$2:$AO$1501&lt;$AO1437))+1,"")</f>
        <v/>
      </c>
      <c r="AM1437">
        <f>IF($D1437="","",IF(OR($R1437=TRUE(),$R1437="TRUE"),1,0))</f>
        <v/>
      </c>
      <c r="AN1437">
        <f>IF($D1437="","",IF($AA1437="Yes",1,0))</f>
        <v/>
      </c>
      <c r="AO1437">
        <f>IF($AK1437=1,IFERROR(IF(VALUE($D1437)&lt;100000000,VALUE($D1437),1000000000),IFERROR(IF(VALUE(MID($D1437,2,20))&lt;100000000,VALUE(MID($D1437,2,20)),1000000000),1000000000))+ROW()/100000,"")</f>
        <v/>
      </c>
    </row>
    <row r="1438">
      <c r="F1438" s="11" t="n"/>
      <c r="N1438" s="7">
        <f>IF($D1438="","",M1438*V1438/100)</f>
        <v/>
      </c>
      <c r="O1438" s="7" t="n"/>
      <c r="U1438" s="7" t="n"/>
      <c r="V1438" s="7" t="n"/>
      <c r="W1438" s="7">
        <f>IF($D1438="","",V1438*AB1438/100)</f>
        <v/>
      </c>
      <c r="X1438" s="7">
        <f>IF($D1438="","",V1438-W1438)</f>
        <v/>
      </c>
      <c r="Y1438" s="7">
        <f>IF($D1438="","",X1438-N1438)</f>
        <v/>
      </c>
      <c r="AB1438">
        <f>IF($D1438="","",IF($AN1438=1,0,IF($AM1438=1,Settings!$C$6,Settings!$C$7))*100)</f>
        <v/>
      </c>
      <c r="AF1438" s="7" t="n"/>
      <c r="AI1438" s="11" t="n"/>
      <c r="AK1438">
        <f>IF($D1438="","",IF(COUNTIF($D$2:$D1438,$D1438)=1,1,0))</f>
        <v/>
      </c>
      <c r="AL1438">
        <f>IF($AK1438=1,SUMPRODUCT(--($AO$2:$AO$1501&lt;$AO1438))+1,"")</f>
        <v/>
      </c>
      <c r="AM1438">
        <f>IF($D1438="","",IF(OR($R1438=TRUE(),$R1438="TRUE"),1,0))</f>
        <v/>
      </c>
      <c r="AN1438">
        <f>IF($D1438="","",IF($AA1438="Yes",1,0))</f>
        <v/>
      </c>
      <c r="AO1438">
        <f>IF($AK1438=1,IFERROR(IF(VALUE($D1438)&lt;100000000,VALUE($D1438),1000000000),IFERROR(IF(VALUE(MID($D1438,2,20))&lt;100000000,VALUE(MID($D1438,2,20)),1000000000),1000000000))+ROW()/100000,"")</f>
        <v/>
      </c>
    </row>
    <row r="1439">
      <c r="F1439" s="11" t="n"/>
      <c r="N1439" s="7">
        <f>IF($D1439="","",M1439*V1439/100)</f>
        <v/>
      </c>
      <c r="O1439" s="7" t="n"/>
      <c r="U1439" s="7" t="n"/>
      <c r="V1439" s="7" t="n"/>
      <c r="W1439" s="7">
        <f>IF($D1439="","",V1439*AB1439/100)</f>
        <v/>
      </c>
      <c r="X1439" s="7">
        <f>IF($D1439="","",V1439-W1439)</f>
        <v/>
      </c>
      <c r="Y1439" s="7">
        <f>IF($D1439="","",X1439-N1439)</f>
        <v/>
      </c>
      <c r="AB1439">
        <f>IF($D1439="","",IF($AN1439=1,0,IF($AM1439=1,Settings!$C$6,Settings!$C$7))*100)</f>
        <v/>
      </c>
      <c r="AF1439" s="7" t="n"/>
      <c r="AI1439" s="11" t="n"/>
      <c r="AK1439">
        <f>IF($D1439="","",IF(COUNTIF($D$2:$D1439,$D1439)=1,1,0))</f>
        <v/>
      </c>
      <c r="AL1439">
        <f>IF($AK1439=1,SUMPRODUCT(--($AO$2:$AO$1501&lt;$AO1439))+1,"")</f>
        <v/>
      </c>
      <c r="AM1439">
        <f>IF($D1439="","",IF(OR($R1439=TRUE(),$R1439="TRUE"),1,0))</f>
        <v/>
      </c>
      <c r="AN1439">
        <f>IF($D1439="","",IF($AA1439="Yes",1,0))</f>
        <v/>
      </c>
      <c r="AO1439">
        <f>IF($AK1439=1,IFERROR(IF(VALUE($D1439)&lt;100000000,VALUE($D1439),1000000000),IFERROR(IF(VALUE(MID($D1439,2,20))&lt;100000000,VALUE(MID($D1439,2,20)),1000000000),1000000000))+ROW()/100000,"")</f>
        <v/>
      </c>
    </row>
    <row r="1440">
      <c r="F1440" s="11" t="n"/>
      <c r="N1440" s="7">
        <f>IF($D1440="","",M1440*V1440/100)</f>
        <v/>
      </c>
      <c r="O1440" s="7" t="n"/>
      <c r="U1440" s="7" t="n"/>
      <c r="V1440" s="7" t="n"/>
      <c r="W1440" s="7">
        <f>IF($D1440="","",V1440*AB1440/100)</f>
        <v/>
      </c>
      <c r="X1440" s="7">
        <f>IF($D1440="","",V1440-W1440)</f>
        <v/>
      </c>
      <c r="Y1440" s="7">
        <f>IF($D1440="","",X1440-N1440)</f>
        <v/>
      </c>
      <c r="AB1440">
        <f>IF($D1440="","",IF($AN1440=1,0,IF($AM1440=1,Settings!$C$6,Settings!$C$7))*100)</f>
        <v/>
      </c>
      <c r="AF1440" s="7" t="n"/>
      <c r="AI1440" s="11" t="n"/>
      <c r="AK1440">
        <f>IF($D1440="","",IF(COUNTIF($D$2:$D1440,$D1440)=1,1,0))</f>
        <v/>
      </c>
      <c r="AL1440">
        <f>IF($AK1440=1,SUMPRODUCT(--($AO$2:$AO$1501&lt;$AO1440))+1,"")</f>
        <v/>
      </c>
      <c r="AM1440">
        <f>IF($D1440="","",IF(OR($R1440=TRUE(),$R1440="TRUE"),1,0))</f>
        <v/>
      </c>
      <c r="AN1440">
        <f>IF($D1440="","",IF($AA1440="Yes",1,0))</f>
        <v/>
      </c>
      <c r="AO1440">
        <f>IF($AK1440=1,IFERROR(IF(VALUE($D1440)&lt;100000000,VALUE($D1440),1000000000),IFERROR(IF(VALUE(MID($D1440,2,20))&lt;100000000,VALUE(MID($D1440,2,20)),1000000000),1000000000))+ROW()/100000,"")</f>
        <v/>
      </c>
    </row>
    <row r="1441">
      <c r="F1441" s="11" t="n"/>
      <c r="N1441" s="7">
        <f>IF($D1441="","",M1441*V1441/100)</f>
        <v/>
      </c>
      <c r="O1441" s="7" t="n"/>
      <c r="U1441" s="7" t="n"/>
      <c r="V1441" s="7" t="n"/>
      <c r="W1441" s="7">
        <f>IF($D1441="","",V1441*AB1441/100)</f>
        <v/>
      </c>
      <c r="X1441" s="7">
        <f>IF($D1441="","",V1441-W1441)</f>
        <v/>
      </c>
      <c r="Y1441" s="7">
        <f>IF($D1441="","",X1441-N1441)</f>
        <v/>
      </c>
      <c r="AB1441">
        <f>IF($D1441="","",IF($AN1441=1,0,IF($AM1441=1,Settings!$C$6,Settings!$C$7))*100)</f>
        <v/>
      </c>
      <c r="AF1441" s="7" t="n"/>
      <c r="AI1441" s="11" t="n"/>
      <c r="AK1441">
        <f>IF($D1441="","",IF(COUNTIF($D$2:$D1441,$D1441)=1,1,0))</f>
        <v/>
      </c>
      <c r="AL1441">
        <f>IF($AK1441=1,SUMPRODUCT(--($AO$2:$AO$1501&lt;$AO1441))+1,"")</f>
        <v/>
      </c>
      <c r="AM1441">
        <f>IF($D1441="","",IF(OR($R1441=TRUE(),$R1441="TRUE"),1,0))</f>
        <v/>
      </c>
      <c r="AN1441">
        <f>IF($D1441="","",IF($AA1441="Yes",1,0))</f>
        <v/>
      </c>
      <c r="AO1441">
        <f>IF($AK1441=1,IFERROR(IF(VALUE($D1441)&lt;100000000,VALUE($D1441),1000000000),IFERROR(IF(VALUE(MID($D1441,2,20))&lt;100000000,VALUE(MID($D1441,2,20)),1000000000),1000000000))+ROW()/100000,"")</f>
        <v/>
      </c>
    </row>
    <row r="1442">
      <c r="F1442" s="11" t="n"/>
      <c r="N1442" s="7">
        <f>IF($D1442="","",M1442*V1442/100)</f>
        <v/>
      </c>
      <c r="O1442" s="7" t="n"/>
      <c r="U1442" s="7" t="n"/>
      <c r="V1442" s="7" t="n"/>
      <c r="W1442" s="7">
        <f>IF($D1442="","",V1442*AB1442/100)</f>
        <v/>
      </c>
      <c r="X1442" s="7">
        <f>IF($D1442="","",V1442-W1442)</f>
        <v/>
      </c>
      <c r="Y1442" s="7">
        <f>IF($D1442="","",X1442-N1442)</f>
        <v/>
      </c>
      <c r="AB1442">
        <f>IF($D1442="","",IF($AN1442=1,0,IF($AM1442=1,Settings!$C$6,Settings!$C$7))*100)</f>
        <v/>
      </c>
      <c r="AF1442" s="7" t="n"/>
      <c r="AI1442" s="11" t="n"/>
      <c r="AK1442">
        <f>IF($D1442="","",IF(COUNTIF($D$2:$D1442,$D1442)=1,1,0))</f>
        <v/>
      </c>
      <c r="AL1442">
        <f>IF($AK1442=1,SUMPRODUCT(--($AO$2:$AO$1501&lt;$AO1442))+1,"")</f>
        <v/>
      </c>
      <c r="AM1442">
        <f>IF($D1442="","",IF(OR($R1442=TRUE(),$R1442="TRUE"),1,0))</f>
        <v/>
      </c>
      <c r="AN1442">
        <f>IF($D1442="","",IF($AA1442="Yes",1,0))</f>
        <v/>
      </c>
      <c r="AO1442">
        <f>IF($AK1442=1,IFERROR(IF(VALUE($D1442)&lt;100000000,VALUE($D1442),1000000000),IFERROR(IF(VALUE(MID($D1442,2,20))&lt;100000000,VALUE(MID($D1442,2,20)),1000000000),1000000000))+ROW()/100000,"")</f>
        <v/>
      </c>
    </row>
    <row r="1443">
      <c r="F1443" s="11" t="n"/>
      <c r="N1443" s="7">
        <f>IF($D1443="","",M1443*V1443/100)</f>
        <v/>
      </c>
      <c r="O1443" s="7" t="n"/>
      <c r="U1443" s="7" t="n"/>
      <c r="V1443" s="7" t="n"/>
      <c r="W1443" s="7">
        <f>IF($D1443="","",V1443*AB1443/100)</f>
        <v/>
      </c>
      <c r="X1443" s="7">
        <f>IF($D1443="","",V1443-W1443)</f>
        <v/>
      </c>
      <c r="Y1443" s="7">
        <f>IF($D1443="","",X1443-N1443)</f>
        <v/>
      </c>
      <c r="AB1443">
        <f>IF($D1443="","",IF($AN1443=1,0,IF($AM1443=1,Settings!$C$6,Settings!$C$7))*100)</f>
        <v/>
      </c>
      <c r="AF1443" s="7" t="n"/>
      <c r="AI1443" s="11" t="n"/>
      <c r="AK1443">
        <f>IF($D1443="","",IF(COUNTIF($D$2:$D1443,$D1443)=1,1,0))</f>
        <v/>
      </c>
      <c r="AL1443">
        <f>IF($AK1443=1,SUMPRODUCT(--($AO$2:$AO$1501&lt;$AO1443))+1,"")</f>
        <v/>
      </c>
      <c r="AM1443">
        <f>IF($D1443="","",IF(OR($R1443=TRUE(),$R1443="TRUE"),1,0))</f>
        <v/>
      </c>
      <c r="AN1443">
        <f>IF($D1443="","",IF($AA1443="Yes",1,0))</f>
        <v/>
      </c>
      <c r="AO1443">
        <f>IF($AK1443=1,IFERROR(IF(VALUE($D1443)&lt;100000000,VALUE($D1443),1000000000),IFERROR(IF(VALUE(MID($D1443,2,20))&lt;100000000,VALUE(MID($D1443,2,20)),1000000000),1000000000))+ROW()/100000,"")</f>
        <v/>
      </c>
    </row>
    <row r="1444">
      <c r="F1444" s="11" t="n"/>
      <c r="N1444" s="7">
        <f>IF($D1444="","",M1444*V1444/100)</f>
        <v/>
      </c>
      <c r="O1444" s="7" t="n"/>
      <c r="U1444" s="7" t="n"/>
      <c r="V1444" s="7" t="n"/>
      <c r="W1444" s="7">
        <f>IF($D1444="","",V1444*AB1444/100)</f>
        <v/>
      </c>
      <c r="X1444" s="7">
        <f>IF($D1444="","",V1444-W1444)</f>
        <v/>
      </c>
      <c r="Y1444" s="7">
        <f>IF($D1444="","",X1444-N1444)</f>
        <v/>
      </c>
      <c r="AB1444">
        <f>IF($D1444="","",IF($AN1444=1,0,IF($AM1444=1,Settings!$C$6,Settings!$C$7))*100)</f>
        <v/>
      </c>
      <c r="AF1444" s="7" t="n"/>
      <c r="AI1444" s="11" t="n"/>
      <c r="AK1444">
        <f>IF($D1444="","",IF(COUNTIF($D$2:$D1444,$D1444)=1,1,0))</f>
        <v/>
      </c>
      <c r="AL1444">
        <f>IF($AK1444=1,SUMPRODUCT(--($AO$2:$AO$1501&lt;$AO1444))+1,"")</f>
        <v/>
      </c>
      <c r="AM1444">
        <f>IF($D1444="","",IF(OR($R1444=TRUE(),$R1444="TRUE"),1,0))</f>
        <v/>
      </c>
      <c r="AN1444">
        <f>IF($D1444="","",IF($AA1444="Yes",1,0))</f>
        <v/>
      </c>
      <c r="AO1444">
        <f>IF($AK1444=1,IFERROR(IF(VALUE($D1444)&lt;100000000,VALUE($D1444),1000000000),IFERROR(IF(VALUE(MID($D1444,2,20))&lt;100000000,VALUE(MID($D1444,2,20)),1000000000),1000000000))+ROW()/100000,"")</f>
        <v/>
      </c>
    </row>
    <row r="1445">
      <c r="F1445" s="11" t="n"/>
      <c r="N1445" s="7">
        <f>IF($D1445="","",M1445*V1445/100)</f>
        <v/>
      </c>
      <c r="O1445" s="7" t="n"/>
      <c r="U1445" s="7" t="n"/>
      <c r="V1445" s="7" t="n"/>
      <c r="W1445" s="7">
        <f>IF($D1445="","",V1445*AB1445/100)</f>
        <v/>
      </c>
      <c r="X1445" s="7">
        <f>IF($D1445="","",V1445-W1445)</f>
        <v/>
      </c>
      <c r="Y1445" s="7">
        <f>IF($D1445="","",X1445-N1445)</f>
        <v/>
      </c>
      <c r="AB1445">
        <f>IF($D1445="","",IF($AN1445=1,0,IF($AM1445=1,Settings!$C$6,Settings!$C$7))*100)</f>
        <v/>
      </c>
      <c r="AF1445" s="7" t="n"/>
      <c r="AI1445" s="11" t="n"/>
      <c r="AK1445">
        <f>IF($D1445="","",IF(COUNTIF($D$2:$D1445,$D1445)=1,1,0))</f>
        <v/>
      </c>
      <c r="AL1445">
        <f>IF($AK1445=1,SUMPRODUCT(--($AO$2:$AO$1501&lt;$AO1445))+1,"")</f>
        <v/>
      </c>
      <c r="AM1445">
        <f>IF($D1445="","",IF(OR($R1445=TRUE(),$R1445="TRUE"),1,0))</f>
        <v/>
      </c>
      <c r="AN1445">
        <f>IF($D1445="","",IF($AA1445="Yes",1,0))</f>
        <v/>
      </c>
      <c r="AO1445">
        <f>IF($AK1445=1,IFERROR(IF(VALUE($D1445)&lt;100000000,VALUE($D1445),1000000000),IFERROR(IF(VALUE(MID($D1445,2,20))&lt;100000000,VALUE(MID($D1445,2,20)),1000000000),1000000000))+ROW()/100000,"")</f>
        <v/>
      </c>
    </row>
    <row r="1446">
      <c r="F1446" s="11" t="n"/>
      <c r="N1446" s="7">
        <f>IF($D1446="","",M1446*V1446/100)</f>
        <v/>
      </c>
      <c r="O1446" s="7" t="n"/>
      <c r="U1446" s="7" t="n"/>
      <c r="V1446" s="7" t="n"/>
      <c r="W1446" s="7">
        <f>IF($D1446="","",V1446*AB1446/100)</f>
        <v/>
      </c>
      <c r="X1446" s="7">
        <f>IF($D1446="","",V1446-W1446)</f>
        <v/>
      </c>
      <c r="Y1446" s="7">
        <f>IF($D1446="","",X1446-N1446)</f>
        <v/>
      </c>
      <c r="AB1446">
        <f>IF($D1446="","",IF($AN1446=1,0,IF($AM1446=1,Settings!$C$6,Settings!$C$7))*100)</f>
        <v/>
      </c>
      <c r="AF1446" s="7" t="n"/>
      <c r="AI1446" s="11" t="n"/>
      <c r="AK1446">
        <f>IF($D1446="","",IF(COUNTIF($D$2:$D1446,$D1446)=1,1,0))</f>
        <v/>
      </c>
      <c r="AL1446">
        <f>IF($AK1446=1,SUMPRODUCT(--($AO$2:$AO$1501&lt;$AO1446))+1,"")</f>
        <v/>
      </c>
      <c r="AM1446">
        <f>IF($D1446="","",IF(OR($R1446=TRUE(),$R1446="TRUE"),1,0))</f>
        <v/>
      </c>
      <c r="AN1446">
        <f>IF($D1446="","",IF($AA1446="Yes",1,0))</f>
        <v/>
      </c>
      <c r="AO1446">
        <f>IF($AK1446=1,IFERROR(IF(VALUE($D1446)&lt;100000000,VALUE($D1446),1000000000),IFERROR(IF(VALUE(MID($D1446,2,20))&lt;100000000,VALUE(MID($D1446,2,20)),1000000000),1000000000))+ROW()/100000,"")</f>
        <v/>
      </c>
    </row>
    <row r="1447">
      <c r="F1447" s="11" t="n"/>
      <c r="N1447" s="7">
        <f>IF($D1447="","",M1447*V1447/100)</f>
        <v/>
      </c>
      <c r="O1447" s="7" t="n"/>
      <c r="U1447" s="7" t="n"/>
      <c r="V1447" s="7" t="n"/>
      <c r="W1447" s="7">
        <f>IF($D1447="","",V1447*AB1447/100)</f>
        <v/>
      </c>
      <c r="X1447" s="7">
        <f>IF($D1447="","",V1447-W1447)</f>
        <v/>
      </c>
      <c r="Y1447" s="7">
        <f>IF($D1447="","",X1447-N1447)</f>
        <v/>
      </c>
      <c r="AB1447">
        <f>IF($D1447="","",IF($AN1447=1,0,IF($AM1447=1,Settings!$C$6,Settings!$C$7))*100)</f>
        <v/>
      </c>
      <c r="AF1447" s="7" t="n"/>
      <c r="AI1447" s="11" t="n"/>
      <c r="AK1447">
        <f>IF($D1447="","",IF(COUNTIF($D$2:$D1447,$D1447)=1,1,0))</f>
        <v/>
      </c>
      <c r="AL1447">
        <f>IF($AK1447=1,SUMPRODUCT(--($AO$2:$AO$1501&lt;$AO1447))+1,"")</f>
        <v/>
      </c>
      <c r="AM1447">
        <f>IF($D1447="","",IF(OR($R1447=TRUE(),$R1447="TRUE"),1,0))</f>
        <v/>
      </c>
      <c r="AN1447">
        <f>IF($D1447="","",IF($AA1447="Yes",1,0))</f>
        <v/>
      </c>
      <c r="AO1447">
        <f>IF($AK1447=1,IFERROR(IF(VALUE($D1447)&lt;100000000,VALUE($D1447),1000000000),IFERROR(IF(VALUE(MID($D1447,2,20))&lt;100000000,VALUE(MID($D1447,2,20)),1000000000),1000000000))+ROW()/100000,"")</f>
        <v/>
      </c>
    </row>
    <row r="1448">
      <c r="F1448" s="11" t="n"/>
      <c r="N1448" s="7">
        <f>IF($D1448="","",M1448*V1448/100)</f>
        <v/>
      </c>
      <c r="O1448" s="7" t="n"/>
      <c r="U1448" s="7" t="n"/>
      <c r="V1448" s="7" t="n"/>
      <c r="W1448" s="7">
        <f>IF($D1448="","",V1448*AB1448/100)</f>
        <v/>
      </c>
      <c r="X1448" s="7">
        <f>IF($D1448="","",V1448-W1448)</f>
        <v/>
      </c>
      <c r="Y1448" s="7">
        <f>IF($D1448="","",X1448-N1448)</f>
        <v/>
      </c>
      <c r="AB1448">
        <f>IF($D1448="","",IF($AN1448=1,0,IF($AM1448=1,Settings!$C$6,Settings!$C$7))*100)</f>
        <v/>
      </c>
      <c r="AF1448" s="7" t="n"/>
      <c r="AI1448" s="11" t="n"/>
      <c r="AK1448">
        <f>IF($D1448="","",IF(COUNTIF($D$2:$D1448,$D1448)=1,1,0))</f>
        <v/>
      </c>
      <c r="AL1448">
        <f>IF($AK1448=1,SUMPRODUCT(--($AO$2:$AO$1501&lt;$AO1448))+1,"")</f>
        <v/>
      </c>
      <c r="AM1448">
        <f>IF($D1448="","",IF(OR($R1448=TRUE(),$R1448="TRUE"),1,0))</f>
        <v/>
      </c>
      <c r="AN1448">
        <f>IF($D1448="","",IF($AA1448="Yes",1,0))</f>
        <v/>
      </c>
      <c r="AO1448">
        <f>IF($AK1448=1,IFERROR(IF(VALUE($D1448)&lt;100000000,VALUE($D1448),1000000000),IFERROR(IF(VALUE(MID($D1448,2,20))&lt;100000000,VALUE(MID($D1448,2,20)),1000000000),1000000000))+ROW()/100000,"")</f>
        <v/>
      </c>
    </row>
    <row r="1449">
      <c r="F1449" s="11" t="n"/>
      <c r="N1449" s="7">
        <f>IF($D1449="","",M1449*V1449/100)</f>
        <v/>
      </c>
      <c r="O1449" s="7" t="n"/>
      <c r="U1449" s="7" t="n"/>
      <c r="V1449" s="7" t="n"/>
      <c r="W1449" s="7">
        <f>IF($D1449="","",V1449*AB1449/100)</f>
        <v/>
      </c>
      <c r="X1449" s="7">
        <f>IF($D1449="","",V1449-W1449)</f>
        <v/>
      </c>
      <c r="Y1449" s="7">
        <f>IF($D1449="","",X1449-N1449)</f>
        <v/>
      </c>
      <c r="AB1449">
        <f>IF($D1449="","",IF($AN1449=1,0,IF($AM1449=1,Settings!$C$6,Settings!$C$7))*100)</f>
        <v/>
      </c>
      <c r="AF1449" s="7" t="n"/>
      <c r="AI1449" s="11" t="n"/>
      <c r="AK1449">
        <f>IF($D1449="","",IF(COUNTIF($D$2:$D1449,$D1449)=1,1,0))</f>
        <v/>
      </c>
      <c r="AL1449">
        <f>IF($AK1449=1,SUMPRODUCT(--($AO$2:$AO$1501&lt;$AO1449))+1,"")</f>
        <v/>
      </c>
      <c r="AM1449">
        <f>IF($D1449="","",IF(OR($R1449=TRUE(),$R1449="TRUE"),1,0))</f>
        <v/>
      </c>
      <c r="AN1449">
        <f>IF($D1449="","",IF($AA1449="Yes",1,0))</f>
        <v/>
      </c>
      <c r="AO1449">
        <f>IF($AK1449=1,IFERROR(IF(VALUE($D1449)&lt;100000000,VALUE($D1449),1000000000),IFERROR(IF(VALUE(MID($D1449,2,20))&lt;100000000,VALUE(MID($D1449,2,20)),1000000000),1000000000))+ROW()/100000,"")</f>
        <v/>
      </c>
    </row>
    <row r="1450">
      <c r="F1450" s="11" t="n"/>
      <c r="N1450" s="7">
        <f>IF($D1450="","",M1450*V1450/100)</f>
        <v/>
      </c>
      <c r="O1450" s="7" t="n"/>
      <c r="U1450" s="7" t="n"/>
      <c r="V1450" s="7" t="n"/>
      <c r="W1450" s="7">
        <f>IF($D1450="","",V1450*AB1450/100)</f>
        <v/>
      </c>
      <c r="X1450" s="7">
        <f>IF($D1450="","",V1450-W1450)</f>
        <v/>
      </c>
      <c r="Y1450" s="7">
        <f>IF($D1450="","",X1450-N1450)</f>
        <v/>
      </c>
      <c r="AB1450">
        <f>IF($D1450="","",IF($AN1450=1,0,IF($AM1450=1,Settings!$C$6,Settings!$C$7))*100)</f>
        <v/>
      </c>
      <c r="AF1450" s="7" t="n"/>
      <c r="AI1450" s="11" t="n"/>
      <c r="AK1450">
        <f>IF($D1450="","",IF(COUNTIF($D$2:$D1450,$D1450)=1,1,0))</f>
        <v/>
      </c>
      <c r="AL1450">
        <f>IF($AK1450=1,SUMPRODUCT(--($AO$2:$AO$1501&lt;$AO1450))+1,"")</f>
        <v/>
      </c>
      <c r="AM1450">
        <f>IF($D1450="","",IF(OR($R1450=TRUE(),$R1450="TRUE"),1,0))</f>
        <v/>
      </c>
      <c r="AN1450">
        <f>IF($D1450="","",IF($AA1450="Yes",1,0))</f>
        <v/>
      </c>
      <c r="AO1450">
        <f>IF($AK1450=1,IFERROR(IF(VALUE($D1450)&lt;100000000,VALUE($D1450),1000000000),IFERROR(IF(VALUE(MID($D1450,2,20))&lt;100000000,VALUE(MID($D1450,2,20)),1000000000),1000000000))+ROW()/100000,"")</f>
        <v/>
      </c>
    </row>
    <row r="1451">
      <c r="F1451" s="11" t="n"/>
      <c r="N1451" s="7">
        <f>IF($D1451="","",M1451*V1451/100)</f>
        <v/>
      </c>
      <c r="O1451" s="7" t="n"/>
      <c r="U1451" s="7" t="n"/>
      <c r="V1451" s="7" t="n"/>
      <c r="W1451" s="7">
        <f>IF($D1451="","",V1451*AB1451/100)</f>
        <v/>
      </c>
      <c r="X1451" s="7">
        <f>IF($D1451="","",V1451-W1451)</f>
        <v/>
      </c>
      <c r="Y1451" s="7">
        <f>IF($D1451="","",X1451-N1451)</f>
        <v/>
      </c>
      <c r="AB1451">
        <f>IF($D1451="","",IF($AN1451=1,0,IF($AM1451=1,Settings!$C$6,Settings!$C$7))*100)</f>
        <v/>
      </c>
      <c r="AF1451" s="7" t="n"/>
      <c r="AI1451" s="11" t="n"/>
      <c r="AK1451">
        <f>IF($D1451="","",IF(COUNTIF($D$2:$D1451,$D1451)=1,1,0))</f>
        <v/>
      </c>
      <c r="AL1451">
        <f>IF($AK1451=1,SUMPRODUCT(--($AO$2:$AO$1501&lt;$AO1451))+1,"")</f>
        <v/>
      </c>
      <c r="AM1451">
        <f>IF($D1451="","",IF(OR($R1451=TRUE(),$R1451="TRUE"),1,0))</f>
        <v/>
      </c>
      <c r="AN1451">
        <f>IF($D1451="","",IF($AA1451="Yes",1,0))</f>
        <v/>
      </c>
      <c r="AO1451">
        <f>IF($AK1451=1,IFERROR(IF(VALUE($D1451)&lt;100000000,VALUE($D1451),1000000000),IFERROR(IF(VALUE(MID($D1451,2,20))&lt;100000000,VALUE(MID($D1451,2,20)),1000000000),1000000000))+ROW()/100000,"")</f>
        <v/>
      </c>
    </row>
    <row r="1452">
      <c r="F1452" s="11" t="n"/>
      <c r="N1452" s="7">
        <f>IF($D1452="","",M1452*V1452/100)</f>
        <v/>
      </c>
      <c r="O1452" s="7" t="n"/>
      <c r="U1452" s="7" t="n"/>
      <c r="V1452" s="7" t="n"/>
      <c r="W1452" s="7">
        <f>IF($D1452="","",V1452*AB1452/100)</f>
        <v/>
      </c>
      <c r="X1452" s="7">
        <f>IF($D1452="","",V1452-W1452)</f>
        <v/>
      </c>
      <c r="Y1452" s="7">
        <f>IF($D1452="","",X1452-N1452)</f>
        <v/>
      </c>
      <c r="AB1452">
        <f>IF($D1452="","",IF($AN1452=1,0,IF($AM1452=1,Settings!$C$6,Settings!$C$7))*100)</f>
        <v/>
      </c>
      <c r="AF1452" s="7" t="n"/>
      <c r="AI1452" s="11" t="n"/>
      <c r="AK1452">
        <f>IF($D1452="","",IF(COUNTIF($D$2:$D1452,$D1452)=1,1,0))</f>
        <v/>
      </c>
      <c r="AL1452">
        <f>IF($AK1452=1,SUMPRODUCT(--($AO$2:$AO$1501&lt;$AO1452))+1,"")</f>
        <v/>
      </c>
      <c r="AM1452">
        <f>IF($D1452="","",IF(OR($R1452=TRUE(),$R1452="TRUE"),1,0))</f>
        <v/>
      </c>
      <c r="AN1452">
        <f>IF($D1452="","",IF($AA1452="Yes",1,0))</f>
        <v/>
      </c>
      <c r="AO1452">
        <f>IF($AK1452=1,IFERROR(IF(VALUE($D1452)&lt;100000000,VALUE($D1452),1000000000),IFERROR(IF(VALUE(MID($D1452,2,20))&lt;100000000,VALUE(MID($D1452,2,20)),1000000000),1000000000))+ROW()/100000,"")</f>
        <v/>
      </c>
    </row>
    <row r="1453">
      <c r="F1453" s="11" t="n"/>
      <c r="N1453" s="7">
        <f>IF($D1453="","",M1453*V1453/100)</f>
        <v/>
      </c>
      <c r="O1453" s="7" t="n"/>
      <c r="U1453" s="7" t="n"/>
      <c r="V1453" s="7" t="n"/>
      <c r="W1453" s="7">
        <f>IF($D1453="","",V1453*AB1453/100)</f>
        <v/>
      </c>
      <c r="X1453" s="7">
        <f>IF($D1453="","",V1453-W1453)</f>
        <v/>
      </c>
      <c r="Y1453" s="7">
        <f>IF($D1453="","",X1453-N1453)</f>
        <v/>
      </c>
      <c r="AB1453">
        <f>IF($D1453="","",IF($AN1453=1,0,IF($AM1453=1,Settings!$C$6,Settings!$C$7))*100)</f>
        <v/>
      </c>
      <c r="AF1453" s="7" t="n"/>
      <c r="AI1453" s="11" t="n"/>
      <c r="AK1453">
        <f>IF($D1453="","",IF(COUNTIF($D$2:$D1453,$D1453)=1,1,0))</f>
        <v/>
      </c>
      <c r="AL1453">
        <f>IF($AK1453=1,SUMPRODUCT(--($AO$2:$AO$1501&lt;$AO1453))+1,"")</f>
        <v/>
      </c>
      <c r="AM1453">
        <f>IF($D1453="","",IF(OR($R1453=TRUE(),$R1453="TRUE"),1,0))</f>
        <v/>
      </c>
      <c r="AN1453">
        <f>IF($D1453="","",IF($AA1453="Yes",1,0))</f>
        <v/>
      </c>
      <c r="AO1453">
        <f>IF($AK1453=1,IFERROR(IF(VALUE($D1453)&lt;100000000,VALUE($D1453),1000000000),IFERROR(IF(VALUE(MID($D1453,2,20))&lt;100000000,VALUE(MID($D1453,2,20)),1000000000),1000000000))+ROW()/100000,"")</f>
        <v/>
      </c>
    </row>
    <row r="1454">
      <c r="F1454" s="11" t="n"/>
      <c r="N1454" s="7">
        <f>IF($D1454="","",M1454*V1454/100)</f>
        <v/>
      </c>
      <c r="O1454" s="7" t="n"/>
      <c r="U1454" s="7" t="n"/>
      <c r="V1454" s="7" t="n"/>
      <c r="W1454" s="7">
        <f>IF($D1454="","",V1454*AB1454/100)</f>
        <v/>
      </c>
      <c r="X1454" s="7">
        <f>IF($D1454="","",V1454-W1454)</f>
        <v/>
      </c>
      <c r="Y1454" s="7">
        <f>IF($D1454="","",X1454-N1454)</f>
        <v/>
      </c>
      <c r="AB1454">
        <f>IF($D1454="","",IF($AN1454=1,0,IF($AM1454=1,Settings!$C$6,Settings!$C$7))*100)</f>
        <v/>
      </c>
      <c r="AF1454" s="7" t="n"/>
      <c r="AI1454" s="11" t="n"/>
      <c r="AK1454">
        <f>IF($D1454="","",IF(COUNTIF($D$2:$D1454,$D1454)=1,1,0))</f>
        <v/>
      </c>
      <c r="AL1454">
        <f>IF($AK1454=1,SUMPRODUCT(--($AO$2:$AO$1501&lt;$AO1454))+1,"")</f>
        <v/>
      </c>
      <c r="AM1454">
        <f>IF($D1454="","",IF(OR($R1454=TRUE(),$R1454="TRUE"),1,0))</f>
        <v/>
      </c>
      <c r="AN1454">
        <f>IF($D1454="","",IF($AA1454="Yes",1,0))</f>
        <v/>
      </c>
      <c r="AO1454">
        <f>IF($AK1454=1,IFERROR(IF(VALUE($D1454)&lt;100000000,VALUE($D1454),1000000000),IFERROR(IF(VALUE(MID($D1454,2,20))&lt;100000000,VALUE(MID($D1454,2,20)),1000000000),1000000000))+ROW()/100000,"")</f>
        <v/>
      </c>
    </row>
    <row r="1455">
      <c r="F1455" s="11" t="n"/>
      <c r="N1455" s="7">
        <f>IF($D1455="","",M1455*V1455/100)</f>
        <v/>
      </c>
      <c r="O1455" s="7" t="n"/>
      <c r="U1455" s="7" t="n"/>
      <c r="V1455" s="7" t="n"/>
      <c r="W1455" s="7">
        <f>IF($D1455="","",V1455*AB1455/100)</f>
        <v/>
      </c>
      <c r="X1455" s="7">
        <f>IF($D1455="","",V1455-W1455)</f>
        <v/>
      </c>
      <c r="Y1455" s="7">
        <f>IF($D1455="","",X1455-N1455)</f>
        <v/>
      </c>
      <c r="AB1455">
        <f>IF($D1455="","",IF($AN1455=1,0,IF($AM1455=1,Settings!$C$6,Settings!$C$7))*100)</f>
        <v/>
      </c>
      <c r="AF1455" s="7" t="n"/>
      <c r="AI1455" s="11" t="n"/>
      <c r="AK1455">
        <f>IF($D1455="","",IF(COUNTIF($D$2:$D1455,$D1455)=1,1,0))</f>
        <v/>
      </c>
      <c r="AL1455">
        <f>IF($AK1455=1,SUMPRODUCT(--($AO$2:$AO$1501&lt;$AO1455))+1,"")</f>
        <v/>
      </c>
      <c r="AM1455">
        <f>IF($D1455="","",IF(OR($R1455=TRUE(),$R1455="TRUE"),1,0))</f>
        <v/>
      </c>
      <c r="AN1455">
        <f>IF($D1455="","",IF($AA1455="Yes",1,0))</f>
        <v/>
      </c>
      <c r="AO1455">
        <f>IF($AK1455=1,IFERROR(IF(VALUE($D1455)&lt;100000000,VALUE($D1455),1000000000),IFERROR(IF(VALUE(MID($D1455,2,20))&lt;100000000,VALUE(MID($D1455,2,20)),1000000000),1000000000))+ROW()/100000,"")</f>
        <v/>
      </c>
    </row>
    <row r="1456">
      <c r="F1456" s="11" t="n"/>
      <c r="N1456" s="7">
        <f>IF($D1456="","",M1456*V1456/100)</f>
        <v/>
      </c>
      <c r="O1456" s="7" t="n"/>
      <c r="U1456" s="7" t="n"/>
      <c r="V1456" s="7" t="n"/>
      <c r="W1456" s="7">
        <f>IF($D1456="","",V1456*AB1456/100)</f>
        <v/>
      </c>
      <c r="X1456" s="7">
        <f>IF($D1456="","",V1456-W1456)</f>
        <v/>
      </c>
      <c r="Y1456" s="7">
        <f>IF($D1456="","",X1456-N1456)</f>
        <v/>
      </c>
      <c r="AB1456">
        <f>IF($D1456="","",IF($AN1456=1,0,IF($AM1456=1,Settings!$C$6,Settings!$C$7))*100)</f>
        <v/>
      </c>
      <c r="AF1456" s="7" t="n"/>
      <c r="AI1456" s="11" t="n"/>
      <c r="AK1456">
        <f>IF($D1456="","",IF(COUNTIF($D$2:$D1456,$D1456)=1,1,0))</f>
        <v/>
      </c>
      <c r="AL1456">
        <f>IF($AK1456=1,SUMPRODUCT(--($AO$2:$AO$1501&lt;$AO1456))+1,"")</f>
        <v/>
      </c>
      <c r="AM1456">
        <f>IF($D1456="","",IF(OR($R1456=TRUE(),$R1456="TRUE"),1,0))</f>
        <v/>
      </c>
      <c r="AN1456">
        <f>IF($D1456="","",IF($AA1456="Yes",1,0))</f>
        <v/>
      </c>
      <c r="AO1456">
        <f>IF($AK1456=1,IFERROR(IF(VALUE($D1456)&lt;100000000,VALUE($D1456),1000000000),IFERROR(IF(VALUE(MID($D1456,2,20))&lt;100000000,VALUE(MID($D1456,2,20)),1000000000),1000000000))+ROW()/100000,"")</f>
        <v/>
      </c>
    </row>
    <row r="1457">
      <c r="F1457" s="11" t="n"/>
      <c r="N1457" s="7">
        <f>IF($D1457="","",M1457*V1457/100)</f>
        <v/>
      </c>
      <c r="O1457" s="7" t="n"/>
      <c r="U1457" s="7" t="n"/>
      <c r="V1457" s="7" t="n"/>
      <c r="W1457" s="7">
        <f>IF($D1457="","",V1457*AB1457/100)</f>
        <v/>
      </c>
      <c r="X1457" s="7">
        <f>IF($D1457="","",V1457-W1457)</f>
        <v/>
      </c>
      <c r="Y1457" s="7">
        <f>IF($D1457="","",X1457-N1457)</f>
        <v/>
      </c>
      <c r="AB1457">
        <f>IF($D1457="","",IF($AN1457=1,0,IF($AM1457=1,Settings!$C$6,Settings!$C$7))*100)</f>
        <v/>
      </c>
      <c r="AF1457" s="7" t="n"/>
      <c r="AI1457" s="11" t="n"/>
      <c r="AK1457">
        <f>IF($D1457="","",IF(COUNTIF($D$2:$D1457,$D1457)=1,1,0))</f>
        <v/>
      </c>
      <c r="AL1457">
        <f>IF($AK1457=1,SUMPRODUCT(--($AO$2:$AO$1501&lt;$AO1457))+1,"")</f>
        <v/>
      </c>
      <c r="AM1457">
        <f>IF($D1457="","",IF(OR($R1457=TRUE(),$R1457="TRUE"),1,0))</f>
        <v/>
      </c>
      <c r="AN1457">
        <f>IF($D1457="","",IF($AA1457="Yes",1,0))</f>
        <v/>
      </c>
      <c r="AO1457">
        <f>IF($AK1457=1,IFERROR(IF(VALUE($D1457)&lt;100000000,VALUE($D1457),1000000000),IFERROR(IF(VALUE(MID($D1457,2,20))&lt;100000000,VALUE(MID($D1457,2,20)),1000000000),1000000000))+ROW()/100000,"")</f>
        <v/>
      </c>
    </row>
    <row r="1458">
      <c r="F1458" s="11" t="n"/>
      <c r="N1458" s="7">
        <f>IF($D1458="","",M1458*V1458/100)</f>
        <v/>
      </c>
      <c r="O1458" s="7" t="n"/>
      <c r="U1458" s="7" t="n"/>
      <c r="V1458" s="7" t="n"/>
      <c r="W1458" s="7">
        <f>IF($D1458="","",V1458*AB1458/100)</f>
        <v/>
      </c>
      <c r="X1458" s="7">
        <f>IF($D1458="","",V1458-W1458)</f>
        <v/>
      </c>
      <c r="Y1458" s="7">
        <f>IF($D1458="","",X1458-N1458)</f>
        <v/>
      </c>
      <c r="AB1458">
        <f>IF($D1458="","",IF($AN1458=1,0,IF($AM1458=1,Settings!$C$6,Settings!$C$7))*100)</f>
        <v/>
      </c>
      <c r="AF1458" s="7" t="n"/>
      <c r="AI1458" s="11" t="n"/>
      <c r="AK1458">
        <f>IF($D1458="","",IF(COUNTIF($D$2:$D1458,$D1458)=1,1,0))</f>
        <v/>
      </c>
      <c r="AL1458">
        <f>IF($AK1458=1,SUMPRODUCT(--($AO$2:$AO$1501&lt;$AO1458))+1,"")</f>
        <v/>
      </c>
      <c r="AM1458">
        <f>IF($D1458="","",IF(OR($R1458=TRUE(),$R1458="TRUE"),1,0))</f>
        <v/>
      </c>
      <c r="AN1458">
        <f>IF($D1458="","",IF($AA1458="Yes",1,0))</f>
        <v/>
      </c>
      <c r="AO1458">
        <f>IF($AK1458=1,IFERROR(IF(VALUE($D1458)&lt;100000000,VALUE($D1458),1000000000),IFERROR(IF(VALUE(MID($D1458,2,20))&lt;100000000,VALUE(MID($D1458,2,20)),1000000000),1000000000))+ROW()/100000,"")</f>
        <v/>
      </c>
    </row>
    <row r="1459">
      <c r="F1459" s="11" t="n"/>
      <c r="N1459" s="7">
        <f>IF($D1459="","",M1459*V1459/100)</f>
        <v/>
      </c>
      <c r="O1459" s="7" t="n"/>
      <c r="U1459" s="7" t="n"/>
      <c r="V1459" s="7" t="n"/>
      <c r="W1459" s="7">
        <f>IF($D1459="","",V1459*AB1459/100)</f>
        <v/>
      </c>
      <c r="X1459" s="7">
        <f>IF($D1459="","",V1459-W1459)</f>
        <v/>
      </c>
      <c r="Y1459" s="7">
        <f>IF($D1459="","",X1459-N1459)</f>
        <v/>
      </c>
      <c r="AB1459">
        <f>IF($D1459="","",IF($AN1459=1,0,IF($AM1459=1,Settings!$C$6,Settings!$C$7))*100)</f>
        <v/>
      </c>
      <c r="AF1459" s="7" t="n"/>
      <c r="AI1459" s="11" t="n"/>
      <c r="AK1459">
        <f>IF($D1459="","",IF(COUNTIF($D$2:$D1459,$D1459)=1,1,0))</f>
        <v/>
      </c>
      <c r="AL1459">
        <f>IF($AK1459=1,SUMPRODUCT(--($AO$2:$AO$1501&lt;$AO1459))+1,"")</f>
        <v/>
      </c>
      <c r="AM1459">
        <f>IF($D1459="","",IF(OR($R1459=TRUE(),$R1459="TRUE"),1,0))</f>
        <v/>
      </c>
      <c r="AN1459">
        <f>IF($D1459="","",IF($AA1459="Yes",1,0))</f>
        <v/>
      </c>
      <c r="AO1459">
        <f>IF($AK1459=1,IFERROR(IF(VALUE($D1459)&lt;100000000,VALUE($D1459),1000000000),IFERROR(IF(VALUE(MID($D1459,2,20))&lt;100000000,VALUE(MID($D1459,2,20)),1000000000),1000000000))+ROW()/100000,"")</f>
        <v/>
      </c>
    </row>
    <row r="1460">
      <c r="F1460" s="11" t="n"/>
      <c r="N1460" s="7">
        <f>IF($D1460="","",M1460*V1460/100)</f>
        <v/>
      </c>
      <c r="O1460" s="7" t="n"/>
      <c r="U1460" s="7" t="n"/>
      <c r="V1460" s="7" t="n"/>
      <c r="W1460" s="7">
        <f>IF($D1460="","",V1460*AB1460/100)</f>
        <v/>
      </c>
      <c r="X1460" s="7">
        <f>IF($D1460="","",V1460-W1460)</f>
        <v/>
      </c>
      <c r="Y1460" s="7">
        <f>IF($D1460="","",X1460-N1460)</f>
        <v/>
      </c>
      <c r="AB1460">
        <f>IF($D1460="","",IF($AN1460=1,0,IF($AM1460=1,Settings!$C$6,Settings!$C$7))*100)</f>
        <v/>
      </c>
      <c r="AF1460" s="7" t="n"/>
      <c r="AI1460" s="11" t="n"/>
      <c r="AK1460">
        <f>IF($D1460="","",IF(COUNTIF($D$2:$D1460,$D1460)=1,1,0))</f>
        <v/>
      </c>
      <c r="AL1460">
        <f>IF($AK1460=1,SUMPRODUCT(--($AO$2:$AO$1501&lt;$AO1460))+1,"")</f>
        <v/>
      </c>
      <c r="AM1460">
        <f>IF($D1460="","",IF(OR($R1460=TRUE(),$R1460="TRUE"),1,0))</f>
        <v/>
      </c>
      <c r="AN1460">
        <f>IF($D1460="","",IF($AA1460="Yes",1,0))</f>
        <v/>
      </c>
      <c r="AO1460">
        <f>IF($AK1460=1,IFERROR(IF(VALUE($D1460)&lt;100000000,VALUE($D1460),1000000000),IFERROR(IF(VALUE(MID($D1460,2,20))&lt;100000000,VALUE(MID($D1460,2,20)),1000000000),1000000000))+ROW()/100000,"")</f>
        <v/>
      </c>
    </row>
    <row r="1461">
      <c r="F1461" s="11" t="n"/>
      <c r="N1461" s="7">
        <f>IF($D1461="","",M1461*V1461/100)</f>
        <v/>
      </c>
      <c r="O1461" s="7" t="n"/>
      <c r="U1461" s="7" t="n"/>
      <c r="V1461" s="7" t="n"/>
      <c r="W1461" s="7">
        <f>IF($D1461="","",V1461*AB1461/100)</f>
        <v/>
      </c>
      <c r="X1461" s="7">
        <f>IF($D1461="","",V1461-W1461)</f>
        <v/>
      </c>
      <c r="Y1461" s="7">
        <f>IF($D1461="","",X1461-N1461)</f>
        <v/>
      </c>
      <c r="AB1461">
        <f>IF($D1461="","",IF($AN1461=1,0,IF($AM1461=1,Settings!$C$6,Settings!$C$7))*100)</f>
        <v/>
      </c>
      <c r="AF1461" s="7" t="n"/>
      <c r="AI1461" s="11" t="n"/>
      <c r="AK1461">
        <f>IF($D1461="","",IF(COUNTIF($D$2:$D1461,$D1461)=1,1,0))</f>
        <v/>
      </c>
      <c r="AL1461">
        <f>IF($AK1461=1,SUMPRODUCT(--($AO$2:$AO$1501&lt;$AO1461))+1,"")</f>
        <v/>
      </c>
      <c r="AM1461">
        <f>IF($D1461="","",IF(OR($R1461=TRUE(),$R1461="TRUE"),1,0))</f>
        <v/>
      </c>
      <c r="AN1461">
        <f>IF($D1461="","",IF($AA1461="Yes",1,0))</f>
        <v/>
      </c>
      <c r="AO1461">
        <f>IF($AK1461=1,IFERROR(IF(VALUE($D1461)&lt;100000000,VALUE($D1461),1000000000),IFERROR(IF(VALUE(MID($D1461,2,20))&lt;100000000,VALUE(MID($D1461,2,20)),1000000000),1000000000))+ROW()/100000,"")</f>
        <v/>
      </c>
    </row>
    <row r="1462">
      <c r="F1462" s="11" t="n"/>
      <c r="N1462" s="7">
        <f>IF($D1462="","",M1462*V1462/100)</f>
        <v/>
      </c>
      <c r="O1462" s="7" t="n"/>
      <c r="U1462" s="7" t="n"/>
      <c r="V1462" s="7" t="n"/>
      <c r="W1462" s="7">
        <f>IF($D1462="","",V1462*AB1462/100)</f>
        <v/>
      </c>
      <c r="X1462" s="7">
        <f>IF($D1462="","",V1462-W1462)</f>
        <v/>
      </c>
      <c r="Y1462" s="7">
        <f>IF($D1462="","",X1462-N1462)</f>
        <v/>
      </c>
      <c r="AB1462">
        <f>IF($D1462="","",IF($AN1462=1,0,IF($AM1462=1,Settings!$C$6,Settings!$C$7))*100)</f>
        <v/>
      </c>
      <c r="AF1462" s="7" t="n"/>
      <c r="AI1462" s="11" t="n"/>
      <c r="AK1462">
        <f>IF($D1462="","",IF(COUNTIF($D$2:$D1462,$D1462)=1,1,0))</f>
        <v/>
      </c>
      <c r="AL1462">
        <f>IF($AK1462=1,SUMPRODUCT(--($AO$2:$AO$1501&lt;$AO1462))+1,"")</f>
        <v/>
      </c>
      <c r="AM1462">
        <f>IF($D1462="","",IF(OR($R1462=TRUE(),$R1462="TRUE"),1,0))</f>
        <v/>
      </c>
      <c r="AN1462">
        <f>IF($D1462="","",IF($AA1462="Yes",1,0))</f>
        <v/>
      </c>
      <c r="AO1462">
        <f>IF($AK1462=1,IFERROR(IF(VALUE($D1462)&lt;100000000,VALUE($D1462),1000000000),IFERROR(IF(VALUE(MID($D1462,2,20))&lt;100000000,VALUE(MID($D1462,2,20)),1000000000),1000000000))+ROW()/100000,"")</f>
        <v/>
      </c>
    </row>
    <row r="1463">
      <c r="F1463" s="11" t="n"/>
      <c r="N1463" s="7">
        <f>IF($D1463="","",M1463*V1463/100)</f>
        <v/>
      </c>
      <c r="O1463" s="7" t="n"/>
      <c r="U1463" s="7" t="n"/>
      <c r="V1463" s="7" t="n"/>
      <c r="W1463" s="7">
        <f>IF($D1463="","",V1463*AB1463/100)</f>
        <v/>
      </c>
      <c r="X1463" s="7">
        <f>IF($D1463="","",V1463-W1463)</f>
        <v/>
      </c>
      <c r="Y1463" s="7">
        <f>IF($D1463="","",X1463-N1463)</f>
        <v/>
      </c>
      <c r="AB1463">
        <f>IF($D1463="","",IF($AN1463=1,0,IF($AM1463=1,Settings!$C$6,Settings!$C$7))*100)</f>
        <v/>
      </c>
      <c r="AF1463" s="7" t="n"/>
      <c r="AI1463" s="11" t="n"/>
      <c r="AK1463">
        <f>IF($D1463="","",IF(COUNTIF($D$2:$D1463,$D1463)=1,1,0))</f>
        <v/>
      </c>
      <c r="AL1463">
        <f>IF($AK1463=1,SUMPRODUCT(--($AO$2:$AO$1501&lt;$AO1463))+1,"")</f>
        <v/>
      </c>
      <c r="AM1463">
        <f>IF($D1463="","",IF(OR($R1463=TRUE(),$R1463="TRUE"),1,0))</f>
        <v/>
      </c>
      <c r="AN1463">
        <f>IF($D1463="","",IF($AA1463="Yes",1,0))</f>
        <v/>
      </c>
      <c r="AO1463">
        <f>IF($AK1463=1,IFERROR(IF(VALUE($D1463)&lt;100000000,VALUE($D1463),1000000000),IFERROR(IF(VALUE(MID($D1463,2,20))&lt;100000000,VALUE(MID($D1463,2,20)),1000000000),1000000000))+ROW()/100000,"")</f>
        <v/>
      </c>
    </row>
    <row r="1464">
      <c r="F1464" s="11" t="n"/>
      <c r="N1464" s="7">
        <f>IF($D1464="","",M1464*V1464/100)</f>
        <v/>
      </c>
      <c r="O1464" s="7" t="n"/>
      <c r="U1464" s="7" t="n"/>
      <c r="V1464" s="7" t="n"/>
      <c r="W1464" s="7">
        <f>IF($D1464="","",V1464*AB1464/100)</f>
        <v/>
      </c>
      <c r="X1464" s="7">
        <f>IF($D1464="","",V1464-W1464)</f>
        <v/>
      </c>
      <c r="Y1464" s="7">
        <f>IF($D1464="","",X1464-N1464)</f>
        <v/>
      </c>
      <c r="AB1464">
        <f>IF($D1464="","",IF($AN1464=1,0,IF($AM1464=1,Settings!$C$6,Settings!$C$7))*100)</f>
        <v/>
      </c>
      <c r="AF1464" s="7" t="n"/>
      <c r="AI1464" s="11" t="n"/>
      <c r="AK1464">
        <f>IF($D1464="","",IF(COUNTIF($D$2:$D1464,$D1464)=1,1,0))</f>
        <v/>
      </c>
      <c r="AL1464">
        <f>IF($AK1464=1,SUMPRODUCT(--($AO$2:$AO$1501&lt;$AO1464))+1,"")</f>
        <v/>
      </c>
      <c r="AM1464">
        <f>IF($D1464="","",IF(OR($R1464=TRUE(),$R1464="TRUE"),1,0))</f>
        <v/>
      </c>
      <c r="AN1464">
        <f>IF($D1464="","",IF($AA1464="Yes",1,0))</f>
        <v/>
      </c>
      <c r="AO1464">
        <f>IF($AK1464=1,IFERROR(IF(VALUE($D1464)&lt;100000000,VALUE($D1464),1000000000),IFERROR(IF(VALUE(MID($D1464,2,20))&lt;100000000,VALUE(MID($D1464,2,20)),1000000000),1000000000))+ROW()/100000,"")</f>
        <v/>
      </c>
    </row>
    <row r="1465">
      <c r="F1465" s="11" t="n"/>
      <c r="N1465" s="7">
        <f>IF($D1465="","",M1465*V1465/100)</f>
        <v/>
      </c>
      <c r="O1465" s="7" t="n"/>
      <c r="U1465" s="7" t="n"/>
      <c r="V1465" s="7" t="n"/>
      <c r="W1465" s="7">
        <f>IF($D1465="","",V1465*AB1465/100)</f>
        <v/>
      </c>
      <c r="X1465" s="7">
        <f>IF($D1465="","",V1465-W1465)</f>
        <v/>
      </c>
      <c r="Y1465" s="7">
        <f>IF($D1465="","",X1465-N1465)</f>
        <v/>
      </c>
      <c r="AB1465">
        <f>IF($D1465="","",IF($AN1465=1,0,IF($AM1465=1,Settings!$C$6,Settings!$C$7))*100)</f>
        <v/>
      </c>
      <c r="AF1465" s="7" t="n"/>
      <c r="AI1465" s="11" t="n"/>
      <c r="AK1465">
        <f>IF($D1465="","",IF(COUNTIF($D$2:$D1465,$D1465)=1,1,0))</f>
        <v/>
      </c>
      <c r="AL1465">
        <f>IF($AK1465=1,SUMPRODUCT(--($AO$2:$AO$1501&lt;$AO1465))+1,"")</f>
        <v/>
      </c>
      <c r="AM1465">
        <f>IF($D1465="","",IF(OR($R1465=TRUE(),$R1465="TRUE"),1,0))</f>
        <v/>
      </c>
      <c r="AN1465">
        <f>IF($D1465="","",IF($AA1465="Yes",1,0))</f>
        <v/>
      </c>
      <c r="AO1465">
        <f>IF($AK1465=1,IFERROR(IF(VALUE($D1465)&lt;100000000,VALUE($D1465),1000000000),IFERROR(IF(VALUE(MID($D1465,2,20))&lt;100000000,VALUE(MID($D1465,2,20)),1000000000),1000000000))+ROW()/100000,"")</f>
        <v/>
      </c>
    </row>
    <row r="1466">
      <c r="F1466" s="11" t="n"/>
      <c r="N1466" s="7">
        <f>IF($D1466="","",M1466*V1466/100)</f>
        <v/>
      </c>
      <c r="O1466" s="7" t="n"/>
      <c r="U1466" s="7" t="n"/>
      <c r="V1466" s="7" t="n"/>
      <c r="W1466" s="7">
        <f>IF($D1466="","",V1466*AB1466/100)</f>
        <v/>
      </c>
      <c r="X1466" s="7">
        <f>IF($D1466="","",V1466-W1466)</f>
        <v/>
      </c>
      <c r="Y1466" s="7">
        <f>IF($D1466="","",X1466-N1466)</f>
        <v/>
      </c>
      <c r="AB1466">
        <f>IF($D1466="","",IF($AN1466=1,0,IF($AM1466=1,Settings!$C$6,Settings!$C$7))*100)</f>
        <v/>
      </c>
      <c r="AF1466" s="7" t="n"/>
      <c r="AI1466" s="11" t="n"/>
      <c r="AK1466">
        <f>IF($D1466="","",IF(COUNTIF($D$2:$D1466,$D1466)=1,1,0))</f>
        <v/>
      </c>
      <c r="AL1466">
        <f>IF($AK1466=1,SUMPRODUCT(--($AO$2:$AO$1501&lt;$AO1466))+1,"")</f>
        <v/>
      </c>
      <c r="AM1466">
        <f>IF($D1466="","",IF(OR($R1466=TRUE(),$R1466="TRUE"),1,0))</f>
        <v/>
      </c>
      <c r="AN1466">
        <f>IF($D1466="","",IF($AA1466="Yes",1,0))</f>
        <v/>
      </c>
      <c r="AO1466">
        <f>IF($AK1466=1,IFERROR(IF(VALUE($D1466)&lt;100000000,VALUE($D1466),1000000000),IFERROR(IF(VALUE(MID($D1466,2,20))&lt;100000000,VALUE(MID($D1466,2,20)),1000000000),1000000000))+ROW()/100000,"")</f>
        <v/>
      </c>
    </row>
    <row r="1467">
      <c r="F1467" s="11" t="n"/>
      <c r="N1467" s="7">
        <f>IF($D1467="","",M1467*V1467/100)</f>
        <v/>
      </c>
      <c r="O1467" s="7" t="n"/>
      <c r="U1467" s="7" t="n"/>
      <c r="V1467" s="7" t="n"/>
      <c r="W1467" s="7">
        <f>IF($D1467="","",V1467*AB1467/100)</f>
        <v/>
      </c>
      <c r="X1467" s="7">
        <f>IF($D1467="","",V1467-W1467)</f>
        <v/>
      </c>
      <c r="Y1467" s="7">
        <f>IF($D1467="","",X1467-N1467)</f>
        <v/>
      </c>
      <c r="AB1467">
        <f>IF($D1467="","",IF($AN1467=1,0,IF($AM1467=1,Settings!$C$6,Settings!$C$7))*100)</f>
        <v/>
      </c>
      <c r="AF1467" s="7" t="n"/>
      <c r="AI1467" s="11" t="n"/>
      <c r="AK1467">
        <f>IF($D1467="","",IF(COUNTIF($D$2:$D1467,$D1467)=1,1,0))</f>
        <v/>
      </c>
      <c r="AL1467">
        <f>IF($AK1467=1,SUMPRODUCT(--($AO$2:$AO$1501&lt;$AO1467))+1,"")</f>
        <v/>
      </c>
      <c r="AM1467">
        <f>IF($D1467="","",IF(OR($R1467=TRUE(),$R1467="TRUE"),1,0))</f>
        <v/>
      </c>
      <c r="AN1467">
        <f>IF($D1467="","",IF($AA1467="Yes",1,0))</f>
        <v/>
      </c>
      <c r="AO1467">
        <f>IF($AK1467=1,IFERROR(IF(VALUE($D1467)&lt;100000000,VALUE($D1467),1000000000),IFERROR(IF(VALUE(MID($D1467,2,20))&lt;100000000,VALUE(MID($D1467,2,20)),1000000000),1000000000))+ROW()/100000,"")</f>
        <v/>
      </c>
    </row>
    <row r="1468">
      <c r="F1468" s="11" t="n"/>
      <c r="N1468" s="7">
        <f>IF($D1468="","",M1468*V1468/100)</f>
        <v/>
      </c>
      <c r="O1468" s="7" t="n"/>
      <c r="U1468" s="7" t="n"/>
      <c r="V1468" s="7" t="n"/>
      <c r="W1468" s="7">
        <f>IF($D1468="","",V1468*AB1468/100)</f>
        <v/>
      </c>
      <c r="X1468" s="7">
        <f>IF($D1468="","",V1468-W1468)</f>
        <v/>
      </c>
      <c r="Y1468" s="7">
        <f>IF($D1468="","",X1468-N1468)</f>
        <v/>
      </c>
      <c r="AB1468">
        <f>IF($D1468="","",IF($AN1468=1,0,IF($AM1468=1,Settings!$C$6,Settings!$C$7))*100)</f>
        <v/>
      </c>
      <c r="AF1468" s="7" t="n"/>
      <c r="AI1468" s="11" t="n"/>
      <c r="AK1468">
        <f>IF($D1468="","",IF(COUNTIF($D$2:$D1468,$D1468)=1,1,0))</f>
        <v/>
      </c>
      <c r="AL1468">
        <f>IF($AK1468=1,SUMPRODUCT(--($AO$2:$AO$1501&lt;$AO1468))+1,"")</f>
        <v/>
      </c>
      <c r="AM1468">
        <f>IF($D1468="","",IF(OR($R1468=TRUE(),$R1468="TRUE"),1,0))</f>
        <v/>
      </c>
      <c r="AN1468">
        <f>IF($D1468="","",IF($AA1468="Yes",1,0))</f>
        <v/>
      </c>
      <c r="AO1468">
        <f>IF($AK1468=1,IFERROR(IF(VALUE($D1468)&lt;100000000,VALUE($D1468),1000000000),IFERROR(IF(VALUE(MID($D1468,2,20))&lt;100000000,VALUE(MID($D1468,2,20)),1000000000),1000000000))+ROW()/100000,"")</f>
        <v/>
      </c>
    </row>
    <row r="1469">
      <c r="F1469" s="11" t="n"/>
      <c r="N1469" s="7">
        <f>IF($D1469="","",M1469*V1469/100)</f>
        <v/>
      </c>
      <c r="O1469" s="7" t="n"/>
      <c r="U1469" s="7" t="n"/>
      <c r="V1469" s="7" t="n"/>
      <c r="W1469" s="7">
        <f>IF($D1469="","",V1469*AB1469/100)</f>
        <v/>
      </c>
      <c r="X1469" s="7">
        <f>IF($D1469="","",V1469-W1469)</f>
        <v/>
      </c>
      <c r="Y1469" s="7">
        <f>IF($D1469="","",X1469-N1469)</f>
        <v/>
      </c>
      <c r="AB1469">
        <f>IF($D1469="","",IF($AN1469=1,0,IF($AM1469=1,Settings!$C$6,Settings!$C$7))*100)</f>
        <v/>
      </c>
      <c r="AF1469" s="7" t="n"/>
      <c r="AI1469" s="11" t="n"/>
      <c r="AK1469">
        <f>IF($D1469="","",IF(COUNTIF($D$2:$D1469,$D1469)=1,1,0))</f>
        <v/>
      </c>
      <c r="AL1469">
        <f>IF($AK1469=1,SUMPRODUCT(--($AO$2:$AO$1501&lt;$AO1469))+1,"")</f>
        <v/>
      </c>
      <c r="AM1469">
        <f>IF($D1469="","",IF(OR($R1469=TRUE(),$R1469="TRUE"),1,0))</f>
        <v/>
      </c>
      <c r="AN1469">
        <f>IF($D1469="","",IF($AA1469="Yes",1,0))</f>
        <v/>
      </c>
      <c r="AO1469">
        <f>IF($AK1469=1,IFERROR(IF(VALUE($D1469)&lt;100000000,VALUE($D1469),1000000000),IFERROR(IF(VALUE(MID($D1469,2,20))&lt;100000000,VALUE(MID($D1469,2,20)),1000000000),1000000000))+ROW()/100000,"")</f>
        <v/>
      </c>
    </row>
    <row r="1470">
      <c r="F1470" s="11" t="n"/>
      <c r="N1470" s="7">
        <f>IF($D1470="","",M1470*V1470/100)</f>
        <v/>
      </c>
      <c r="O1470" s="7" t="n"/>
      <c r="U1470" s="7" t="n"/>
      <c r="V1470" s="7" t="n"/>
      <c r="W1470" s="7">
        <f>IF($D1470="","",V1470*AB1470/100)</f>
        <v/>
      </c>
      <c r="X1470" s="7">
        <f>IF($D1470="","",V1470-W1470)</f>
        <v/>
      </c>
      <c r="Y1470" s="7">
        <f>IF($D1470="","",X1470-N1470)</f>
        <v/>
      </c>
      <c r="AB1470">
        <f>IF($D1470="","",IF($AN1470=1,0,IF($AM1470=1,Settings!$C$6,Settings!$C$7))*100)</f>
        <v/>
      </c>
      <c r="AF1470" s="7" t="n"/>
      <c r="AI1470" s="11" t="n"/>
      <c r="AK1470">
        <f>IF($D1470="","",IF(COUNTIF($D$2:$D1470,$D1470)=1,1,0))</f>
        <v/>
      </c>
      <c r="AL1470">
        <f>IF($AK1470=1,SUMPRODUCT(--($AO$2:$AO$1501&lt;$AO1470))+1,"")</f>
        <v/>
      </c>
      <c r="AM1470">
        <f>IF($D1470="","",IF(OR($R1470=TRUE(),$R1470="TRUE"),1,0))</f>
        <v/>
      </c>
      <c r="AN1470">
        <f>IF($D1470="","",IF($AA1470="Yes",1,0))</f>
        <v/>
      </c>
      <c r="AO1470">
        <f>IF($AK1470=1,IFERROR(IF(VALUE($D1470)&lt;100000000,VALUE($D1470),1000000000),IFERROR(IF(VALUE(MID($D1470,2,20))&lt;100000000,VALUE(MID($D1470,2,20)),1000000000),1000000000))+ROW()/100000,"")</f>
        <v/>
      </c>
    </row>
    <row r="1471">
      <c r="F1471" s="11" t="n"/>
      <c r="N1471" s="7">
        <f>IF($D1471="","",M1471*V1471/100)</f>
        <v/>
      </c>
      <c r="O1471" s="7" t="n"/>
      <c r="U1471" s="7" t="n"/>
      <c r="V1471" s="7" t="n"/>
      <c r="W1471" s="7">
        <f>IF($D1471="","",V1471*AB1471/100)</f>
        <v/>
      </c>
      <c r="X1471" s="7">
        <f>IF($D1471="","",V1471-W1471)</f>
        <v/>
      </c>
      <c r="Y1471" s="7">
        <f>IF($D1471="","",X1471-N1471)</f>
        <v/>
      </c>
      <c r="AB1471">
        <f>IF($D1471="","",IF($AN1471=1,0,IF($AM1471=1,Settings!$C$6,Settings!$C$7))*100)</f>
        <v/>
      </c>
      <c r="AF1471" s="7" t="n"/>
      <c r="AI1471" s="11" t="n"/>
      <c r="AK1471">
        <f>IF($D1471="","",IF(COUNTIF($D$2:$D1471,$D1471)=1,1,0))</f>
        <v/>
      </c>
      <c r="AL1471">
        <f>IF($AK1471=1,SUMPRODUCT(--($AO$2:$AO$1501&lt;$AO1471))+1,"")</f>
        <v/>
      </c>
      <c r="AM1471">
        <f>IF($D1471="","",IF(OR($R1471=TRUE(),$R1471="TRUE"),1,0))</f>
        <v/>
      </c>
      <c r="AN1471">
        <f>IF($D1471="","",IF($AA1471="Yes",1,0))</f>
        <v/>
      </c>
      <c r="AO1471">
        <f>IF($AK1471=1,IFERROR(IF(VALUE($D1471)&lt;100000000,VALUE($D1471),1000000000),IFERROR(IF(VALUE(MID($D1471,2,20))&lt;100000000,VALUE(MID($D1471,2,20)),1000000000),1000000000))+ROW()/100000,"")</f>
        <v/>
      </c>
    </row>
    <row r="1472">
      <c r="F1472" s="11" t="n"/>
      <c r="N1472" s="7">
        <f>IF($D1472="","",M1472*V1472/100)</f>
        <v/>
      </c>
      <c r="O1472" s="7" t="n"/>
      <c r="U1472" s="7" t="n"/>
      <c r="V1472" s="7" t="n"/>
      <c r="W1472" s="7">
        <f>IF($D1472="","",V1472*AB1472/100)</f>
        <v/>
      </c>
      <c r="X1472" s="7">
        <f>IF($D1472="","",V1472-W1472)</f>
        <v/>
      </c>
      <c r="Y1472" s="7">
        <f>IF($D1472="","",X1472-N1472)</f>
        <v/>
      </c>
      <c r="AB1472">
        <f>IF($D1472="","",IF($AN1472=1,0,IF($AM1472=1,Settings!$C$6,Settings!$C$7))*100)</f>
        <v/>
      </c>
      <c r="AF1472" s="7" t="n"/>
      <c r="AI1472" s="11" t="n"/>
      <c r="AK1472">
        <f>IF($D1472="","",IF(COUNTIF($D$2:$D1472,$D1472)=1,1,0))</f>
        <v/>
      </c>
      <c r="AL1472">
        <f>IF($AK1472=1,SUMPRODUCT(--($AO$2:$AO$1501&lt;$AO1472))+1,"")</f>
        <v/>
      </c>
      <c r="AM1472">
        <f>IF($D1472="","",IF(OR($R1472=TRUE(),$R1472="TRUE"),1,0))</f>
        <v/>
      </c>
      <c r="AN1472">
        <f>IF($D1472="","",IF($AA1472="Yes",1,0))</f>
        <v/>
      </c>
      <c r="AO1472">
        <f>IF($AK1472=1,IFERROR(IF(VALUE($D1472)&lt;100000000,VALUE($D1472),1000000000),IFERROR(IF(VALUE(MID($D1472,2,20))&lt;100000000,VALUE(MID($D1472,2,20)),1000000000),1000000000))+ROW()/100000,"")</f>
        <v/>
      </c>
    </row>
    <row r="1473">
      <c r="F1473" s="11" t="n"/>
      <c r="N1473" s="7">
        <f>IF($D1473="","",M1473*V1473/100)</f>
        <v/>
      </c>
      <c r="O1473" s="7" t="n"/>
      <c r="U1473" s="7" t="n"/>
      <c r="V1473" s="7" t="n"/>
      <c r="W1473" s="7">
        <f>IF($D1473="","",V1473*AB1473/100)</f>
        <v/>
      </c>
      <c r="X1473" s="7">
        <f>IF($D1473="","",V1473-W1473)</f>
        <v/>
      </c>
      <c r="Y1473" s="7">
        <f>IF($D1473="","",X1473-N1473)</f>
        <v/>
      </c>
      <c r="AB1473">
        <f>IF($D1473="","",IF($AN1473=1,0,IF($AM1473=1,Settings!$C$6,Settings!$C$7))*100)</f>
        <v/>
      </c>
      <c r="AF1473" s="7" t="n"/>
      <c r="AI1473" s="11" t="n"/>
      <c r="AK1473">
        <f>IF($D1473="","",IF(COUNTIF($D$2:$D1473,$D1473)=1,1,0))</f>
        <v/>
      </c>
      <c r="AL1473">
        <f>IF($AK1473=1,SUMPRODUCT(--($AO$2:$AO$1501&lt;$AO1473))+1,"")</f>
        <v/>
      </c>
      <c r="AM1473">
        <f>IF($D1473="","",IF(OR($R1473=TRUE(),$R1473="TRUE"),1,0))</f>
        <v/>
      </c>
      <c r="AN1473">
        <f>IF($D1473="","",IF($AA1473="Yes",1,0))</f>
        <v/>
      </c>
      <c r="AO1473">
        <f>IF($AK1473=1,IFERROR(IF(VALUE($D1473)&lt;100000000,VALUE($D1473),1000000000),IFERROR(IF(VALUE(MID($D1473,2,20))&lt;100000000,VALUE(MID($D1473,2,20)),1000000000),1000000000))+ROW()/100000,"")</f>
        <v/>
      </c>
    </row>
    <row r="1474">
      <c r="F1474" s="11" t="n"/>
      <c r="N1474" s="7">
        <f>IF($D1474="","",M1474*V1474/100)</f>
        <v/>
      </c>
      <c r="O1474" s="7" t="n"/>
      <c r="U1474" s="7" t="n"/>
      <c r="V1474" s="7" t="n"/>
      <c r="W1474" s="7">
        <f>IF($D1474="","",V1474*AB1474/100)</f>
        <v/>
      </c>
      <c r="X1474" s="7">
        <f>IF($D1474="","",V1474-W1474)</f>
        <v/>
      </c>
      <c r="Y1474" s="7">
        <f>IF($D1474="","",X1474-N1474)</f>
        <v/>
      </c>
      <c r="AB1474">
        <f>IF($D1474="","",IF($AN1474=1,0,IF($AM1474=1,Settings!$C$6,Settings!$C$7))*100)</f>
        <v/>
      </c>
      <c r="AF1474" s="7" t="n"/>
      <c r="AI1474" s="11" t="n"/>
      <c r="AK1474">
        <f>IF($D1474="","",IF(COUNTIF($D$2:$D1474,$D1474)=1,1,0))</f>
        <v/>
      </c>
      <c r="AL1474">
        <f>IF($AK1474=1,SUMPRODUCT(--($AO$2:$AO$1501&lt;$AO1474))+1,"")</f>
        <v/>
      </c>
      <c r="AM1474">
        <f>IF($D1474="","",IF(OR($R1474=TRUE(),$R1474="TRUE"),1,0))</f>
        <v/>
      </c>
      <c r="AN1474">
        <f>IF($D1474="","",IF($AA1474="Yes",1,0))</f>
        <v/>
      </c>
      <c r="AO1474">
        <f>IF($AK1474=1,IFERROR(IF(VALUE($D1474)&lt;100000000,VALUE($D1474),1000000000),IFERROR(IF(VALUE(MID($D1474,2,20))&lt;100000000,VALUE(MID($D1474,2,20)),1000000000),1000000000))+ROW()/100000,"")</f>
        <v/>
      </c>
    </row>
    <row r="1475">
      <c r="F1475" s="11" t="n"/>
      <c r="N1475" s="7">
        <f>IF($D1475="","",M1475*V1475/100)</f>
        <v/>
      </c>
      <c r="O1475" s="7" t="n"/>
      <c r="U1475" s="7" t="n"/>
      <c r="V1475" s="7" t="n"/>
      <c r="W1475" s="7">
        <f>IF($D1475="","",V1475*AB1475/100)</f>
        <v/>
      </c>
      <c r="X1475" s="7">
        <f>IF($D1475="","",V1475-W1475)</f>
        <v/>
      </c>
      <c r="Y1475" s="7">
        <f>IF($D1475="","",X1475-N1475)</f>
        <v/>
      </c>
      <c r="AB1475">
        <f>IF($D1475="","",IF($AN1475=1,0,IF($AM1475=1,Settings!$C$6,Settings!$C$7))*100)</f>
        <v/>
      </c>
      <c r="AF1475" s="7" t="n"/>
      <c r="AI1475" s="11" t="n"/>
      <c r="AK1475">
        <f>IF($D1475="","",IF(COUNTIF($D$2:$D1475,$D1475)=1,1,0))</f>
        <v/>
      </c>
      <c r="AL1475">
        <f>IF($AK1475=1,SUMPRODUCT(--($AO$2:$AO$1501&lt;$AO1475))+1,"")</f>
        <v/>
      </c>
      <c r="AM1475">
        <f>IF($D1475="","",IF(OR($R1475=TRUE(),$R1475="TRUE"),1,0))</f>
        <v/>
      </c>
      <c r="AN1475">
        <f>IF($D1475="","",IF($AA1475="Yes",1,0))</f>
        <v/>
      </c>
      <c r="AO1475">
        <f>IF($AK1475=1,IFERROR(IF(VALUE($D1475)&lt;100000000,VALUE($D1475),1000000000),IFERROR(IF(VALUE(MID($D1475,2,20))&lt;100000000,VALUE(MID($D1475,2,20)),1000000000),1000000000))+ROW()/100000,"")</f>
        <v/>
      </c>
    </row>
    <row r="1476">
      <c r="F1476" s="11" t="n"/>
      <c r="N1476" s="7">
        <f>IF($D1476="","",M1476*V1476/100)</f>
        <v/>
      </c>
      <c r="O1476" s="7" t="n"/>
      <c r="U1476" s="7" t="n"/>
      <c r="V1476" s="7" t="n"/>
      <c r="W1476" s="7">
        <f>IF($D1476="","",V1476*AB1476/100)</f>
        <v/>
      </c>
      <c r="X1476" s="7">
        <f>IF($D1476="","",V1476-W1476)</f>
        <v/>
      </c>
      <c r="Y1476" s="7">
        <f>IF($D1476="","",X1476-N1476)</f>
        <v/>
      </c>
      <c r="AB1476">
        <f>IF($D1476="","",IF($AN1476=1,0,IF($AM1476=1,Settings!$C$6,Settings!$C$7))*100)</f>
        <v/>
      </c>
      <c r="AF1476" s="7" t="n"/>
      <c r="AI1476" s="11" t="n"/>
      <c r="AK1476">
        <f>IF($D1476="","",IF(COUNTIF($D$2:$D1476,$D1476)=1,1,0))</f>
        <v/>
      </c>
      <c r="AL1476">
        <f>IF($AK1476=1,SUMPRODUCT(--($AO$2:$AO$1501&lt;$AO1476))+1,"")</f>
        <v/>
      </c>
      <c r="AM1476">
        <f>IF($D1476="","",IF(OR($R1476=TRUE(),$R1476="TRUE"),1,0))</f>
        <v/>
      </c>
      <c r="AN1476">
        <f>IF($D1476="","",IF($AA1476="Yes",1,0))</f>
        <v/>
      </c>
      <c r="AO1476">
        <f>IF($AK1476=1,IFERROR(IF(VALUE($D1476)&lt;100000000,VALUE($D1476),1000000000),IFERROR(IF(VALUE(MID($D1476,2,20))&lt;100000000,VALUE(MID($D1476,2,20)),1000000000),1000000000))+ROW()/100000,"")</f>
        <v/>
      </c>
    </row>
    <row r="1477">
      <c r="F1477" s="11" t="n"/>
      <c r="N1477" s="7">
        <f>IF($D1477="","",M1477*V1477/100)</f>
        <v/>
      </c>
      <c r="O1477" s="7" t="n"/>
      <c r="U1477" s="7" t="n"/>
      <c r="V1477" s="7" t="n"/>
      <c r="W1477" s="7">
        <f>IF($D1477="","",V1477*AB1477/100)</f>
        <v/>
      </c>
      <c r="X1477" s="7">
        <f>IF($D1477="","",V1477-W1477)</f>
        <v/>
      </c>
      <c r="Y1477" s="7">
        <f>IF($D1477="","",X1477-N1477)</f>
        <v/>
      </c>
      <c r="AB1477">
        <f>IF($D1477="","",IF($AN1477=1,0,IF($AM1477=1,Settings!$C$6,Settings!$C$7))*100)</f>
        <v/>
      </c>
      <c r="AF1477" s="7" t="n"/>
      <c r="AI1477" s="11" t="n"/>
      <c r="AK1477">
        <f>IF($D1477="","",IF(COUNTIF($D$2:$D1477,$D1477)=1,1,0))</f>
        <v/>
      </c>
      <c r="AL1477">
        <f>IF($AK1477=1,SUMPRODUCT(--($AO$2:$AO$1501&lt;$AO1477))+1,"")</f>
        <v/>
      </c>
      <c r="AM1477">
        <f>IF($D1477="","",IF(OR($R1477=TRUE(),$R1477="TRUE"),1,0))</f>
        <v/>
      </c>
      <c r="AN1477">
        <f>IF($D1477="","",IF($AA1477="Yes",1,0))</f>
        <v/>
      </c>
      <c r="AO1477">
        <f>IF($AK1477=1,IFERROR(IF(VALUE($D1477)&lt;100000000,VALUE($D1477),1000000000),IFERROR(IF(VALUE(MID($D1477,2,20))&lt;100000000,VALUE(MID($D1477,2,20)),1000000000),1000000000))+ROW()/100000,"")</f>
        <v/>
      </c>
    </row>
    <row r="1478">
      <c r="F1478" s="11" t="n"/>
      <c r="N1478" s="7">
        <f>IF($D1478="","",M1478*V1478/100)</f>
        <v/>
      </c>
      <c r="O1478" s="7" t="n"/>
      <c r="U1478" s="7" t="n"/>
      <c r="V1478" s="7" t="n"/>
      <c r="W1478" s="7">
        <f>IF($D1478="","",V1478*AB1478/100)</f>
        <v/>
      </c>
      <c r="X1478" s="7">
        <f>IF($D1478="","",V1478-W1478)</f>
        <v/>
      </c>
      <c r="Y1478" s="7">
        <f>IF($D1478="","",X1478-N1478)</f>
        <v/>
      </c>
      <c r="AB1478">
        <f>IF($D1478="","",IF($AN1478=1,0,IF($AM1478=1,Settings!$C$6,Settings!$C$7))*100)</f>
        <v/>
      </c>
      <c r="AF1478" s="7" t="n"/>
      <c r="AI1478" s="11" t="n"/>
      <c r="AK1478">
        <f>IF($D1478="","",IF(COUNTIF($D$2:$D1478,$D1478)=1,1,0))</f>
        <v/>
      </c>
      <c r="AL1478">
        <f>IF($AK1478=1,SUMPRODUCT(--($AO$2:$AO$1501&lt;$AO1478))+1,"")</f>
        <v/>
      </c>
      <c r="AM1478">
        <f>IF($D1478="","",IF(OR($R1478=TRUE(),$R1478="TRUE"),1,0))</f>
        <v/>
      </c>
      <c r="AN1478">
        <f>IF($D1478="","",IF($AA1478="Yes",1,0))</f>
        <v/>
      </c>
      <c r="AO1478">
        <f>IF($AK1478=1,IFERROR(IF(VALUE($D1478)&lt;100000000,VALUE($D1478),1000000000),IFERROR(IF(VALUE(MID($D1478,2,20))&lt;100000000,VALUE(MID($D1478,2,20)),1000000000),1000000000))+ROW()/100000,"")</f>
        <v/>
      </c>
    </row>
    <row r="1479">
      <c r="F1479" s="11" t="n"/>
      <c r="N1479" s="7">
        <f>IF($D1479="","",M1479*V1479/100)</f>
        <v/>
      </c>
      <c r="O1479" s="7" t="n"/>
      <c r="U1479" s="7" t="n"/>
      <c r="V1479" s="7" t="n"/>
      <c r="W1479" s="7">
        <f>IF($D1479="","",V1479*AB1479/100)</f>
        <v/>
      </c>
      <c r="X1479" s="7">
        <f>IF($D1479="","",V1479-W1479)</f>
        <v/>
      </c>
      <c r="Y1479" s="7">
        <f>IF($D1479="","",X1479-N1479)</f>
        <v/>
      </c>
      <c r="AB1479">
        <f>IF($D1479="","",IF($AN1479=1,0,IF($AM1479=1,Settings!$C$6,Settings!$C$7))*100)</f>
        <v/>
      </c>
      <c r="AF1479" s="7" t="n"/>
      <c r="AI1479" s="11" t="n"/>
      <c r="AK1479">
        <f>IF($D1479="","",IF(COUNTIF($D$2:$D1479,$D1479)=1,1,0))</f>
        <v/>
      </c>
      <c r="AL1479">
        <f>IF($AK1479=1,SUMPRODUCT(--($AO$2:$AO$1501&lt;$AO1479))+1,"")</f>
        <v/>
      </c>
      <c r="AM1479">
        <f>IF($D1479="","",IF(OR($R1479=TRUE(),$R1479="TRUE"),1,0))</f>
        <v/>
      </c>
      <c r="AN1479">
        <f>IF($D1479="","",IF($AA1479="Yes",1,0))</f>
        <v/>
      </c>
      <c r="AO1479">
        <f>IF($AK1479=1,IFERROR(IF(VALUE($D1479)&lt;100000000,VALUE($D1479),1000000000),IFERROR(IF(VALUE(MID($D1479,2,20))&lt;100000000,VALUE(MID($D1479,2,20)),1000000000),1000000000))+ROW()/100000,"")</f>
        <v/>
      </c>
    </row>
    <row r="1480">
      <c r="F1480" s="11" t="n"/>
      <c r="N1480" s="7">
        <f>IF($D1480="","",M1480*V1480/100)</f>
        <v/>
      </c>
      <c r="O1480" s="7" t="n"/>
      <c r="U1480" s="7" t="n"/>
      <c r="V1480" s="7" t="n"/>
      <c r="W1480" s="7">
        <f>IF($D1480="","",V1480*AB1480/100)</f>
        <v/>
      </c>
      <c r="X1480" s="7">
        <f>IF($D1480="","",V1480-W1480)</f>
        <v/>
      </c>
      <c r="Y1480" s="7">
        <f>IF($D1480="","",X1480-N1480)</f>
        <v/>
      </c>
      <c r="AB1480">
        <f>IF($D1480="","",IF($AN1480=1,0,IF($AM1480=1,Settings!$C$6,Settings!$C$7))*100)</f>
        <v/>
      </c>
      <c r="AF1480" s="7" t="n"/>
      <c r="AI1480" s="11" t="n"/>
      <c r="AK1480">
        <f>IF($D1480="","",IF(COUNTIF($D$2:$D1480,$D1480)=1,1,0))</f>
        <v/>
      </c>
      <c r="AL1480">
        <f>IF($AK1480=1,SUMPRODUCT(--($AO$2:$AO$1501&lt;$AO1480))+1,"")</f>
        <v/>
      </c>
      <c r="AM1480">
        <f>IF($D1480="","",IF(OR($R1480=TRUE(),$R1480="TRUE"),1,0))</f>
        <v/>
      </c>
      <c r="AN1480">
        <f>IF($D1480="","",IF($AA1480="Yes",1,0))</f>
        <v/>
      </c>
      <c r="AO1480">
        <f>IF($AK1480=1,IFERROR(IF(VALUE($D1480)&lt;100000000,VALUE($D1480),1000000000),IFERROR(IF(VALUE(MID($D1480,2,20))&lt;100000000,VALUE(MID($D1480,2,20)),1000000000),1000000000))+ROW()/100000,"")</f>
        <v/>
      </c>
    </row>
    <row r="1481">
      <c r="F1481" s="11" t="n"/>
      <c r="N1481" s="7">
        <f>IF($D1481="","",M1481*V1481/100)</f>
        <v/>
      </c>
      <c r="O1481" s="7" t="n"/>
      <c r="U1481" s="7" t="n"/>
      <c r="V1481" s="7" t="n"/>
      <c r="W1481" s="7">
        <f>IF($D1481="","",V1481*AB1481/100)</f>
        <v/>
      </c>
      <c r="X1481" s="7">
        <f>IF($D1481="","",V1481-W1481)</f>
        <v/>
      </c>
      <c r="Y1481" s="7">
        <f>IF($D1481="","",X1481-N1481)</f>
        <v/>
      </c>
      <c r="AB1481">
        <f>IF($D1481="","",IF($AN1481=1,0,IF($AM1481=1,Settings!$C$6,Settings!$C$7))*100)</f>
        <v/>
      </c>
      <c r="AF1481" s="7" t="n"/>
      <c r="AI1481" s="11" t="n"/>
      <c r="AK1481">
        <f>IF($D1481="","",IF(COUNTIF($D$2:$D1481,$D1481)=1,1,0))</f>
        <v/>
      </c>
      <c r="AL1481">
        <f>IF($AK1481=1,SUMPRODUCT(--($AO$2:$AO$1501&lt;$AO1481))+1,"")</f>
        <v/>
      </c>
      <c r="AM1481">
        <f>IF($D1481="","",IF(OR($R1481=TRUE(),$R1481="TRUE"),1,0))</f>
        <v/>
      </c>
      <c r="AN1481">
        <f>IF($D1481="","",IF($AA1481="Yes",1,0))</f>
        <v/>
      </c>
      <c r="AO1481">
        <f>IF($AK1481=1,IFERROR(IF(VALUE($D1481)&lt;100000000,VALUE($D1481),1000000000),IFERROR(IF(VALUE(MID($D1481,2,20))&lt;100000000,VALUE(MID($D1481,2,20)),1000000000),1000000000))+ROW()/100000,"")</f>
        <v/>
      </c>
    </row>
    <row r="1482">
      <c r="F1482" s="11" t="n"/>
      <c r="N1482" s="7">
        <f>IF($D1482="","",M1482*V1482/100)</f>
        <v/>
      </c>
      <c r="O1482" s="7" t="n"/>
      <c r="U1482" s="7" t="n"/>
      <c r="V1482" s="7" t="n"/>
      <c r="W1482" s="7">
        <f>IF($D1482="","",V1482*AB1482/100)</f>
        <v/>
      </c>
      <c r="X1482" s="7">
        <f>IF($D1482="","",V1482-W1482)</f>
        <v/>
      </c>
      <c r="Y1482" s="7">
        <f>IF($D1482="","",X1482-N1482)</f>
        <v/>
      </c>
      <c r="AB1482">
        <f>IF($D1482="","",IF($AN1482=1,0,IF($AM1482=1,Settings!$C$6,Settings!$C$7))*100)</f>
        <v/>
      </c>
      <c r="AF1482" s="7" t="n"/>
      <c r="AI1482" s="11" t="n"/>
      <c r="AK1482">
        <f>IF($D1482="","",IF(COUNTIF($D$2:$D1482,$D1482)=1,1,0))</f>
        <v/>
      </c>
      <c r="AL1482">
        <f>IF($AK1482=1,SUMPRODUCT(--($AO$2:$AO$1501&lt;$AO1482))+1,"")</f>
        <v/>
      </c>
      <c r="AM1482">
        <f>IF($D1482="","",IF(OR($R1482=TRUE(),$R1482="TRUE"),1,0))</f>
        <v/>
      </c>
      <c r="AN1482">
        <f>IF($D1482="","",IF($AA1482="Yes",1,0))</f>
        <v/>
      </c>
      <c r="AO1482">
        <f>IF($AK1482=1,IFERROR(IF(VALUE($D1482)&lt;100000000,VALUE($D1482),1000000000),IFERROR(IF(VALUE(MID($D1482,2,20))&lt;100000000,VALUE(MID($D1482,2,20)),1000000000),1000000000))+ROW()/100000,"")</f>
        <v/>
      </c>
    </row>
    <row r="1483">
      <c r="F1483" s="11" t="n"/>
      <c r="N1483" s="7">
        <f>IF($D1483="","",M1483*V1483/100)</f>
        <v/>
      </c>
      <c r="O1483" s="7" t="n"/>
      <c r="U1483" s="7" t="n"/>
      <c r="V1483" s="7" t="n"/>
      <c r="W1483" s="7">
        <f>IF($D1483="","",V1483*AB1483/100)</f>
        <v/>
      </c>
      <c r="X1483" s="7">
        <f>IF($D1483="","",V1483-W1483)</f>
        <v/>
      </c>
      <c r="Y1483" s="7">
        <f>IF($D1483="","",X1483-N1483)</f>
        <v/>
      </c>
      <c r="AB1483">
        <f>IF($D1483="","",IF($AN1483=1,0,IF($AM1483=1,Settings!$C$6,Settings!$C$7))*100)</f>
        <v/>
      </c>
      <c r="AF1483" s="7" t="n"/>
      <c r="AI1483" s="11" t="n"/>
      <c r="AK1483">
        <f>IF($D1483="","",IF(COUNTIF($D$2:$D1483,$D1483)=1,1,0))</f>
        <v/>
      </c>
      <c r="AL1483">
        <f>IF($AK1483=1,SUMPRODUCT(--($AO$2:$AO$1501&lt;$AO1483))+1,"")</f>
        <v/>
      </c>
      <c r="AM1483">
        <f>IF($D1483="","",IF(OR($R1483=TRUE(),$R1483="TRUE"),1,0))</f>
        <v/>
      </c>
      <c r="AN1483">
        <f>IF($D1483="","",IF($AA1483="Yes",1,0))</f>
        <v/>
      </c>
      <c r="AO1483">
        <f>IF($AK1483=1,IFERROR(IF(VALUE($D1483)&lt;100000000,VALUE($D1483),1000000000),IFERROR(IF(VALUE(MID($D1483,2,20))&lt;100000000,VALUE(MID($D1483,2,20)),1000000000),1000000000))+ROW()/100000,"")</f>
        <v/>
      </c>
    </row>
    <row r="1484">
      <c r="F1484" s="11" t="n"/>
      <c r="N1484" s="7">
        <f>IF($D1484="","",M1484*V1484/100)</f>
        <v/>
      </c>
      <c r="O1484" s="7" t="n"/>
      <c r="U1484" s="7" t="n"/>
      <c r="V1484" s="7" t="n"/>
      <c r="W1484" s="7">
        <f>IF($D1484="","",V1484*AB1484/100)</f>
        <v/>
      </c>
      <c r="X1484" s="7">
        <f>IF($D1484="","",V1484-W1484)</f>
        <v/>
      </c>
      <c r="Y1484" s="7">
        <f>IF($D1484="","",X1484-N1484)</f>
        <v/>
      </c>
      <c r="AB1484">
        <f>IF($D1484="","",IF($AN1484=1,0,IF($AM1484=1,Settings!$C$6,Settings!$C$7))*100)</f>
        <v/>
      </c>
      <c r="AF1484" s="7" t="n"/>
      <c r="AI1484" s="11" t="n"/>
      <c r="AK1484">
        <f>IF($D1484="","",IF(COUNTIF($D$2:$D1484,$D1484)=1,1,0))</f>
        <v/>
      </c>
      <c r="AL1484">
        <f>IF($AK1484=1,SUMPRODUCT(--($AO$2:$AO$1501&lt;$AO1484))+1,"")</f>
        <v/>
      </c>
      <c r="AM1484">
        <f>IF($D1484="","",IF(OR($R1484=TRUE(),$R1484="TRUE"),1,0))</f>
        <v/>
      </c>
      <c r="AN1484">
        <f>IF($D1484="","",IF($AA1484="Yes",1,0))</f>
        <v/>
      </c>
      <c r="AO1484">
        <f>IF($AK1484=1,IFERROR(IF(VALUE($D1484)&lt;100000000,VALUE($D1484),1000000000),IFERROR(IF(VALUE(MID($D1484,2,20))&lt;100000000,VALUE(MID($D1484,2,20)),1000000000),1000000000))+ROW()/100000,"")</f>
        <v/>
      </c>
    </row>
    <row r="1485">
      <c r="F1485" s="11" t="n"/>
      <c r="N1485" s="7">
        <f>IF($D1485="","",M1485*V1485/100)</f>
        <v/>
      </c>
      <c r="O1485" s="7" t="n"/>
      <c r="U1485" s="7" t="n"/>
      <c r="V1485" s="7" t="n"/>
      <c r="W1485" s="7">
        <f>IF($D1485="","",V1485*AB1485/100)</f>
        <v/>
      </c>
      <c r="X1485" s="7">
        <f>IF($D1485="","",V1485-W1485)</f>
        <v/>
      </c>
      <c r="Y1485" s="7">
        <f>IF($D1485="","",X1485-N1485)</f>
        <v/>
      </c>
      <c r="AB1485">
        <f>IF($D1485="","",IF($AN1485=1,0,IF($AM1485=1,Settings!$C$6,Settings!$C$7))*100)</f>
        <v/>
      </c>
      <c r="AF1485" s="7" t="n"/>
      <c r="AI1485" s="11" t="n"/>
      <c r="AK1485">
        <f>IF($D1485="","",IF(COUNTIF($D$2:$D1485,$D1485)=1,1,0))</f>
        <v/>
      </c>
      <c r="AL1485">
        <f>IF($AK1485=1,SUMPRODUCT(--($AO$2:$AO$1501&lt;$AO1485))+1,"")</f>
        <v/>
      </c>
      <c r="AM1485">
        <f>IF($D1485="","",IF(OR($R1485=TRUE(),$R1485="TRUE"),1,0))</f>
        <v/>
      </c>
      <c r="AN1485">
        <f>IF($D1485="","",IF($AA1485="Yes",1,0))</f>
        <v/>
      </c>
      <c r="AO1485">
        <f>IF($AK1485=1,IFERROR(IF(VALUE($D1485)&lt;100000000,VALUE($D1485),1000000000),IFERROR(IF(VALUE(MID($D1485,2,20))&lt;100000000,VALUE(MID($D1485,2,20)),1000000000),1000000000))+ROW()/100000,"")</f>
        <v/>
      </c>
    </row>
    <row r="1486">
      <c r="F1486" s="11" t="n"/>
      <c r="N1486" s="7">
        <f>IF($D1486="","",M1486*V1486/100)</f>
        <v/>
      </c>
      <c r="O1486" s="7" t="n"/>
      <c r="U1486" s="7" t="n"/>
      <c r="V1486" s="7" t="n"/>
      <c r="W1486" s="7">
        <f>IF($D1486="","",V1486*AB1486/100)</f>
        <v/>
      </c>
      <c r="X1486" s="7">
        <f>IF($D1486="","",V1486-W1486)</f>
        <v/>
      </c>
      <c r="Y1486" s="7">
        <f>IF($D1486="","",X1486-N1486)</f>
        <v/>
      </c>
      <c r="AB1486">
        <f>IF($D1486="","",IF($AN1486=1,0,IF($AM1486=1,Settings!$C$6,Settings!$C$7))*100)</f>
        <v/>
      </c>
      <c r="AF1486" s="7" t="n"/>
      <c r="AI1486" s="11" t="n"/>
      <c r="AK1486">
        <f>IF($D1486="","",IF(COUNTIF($D$2:$D1486,$D1486)=1,1,0))</f>
        <v/>
      </c>
      <c r="AL1486">
        <f>IF($AK1486=1,SUMPRODUCT(--($AO$2:$AO$1501&lt;$AO1486))+1,"")</f>
        <v/>
      </c>
      <c r="AM1486">
        <f>IF($D1486="","",IF(OR($R1486=TRUE(),$R1486="TRUE"),1,0))</f>
        <v/>
      </c>
      <c r="AN1486">
        <f>IF($D1486="","",IF($AA1486="Yes",1,0))</f>
        <v/>
      </c>
      <c r="AO1486">
        <f>IF($AK1486=1,IFERROR(IF(VALUE($D1486)&lt;100000000,VALUE($D1486),1000000000),IFERROR(IF(VALUE(MID($D1486,2,20))&lt;100000000,VALUE(MID($D1486,2,20)),1000000000),1000000000))+ROW()/100000,"")</f>
        <v/>
      </c>
    </row>
    <row r="1487">
      <c r="F1487" s="11" t="n"/>
      <c r="N1487" s="7">
        <f>IF($D1487="","",M1487*V1487/100)</f>
        <v/>
      </c>
      <c r="O1487" s="7" t="n"/>
      <c r="U1487" s="7" t="n"/>
      <c r="V1487" s="7" t="n"/>
      <c r="W1487" s="7">
        <f>IF($D1487="","",V1487*AB1487/100)</f>
        <v/>
      </c>
      <c r="X1487" s="7">
        <f>IF($D1487="","",V1487-W1487)</f>
        <v/>
      </c>
      <c r="Y1487" s="7">
        <f>IF($D1487="","",X1487-N1487)</f>
        <v/>
      </c>
      <c r="AB1487">
        <f>IF($D1487="","",IF($AN1487=1,0,IF($AM1487=1,Settings!$C$6,Settings!$C$7))*100)</f>
        <v/>
      </c>
      <c r="AF1487" s="7" t="n"/>
      <c r="AI1487" s="11" t="n"/>
      <c r="AK1487">
        <f>IF($D1487="","",IF(COUNTIF($D$2:$D1487,$D1487)=1,1,0))</f>
        <v/>
      </c>
      <c r="AL1487">
        <f>IF($AK1487=1,SUMPRODUCT(--($AO$2:$AO$1501&lt;$AO1487))+1,"")</f>
        <v/>
      </c>
      <c r="AM1487">
        <f>IF($D1487="","",IF(OR($R1487=TRUE(),$R1487="TRUE"),1,0))</f>
        <v/>
      </c>
      <c r="AN1487">
        <f>IF($D1487="","",IF($AA1487="Yes",1,0))</f>
        <v/>
      </c>
      <c r="AO1487">
        <f>IF($AK1487=1,IFERROR(IF(VALUE($D1487)&lt;100000000,VALUE($D1487),1000000000),IFERROR(IF(VALUE(MID($D1487,2,20))&lt;100000000,VALUE(MID($D1487,2,20)),1000000000),1000000000))+ROW()/100000,"")</f>
        <v/>
      </c>
    </row>
    <row r="1488">
      <c r="F1488" s="11" t="n"/>
      <c r="N1488" s="7">
        <f>IF($D1488="","",M1488*V1488/100)</f>
        <v/>
      </c>
      <c r="O1488" s="7" t="n"/>
      <c r="U1488" s="7" t="n"/>
      <c r="V1488" s="7" t="n"/>
      <c r="W1488" s="7">
        <f>IF($D1488="","",V1488*AB1488/100)</f>
        <v/>
      </c>
      <c r="X1488" s="7">
        <f>IF($D1488="","",V1488-W1488)</f>
        <v/>
      </c>
      <c r="Y1488" s="7">
        <f>IF($D1488="","",X1488-N1488)</f>
        <v/>
      </c>
      <c r="AB1488">
        <f>IF($D1488="","",IF($AN1488=1,0,IF($AM1488=1,Settings!$C$6,Settings!$C$7))*100)</f>
        <v/>
      </c>
      <c r="AF1488" s="7" t="n"/>
      <c r="AI1488" s="11" t="n"/>
      <c r="AK1488">
        <f>IF($D1488="","",IF(COUNTIF($D$2:$D1488,$D1488)=1,1,0))</f>
        <v/>
      </c>
      <c r="AL1488">
        <f>IF($AK1488=1,SUMPRODUCT(--($AO$2:$AO$1501&lt;$AO1488))+1,"")</f>
        <v/>
      </c>
      <c r="AM1488">
        <f>IF($D1488="","",IF(OR($R1488=TRUE(),$R1488="TRUE"),1,0))</f>
        <v/>
      </c>
      <c r="AN1488">
        <f>IF($D1488="","",IF($AA1488="Yes",1,0))</f>
        <v/>
      </c>
      <c r="AO1488">
        <f>IF($AK1488=1,IFERROR(IF(VALUE($D1488)&lt;100000000,VALUE($D1488),1000000000),IFERROR(IF(VALUE(MID($D1488,2,20))&lt;100000000,VALUE(MID($D1488,2,20)),1000000000),1000000000))+ROW()/100000,"")</f>
        <v/>
      </c>
    </row>
    <row r="1489">
      <c r="F1489" s="11" t="n"/>
      <c r="N1489" s="7">
        <f>IF($D1489="","",M1489*V1489/100)</f>
        <v/>
      </c>
      <c r="O1489" s="7" t="n"/>
      <c r="U1489" s="7" t="n"/>
      <c r="V1489" s="7" t="n"/>
      <c r="W1489" s="7">
        <f>IF($D1489="","",V1489*AB1489/100)</f>
        <v/>
      </c>
      <c r="X1489" s="7">
        <f>IF($D1489="","",V1489-W1489)</f>
        <v/>
      </c>
      <c r="Y1489" s="7">
        <f>IF($D1489="","",X1489-N1489)</f>
        <v/>
      </c>
      <c r="AB1489">
        <f>IF($D1489="","",IF($AN1489=1,0,IF($AM1489=1,Settings!$C$6,Settings!$C$7))*100)</f>
        <v/>
      </c>
      <c r="AF1489" s="7" t="n"/>
      <c r="AI1489" s="11" t="n"/>
      <c r="AK1489">
        <f>IF($D1489="","",IF(COUNTIF($D$2:$D1489,$D1489)=1,1,0))</f>
        <v/>
      </c>
      <c r="AL1489">
        <f>IF($AK1489=1,SUMPRODUCT(--($AO$2:$AO$1501&lt;$AO1489))+1,"")</f>
        <v/>
      </c>
      <c r="AM1489">
        <f>IF($D1489="","",IF(OR($R1489=TRUE(),$R1489="TRUE"),1,0))</f>
        <v/>
      </c>
      <c r="AN1489">
        <f>IF($D1489="","",IF($AA1489="Yes",1,0))</f>
        <v/>
      </c>
      <c r="AO1489">
        <f>IF($AK1489=1,IFERROR(IF(VALUE($D1489)&lt;100000000,VALUE($D1489),1000000000),IFERROR(IF(VALUE(MID($D1489,2,20))&lt;100000000,VALUE(MID($D1489,2,20)),1000000000),1000000000))+ROW()/100000,"")</f>
        <v/>
      </c>
    </row>
    <row r="1490">
      <c r="F1490" s="11" t="n"/>
      <c r="N1490" s="7">
        <f>IF($D1490="","",M1490*V1490/100)</f>
        <v/>
      </c>
      <c r="O1490" s="7" t="n"/>
      <c r="U1490" s="7" t="n"/>
      <c r="V1490" s="7" t="n"/>
      <c r="W1490" s="7">
        <f>IF($D1490="","",V1490*AB1490/100)</f>
        <v/>
      </c>
      <c r="X1490" s="7">
        <f>IF($D1490="","",V1490-W1490)</f>
        <v/>
      </c>
      <c r="Y1490" s="7">
        <f>IF($D1490="","",X1490-N1490)</f>
        <v/>
      </c>
      <c r="AB1490">
        <f>IF($D1490="","",IF($AN1490=1,0,IF($AM1490=1,Settings!$C$6,Settings!$C$7))*100)</f>
        <v/>
      </c>
      <c r="AF1490" s="7" t="n"/>
      <c r="AI1490" s="11" t="n"/>
      <c r="AK1490">
        <f>IF($D1490="","",IF(COUNTIF($D$2:$D1490,$D1490)=1,1,0))</f>
        <v/>
      </c>
      <c r="AL1490">
        <f>IF($AK1490=1,SUMPRODUCT(--($AO$2:$AO$1501&lt;$AO1490))+1,"")</f>
        <v/>
      </c>
      <c r="AM1490">
        <f>IF($D1490="","",IF(OR($R1490=TRUE(),$R1490="TRUE"),1,0))</f>
        <v/>
      </c>
      <c r="AN1490">
        <f>IF($D1490="","",IF($AA1490="Yes",1,0))</f>
        <v/>
      </c>
      <c r="AO1490">
        <f>IF($AK1490=1,IFERROR(IF(VALUE($D1490)&lt;100000000,VALUE($D1490),1000000000),IFERROR(IF(VALUE(MID($D1490,2,20))&lt;100000000,VALUE(MID($D1490,2,20)),1000000000),1000000000))+ROW()/100000,"")</f>
        <v/>
      </c>
    </row>
    <row r="1491">
      <c r="F1491" s="11" t="n"/>
      <c r="N1491" s="7">
        <f>IF($D1491="","",M1491*V1491/100)</f>
        <v/>
      </c>
      <c r="O1491" s="7" t="n"/>
      <c r="U1491" s="7" t="n"/>
      <c r="V1491" s="7" t="n"/>
      <c r="W1491" s="7">
        <f>IF($D1491="","",V1491*AB1491/100)</f>
        <v/>
      </c>
      <c r="X1491" s="7">
        <f>IF($D1491="","",V1491-W1491)</f>
        <v/>
      </c>
      <c r="Y1491" s="7">
        <f>IF($D1491="","",X1491-N1491)</f>
        <v/>
      </c>
      <c r="AB1491">
        <f>IF($D1491="","",IF($AN1491=1,0,IF($AM1491=1,Settings!$C$6,Settings!$C$7))*100)</f>
        <v/>
      </c>
      <c r="AF1491" s="7" t="n"/>
      <c r="AI1491" s="11" t="n"/>
      <c r="AK1491">
        <f>IF($D1491="","",IF(COUNTIF($D$2:$D1491,$D1491)=1,1,0))</f>
        <v/>
      </c>
      <c r="AL1491">
        <f>IF($AK1491=1,SUMPRODUCT(--($AO$2:$AO$1501&lt;$AO1491))+1,"")</f>
        <v/>
      </c>
      <c r="AM1491">
        <f>IF($D1491="","",IF(OR($R1491=TRUE(),$R1491="TRUE"),1,0))</f>
        <v/>
      </c>
      <c r="AN1491">
        <f>IF($D1491="","",IF($AA1491="Yes",1,0))</f>
        <v/>
      </c>
      <c r="AO1491">
        <f>IF($AK1491=1,IFERROR(IF(VALUE($D1491)&lt;100000000,VALUE($D1491),1000000000),IFERROR(IF(VALUE(MID($D1491,2,20))&lt;100000000,VALUE(MID($D1491,2,20)),1000000000),1000000000))+ROW()/100000,"")</f>
        <v/>
      </c>
    </row>
    <row r="1492">
      <c r="F1492" s="11" t="n"/>
      <c r="N1492" s="7">
        <f>IF($D1492="","",M1492*V1492/100)</f>
        <v/>
      </c>
      <c r="O1492" s="7" t="n"/>
      <c r="U1492" s="7" t="n"/>
      <c r="V1492" s="7" t="n"/>
      <c r="W1492" s="7">
        <f>IF($D1492="","",V1492*AB1492/100)</f>
        <v/>
      </c>
      <c r="X1492" s="7">
        <f>IF($D1492="","",V1492-W1492)</f>
        <v/>
      </c>
      <c r="Y1492" s="7">
        <f>IF($D1492="","",X1492-N1492)</f>
        <v/>
      </c>
      <c r="AB1492">
        <f>IF($D1492="","",IF($AN1492=1,0,IF($AM1492=1,Settings!$C$6,Settings!$C$7))*100)</f>
        <v/>
      </c>
      <c r="AF1492" s="7" t="n"/>
      <c r="AI1492" s="11" t="n"/>
      <c r="AK1492">
        <f>IF($D1492="","",IF(COUNTIF($D$2:$D1492,$D1492)=1,1,0))</f>
        <v/>
      </c>
      <c r="AL1492">
        <f>IF($AK1492=1,SUMPRODUCT(--($AO$2:$AO$1501&lt;$AO1492))+1,"")</f>
        <v/>
      </c>
      <c r="AM1492">
        <f>IF($D1492="","",IF(OR($R1492=TRUE(),$R1492="TRUE"),1,0))</f>
        <v/>
      </c>
      <c r="AN1492">
        <f>IF($D1492="","",IF($AA1492="Yes",1,0))</f>
        <v/>
      </c>
      <c r="AO1492">
        <f>IF($AK1492=1,IFERROR(IF(VALUE($D1492)&lt;100000000,VALUE($D1492),1000000000),IFERROR(IF(VALUE(MID($D1492,2,20))&lt;100000000,VALUE(MID($D1492,2,20)),1000000000),1000000000))+ROW()/100000,"")</f>
        <v/>
      </c>
    </row>
    <row r="1493">
      <c r="F1493" s="11" t="n"/>
      <c r="N1493" s="7">
        <f>IF($D1493="","",M1493*V1493/100)</f>
        <v/>
      </c>
      <c r="O1493" s="7" t="n"/>
      <c r="U1493" s="7" t="n"/>
      <c r="V1493" s="7" t="n"/>
      <c r="W1493" s="7">
        <f>IF($D1493="","",V1493*AB1493/100)</f>
        <v/>
      </c>
      <c r="X1493" s="7">
        <f>IF($D1493="","",V1493-W1493)</f>
        <v/>
      </c>
      <c r="Y1493" s="7">
        <f>IF($D1493="","",X1493-N1493)</f>
        <v/>
      </c>
      <c r="AB1493">
        <f>IF($D1493="","",IF($AN1493=1,0,IF($AM1493=1,Settings!$C$6,Settings!$C$7))*100)</f>
        <v/>
      </c>
      <c r="AF1493" s="7" t="n"/>
      <c r="AI1493" s="11" t="n"/>
      <c r="AK1493">
        <f>IF($D1493="","",IF(COUNTIF($D$2:$D1493,$D1493)=1,1,0))</f>
        <v/>
      </c>
      <c r="AL1493">
        <f>IF($AK1493=1,SUMPRODUCT(--($AO$2:$AO$1501&lt;$AO1493))+1,"")</f>
        <v/>
      </c>
      <c r="AM1493">
        <f>IF($D1493="","",IF(OR($R1493=TRUE(),$R1493="TRUE"),1,0))</f>
        <v/>
      </c>
      <c r="AN1493">
        <f>IF($D1493="","",IF($AA1493="Yes",1,0))</f>
        <v/>
      </c>
      <c r="AO1493">
        <f>IF($AK1493=1,IFERROR(IF(VALUE($D1493)&lt;100000000,VALUE($D1493),1000000000),IFERROR(IF(VALUE(MID($D1493,2,20))&lt;100000000,VALUE(MID($D1493,2,20)),1000000000),1000000000))+ROW()/100000,"")</f>
        <v/>
      </c>
    </row>
    <row r="1494">
      <c r="F1494" s="11" t="n"/>
      <c r="N1494" s="7">
        <f>IF($D1494="","",M1494*V1494/100)</f>
        <v/>
      </c>
      <c r="O1494" s="7" t="n"/>
      <c r="U1494" s="7" t="n"/>
      <c r="V1494" s="7" t="n"/>
      <c r="W1494" s="7">
        <f>IF($D1494="","",V1494*AB1494/100)</f>
        <v/>
      </c>
      <c r="X1494" s="7">
        <f>IF($D1494="","",V1494-W1494)</f>
        <v/>
      </c>
      <c r="Y1494" s="7">
        <f>IF($D1494="","",X1494-N1494)</f>
        <v/>
      </c>
      <c r="AB1494">
        <f>IF($D1494="","",IF($AN1494=1,0,IF($AM1494=1,Settings!$C$6,Settings!$C$7))*100)</f>
        <v/>
      </c>
      <c r="AF1494" s="7" t="n"/>
      <c r="AI1494" s="11" t="n"/>
      <c r="AK1494">
        <f>IF($D1494="","",IF(COUNTIF($D$2:$D1494,$D1494)=1,1,0))</f>
        <v/>
      </c>
      <c r="AL1494">
        <f>IF($AK1494=1,SUMPRODUCT(--($AO$2:$AO$1501&lt;$AO1494))+1,"")</f>
        <v/>
      </c>
      <c r="AM1494">
        <f>IF($D1494="","",IF(OR($R1494=TRUE(),$R1494="TRUE"),1,0))</f>
        <v/>
      </c>
      <c r="AN1494">
        <f>IF($D1494="","",IF($AA1494="Yes",1,0))</f>
        <v/>
      </c>
      <c r="AO1494">
        <f>IF($AK1494=1,IFERROR(IF(VALUE($D1494)&lt;100000000,VALUE($D1494),1000000000),IFERROR(IF(VALUE(MID($D1494,2,20))&lt;100000000,VALUE(MID($D1494,2,20)),1000000000),1000000000))+ROW()/100000,"")</f>
        <v/>
      </c>
    </row>
    <row r="1495">
      <c r="F1495" s="11" t="n"/>
      <c r="N1495" s="7">
        <f>IF($D1495="","",M1495*V1495/100)</f>
        <v/>
      </c>
      <c r="O1495" s="7" t="n"/>
      <c r="U1495" s="7" t="n"/>
      <c r="V1495" s="7" t="n"/>
      <c r="W1495" s="7">
        <f>IF($D1495="","",V1495*AB1495/100)</f>
        <v/>
      </c>
      <c r="X1495" s="7">
        <f>IF($D1495="","",V1495-W1495)</f>
        <v/>
      </c>
      <c r="Y1495" s="7">
        <f>IF($D1495="","",X1495-N1495)</f>
        <v/>
      </c>
      <c r="AB1495">
        <f>IF($D1495="","",IF($AN1495=1,0,IF($AM1495=1,Settings!$C$6,Settings!$C$7))*100)</f>
        <v/>
      </c>
      <c r="AF1495" s="7" t="n"/>
      <c r="AI1495" s="11" t="n"/>
      <c r="AK1495">
        <f>IF($D1495="","",IF(COUNTIF($D$2:$D1495,$D1495)=1,1,0))</f>
        <v/>
      </c>
      <c r="AL1495">
        <f>IF($AK1495=1,SUMPRODUCT(--($AO$2:$AO$1501&lt;$AO1495))+1,"")</f>
        <v/>
      </c>
      <c r="AM1495">
        <f>IF($D1495="","",IF(OR($R1495=TRUE(),$R1495="TRUE"),1,0))</f>
        <v/>
      </c>
      <c r="AN1495">
        <f>IF($D1495="","",IF($AA1495="Yes",1,0))</f>
        <v/>
      </c>
      <c r="AO1495">
        <f>IF($AK1495=1,IFERROR(IF(VALUE($D1495)&lt;100000000,VALUE($D1495),1000000000),IFERROR(IF(VALUE(MID($D1495,2,20))&lt;100000000,VALUE(MID($D1495,2,20)),1000000000),1000000000))+ROW()/100000,"")</f>
        <v/>
      </c>
    </row>
    <row r="1496">
      <c r="F1496" s="11" t="n"/>
      <c r="N1496" s="7">
        <f>IF($D1496="","",M1496*V1496/100)</f>
        <v/>
      </c>
      <c r="O1496" s="7" t="n"/>
      <c r="U1496" s="7" t="n"/>
      <c r="V1496" s="7" t="n"/>
      <c r="W1496" s="7">
        <f>IF($D1496="","",V1496*AB1496/100)</f>
        <v/>
      </c>
      <c r="X1496" s="7">
        <f>IF($D1496="","",V1496-W1496)</f>
        <v/>
      </c>
      <c r="Y1496" s="7">
        <f>IF($D1496="","",X1496-N1496)</f>
        <v/>
      </c>
      <c r="AB1496">
        <f>IF($D1496="","",IF($AN1496=1,0,IF($AM1496=1,Settings!$C$6,Settings!$C$7))*100)</f>
        <v/>
      </c>
      <c r="AF1496" s="7" t="n"/>
      <c r="AI1496" s="11" t="n"/>
      <c r="AK1496">
        <f>IF($D1496="","",IF(COUNTIF($D$2:$D1496,$D1496)=1,1,0))</f>
        <v/>
      </c>
      <c r="AL1496">
        <f>IF($AK1496=1,SUMPRODUCT(--($AO$2:$AO$1501&lt;$AO1496))+1,"")</f>
        <v/>
      </c>
      <c r="AM1496">
        <f>IF($D1496="","",IF(OR($R1496=TRUE(),$R1496="TRUE"),1,0))</f>
        <v/>
      </c>
      <c r="AN1496">
        <f>IF($D1496="","",IF($AA1496="Yes",1,0))</f>
        <v/>
      </c>
      <c r="AO1496">
        <f>IF($AK1496=1,IFERROR(IF(VALUE($D1496)&lt;100000000,VALUE($D1496),1000000000),IFERROR(IF(VALUE(MID($D1496,2,20))&lt;100000000,VALUE(MID($D1496,2,20)),1000000000),1000000000))+ROW()/100000,"")</f>
        <v/>
      </c>
    </row>
    <row r="1497">
      <c r="F1497" s="11" t="n"/>
      <c r="N1497" s="7">
        <f>IF($D1497="","",M1497*V1497/100)</f>
        <v/>
      </c>
      <c r="O1497" s="7" t="n"/>
      <c r="U1497" s="7" t="n"/>
      <c r="V1497" s="7" t="n"/>
      <c r="W1497" s="7">
        <f>IF($D1497="","",V1497*AB1497/100)</f>
        <v/>
      </c>
      <c r="X1497" s="7">
        <f>IF($D1497="","",V1497-W1497)</f>
        <v/>
      </c>
      <c r="Y1497" s="7">
        <f>IF($D1497="","",X1497-N1497)</f>
        <v/>
      </c>
      <c r="AB1497">
        <f>IF($D1497="","",IF($AN1497=1,0,IF($AM1497=1,Settings!$C$6,Settings!$C$7))*100)</f>
        <v/>
      </c>
      <c r="AF1497" s="7" t="n"/>
      <c r="AI1497" s="11" t="n"/>
      <c r="AK1497">
        <f>IF($D1497="","",IF(COUNTIF($D$2:$D1497,$D1497)=1,1,0))</f>
        <v/>
      </c>
      <c r="AL1497">
        <f>IF($AK1497=1,SUMPRODUCT(--($AO$2:$AO$1501&lt;$AO1497))+1,"")</f>
        <v/>
      </c>
      <c r="AM1497">
        <f>IF($D1497="","",IF(OR($R1497=TRUE(),$R1497="TRUE"),1,0))</f>
        <v/>
      </c>
      <c r="AN1497">
        <f>IF($D1497="","",IF($AA1497="Yes",1,0))</f>
        <v/>
      </c>
      <c r="AO1497">
        <f>IF($AK1497=1,IFERROR(IF(VALUE($D1497)&lt;100000000,VALUE($D1497),1000000000),IFERROR(IF(VALUE(MID($D1497,2,20))&lt;100000000,VALUE(MID($D1497,2,20)),1000000000),1000000000))+ROW()/100000,"")</f>
        <v/>
      </c>
    </row>
    <row r="1498">
      <c r="F1498" s="11" t="n"/>
      <c r="N1498" s="7">
        <f>IF($D1498="","",M1498*V1498/100)</f>
        <v/>
      </c>
      <c r="O1498" s="7" t="n"/>
      <c r="U1498" s="7" t="n"/>
      <c r="V1498" s="7" t="n"/>
      <c r="W1498" s="7">
        <f>IF($D1498="","",V1498*AB1498/100)</f>
        <v/>
      </c>
      <c r="X1498" s="7">
        <f>IF($D1498="","",V1498-W1498)</f>
        <v/>
      </c>
      <c r="Y1498" s="7">
        <f>IF($D1498="","",X1498-N1498)</f>
        <v/>
      </c>
      <c r="AB1498">
        <f>IF($D1498="","",IF($AN1498=1,0,IF($AM1498=1,Settings!$C$6,Settings!$C$7))*100)</f>
        <v/>
      </c>
      <c r="AF1498" s="7" t="n"/>
      <c r="AI1498" s="11" t="n"/>
      <c r="AK1498">
        <f>IF($D1498="","",IF(COUNTIF($D$2:$D1498,$D1498)=1,1,0))</f>
        <v/>
      </c>
      <c r="AL1498">
        <f>IF($AK1498=1,SUMPRODUCT(--($AO$2:$AO$1501&lt;$AO1498))+1,"")</f>
        <v/>
      </c>
      <c r="AM1498">
        <f>IF($D1498="","",IF(OR($R1498=TRUE(),$R1498="TRUE"),1,0))</f>
        <v/>
      </c>
      <c r="AN1498">
        <f>IF($D1498="","",IF($AA1498="Yes",1,0))</f>
        <v/>
      </c>
      <c r="AO1498">
        <f>IF($AK1498=1,IFERROR(IF(VALUE($D1498)&lt;100000000,VALUE($D1498),1000000000),IFERROR(IF(VALUE(MID($D1498,2,20))&lt;100000000,VALUE(MID($D1498,2,20)),1000000000),1000000000))+ROW()/100000,"")</f>
        <v/>
      </c>
    </row>
    <row r="1499">
      <c r="F1499" s="11" t="n"/>
      <c r="N1499" s="7">
        <f>IF($D1499="","",M1499*V1499/100)</f>
        <v/>
      </c>
      <c r="O1499" s="7" t="n"/>
      <c r="U1499" s="7" t="n"/>
      <c r="V1499" s="7" t="n"/>
      <c r="W1499" s="7">
        <f>IF($D1499="","",V1499*AB1499/100)</f>
        <v/>
      </c>
      <c r="X1499" s="7">
        <f>IF($D1499="","",V1499-W1499)</f>
        <v/>
      </c>
      <c r="Y1499" s="7">
        <f>IF($D1499="","",X1499-N1499)</f>
        <v/>
      </c>
      <c r="AB1499">
        <f>IF($D1499="","",IF($AN1499=1,0,IF($AM1499=1,Settings!$C$6,Settings!$C$7))*100)</f>
        <v/>
      </c>
      <c r="AF1499" s="7" t="n"/>
      <c r="AI1499" s="11" t="n"/>
      <c r="AK1499">
        <f>IF($D1499="","",IF(COUNTIF($D$2:$D1499,$D1499)=1,1,0))</f>
        <v/>
      </c>
      <c r="AL1499">
        <f>IF($AK1499=1,SUMPRODUCT(--($AO$2:$AO$1501&lt;$AO1499))+1,"")</f>
        <v/>
      </c>
      <c r="AM1499">
        <f>IF($D1499="","",IF(OR($R1499=TRUE(),$R1499="TRUE"),1,0))</f>
        <v/>
      </c>
      <c r="AN1499">
        <f>IF($D1499="","",IF($AA1499="Yes",1,0))</f>
        <v/>
      </c>
      <c r="AO1499">
        <f>IF($AK1499=1,IFERROR(IF(VALUE($D1499)&lt;100000000,VALUE($D1499),1000000000),IFERROR(IF(VALUE(MID($D1499,2,20))&lt;100000000,VALUE(MID($D1499,2,20)),1000000000),1000000000))+ROW()/100000,"")</f>
        <v/>
      </c>
    </row>
    <row r="1500">
      <c r="F1500" s="11" t="n"/>
      <c r="N1500" s="7">
        <f>IF($D1500="","",M1500*V1500/100)</f>
        <v/>
      </c>
      <c r="O1500" s="7" t="n"/>
      <c r="U1500" s="7" t="n"/>
      <c r="V1500" s="7" t="n"/>
      <c r="W1500" s="7">
        <f>IF($D1500="","",V1500*AB1500/100)</f>
        <v/>
      </c>
      <c r="X1500" s="7">
        <f>IF($D1500="","",V1500-W1500)</f>
        <v/>
      </c>
      <c r="Y1500" s="7">
        <f>IF($D1500="","",X1500-N1500)</f>
        <v/>
      </c>
      <c r="AB1500">
        <f>IF($D1500="","",IF($AN1500=1,0,IF($AM1500=1,Settings!$C$6,Settings!$C$7))*100)</f>
        <v/>
      </c>
      <c r="AF1500" s="7" t="n"/>
      <c r="AI1500" s="11" t="n"/>
      <c r="AK1500">
        <f>IF($D1500="","",IF(COUNTIF($D$2:$D1500,$D1500)=1,1,0))</f>
        <v/>
      </c>
      <c r="AL1500">
        <f>IF($AK1500=1,SUMPRODUCT(--($AO$2:$AO$1501&lt;$AO1500))+1,"")</f>
        <v/>
      </c>
      <c r="AM1500">
        <f>IF($D1500="","",IF(OR($R1500=TRUE(),$R1500="TRUE"),1,0))</f>
        <v/>
      </c>
      <c r="AN1500">
        <f>IF($D1500="","",IF($AA1500="Yes",1,0))</f>
        <v/>
      </c>
      <c r="AO1500">
        <f>IF($AK1500=1,IFERROR(IF(VALUE($D1500)&lt;100000000,VALUE($D1500),1000000000),IFERROR(IF(VALUE(MID($D1500,2,20))&lt;100000000,VALUE(MID($D1500,2,20)),1000000000),1000000000))+ROW()/100000,"")</f>
        <v/>
      </c>
    </row>
    <row r="1501">
      <c r="F1501" s="11" t="n"/>
      <c r="N1501" s="7">
        <f>IF($D1501="","",M1501*V1501/100)</f>
        <v/>
      </c>
      <c r="O1501" s="7" t="n"/>
      <c r="U1501" s="7" t="n"/>
      <c r="V1501" s="7" t="n"/>
      <c r="W1501" s="7">
        <f>IF($D1501="","",V1501*AB1501/100)</f>
        <v/>
      </c>
      <c r="X1501" s="7">
        <f>IF($D1501="","",V1501-W1501)</f>
        <v/>
      </c>
      <c r="Y1501" s="7">
        <f>IF($D1501="","",X1501-N1501)</f>
        <v/>
      </c>
      <c r="AB1501">
        <f>IF($D1501="","",IF($AN1501=1,0,IF($AM1501=1,Settings!$C$6,Settings!$C$7))*100)</f>
        <v/>
      </c>
      <c r="AF1501" s="7" t="n"/>
      <c r="AI1501" s="11" t="n"/>
      <c r="AK1501">
        <f>IF($D1501="","",IF(COUNTIF($D$2:$D1501,$D1501)=1,1,0))</f>
        <v/>
      </c>
      <c r="AL1501">
        <f>IF($AK1501=1,SUMPRODUCT(--($AO$2:$AO$1501&lt;$AO1501))+1,"")</f>
        <v/>
      </c>
      <c r="AM1501">
        <f>IF($D1501="","",IF(OR($R1501=TRUE(),$R1501="TRUE"),1,0))</f>
        <v/>
      </c>
      <c r="AN1501">
        <f>IF($D1501="","",IF($AA1501="Yes",1,0))</f>
        <v/>
      </c>
      <c r="AO1501">
        <f>IF($AK1501=1,IFERROR(IF(VALUE($D1501)&lt;100000000,VALUE($D1501),1000000000),IFERROR(IF(VALUE(MID($D1501,2,20))&lt;100000000,VALUE(MID($D1501,2,20)),1000000000),1000000000))+ROW()/100000,"")</f>
        <v/>
      </c>
    </row>
  </sheetData>
  <autoFilter ref="A1:AO1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6" customWidth="1" min="4" max="4"/>
    <col width="17" customWidth="1" min="5" max="5"/>
    <col width="24" customWidth="1" min="6" max="6"/>
    <col width="12" customWidth="1" min="7" max="7"/>
    <col width="26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</cols>
  <sheetData>
    <row r="1" ht="32" customHeight="1">
      <c r="A1" s="8" t="inlineStr">
        <is>
          <t>Invoice</t>
        </is>
      </c>
      <c r="B1" s="9" t="inlineStr">
        <is>
          <t>Order #</t>
        </is>
      </c>
      <c r="C1" s="9" t="inlineStr">
        <is>
          <t>Ticket #</t>
        </is>
      </c>
      <c r="D1" s="9" t="inlineStr">
        <is>
          <t>ERX ID</t>
        </is>
      </c>
      <c r="E1" s="9" t="inlineStr">
        <is>
          <t>Create At</t>
        </is>
      </c>
      <c r="F1" s="9" t="inlineStr">
        <is>
          <t>Corporate</t>
        </is>
      </c>
      <c r="G1" s="9" t="inlineStr">
        <is>
          <t>Card</t>
        </is>
      </c>
      <c r="H1" s="9" t="inlineStr">
        <is>
          <t>Name</t>
        </is>
      </c>
      <c r="I1" s="9" t="inlineStr">
        <is>
          <t>Order Co Payment</t>
        </is>
      </c>
      <c r="J1" s="9" t="inlineStr">
        <is>
          <t>Co val</t>
        </is>
      </c>
      <c r="K1" s="9" t="inlineStr">
        <is>
          <t>Special</t>
        </is>
      </c>
      <c r="L1" s="9" t="inlineStr">
        <is>
          <t>imp %</t>
        </is>
      </c>
      <c r="M1" s="9" t="inlineStr">
        <is>
          <t>imp</t>
        </is>
      </c>
      <c r="N1" s="9" t="inlineStr">
        <is>
          <t>imp val</t>
        </is>
      </c>
      <c r="O1" s="9" t="inlineStr">
        <is>
          <t>local val</t>
        </is>
      </c>
      <c r="P1" s="9" t="inlineStr">
        <is>
          <t>local</t>
        </is>
      </c>
      <c r="Q1" s="9" t="inlineStr">
        <is>
          <t>local val</t>
        </is>
      </c>
      <c r="R1" s="9" t="inlineStr">
        <is>
          <t>total val</t>
        </is>
      </c>
      <c r="S1" s="9" t="inlineStr">
        <is>
          <t>subtotal</t>
        </is>
      </c>
      <c r="T1" s="9" t="inlineStr">
        <is>
          <t>Grand Total</t>
        </is>
      </c>
      <c r="U1" s="9" t="inlineStr">
        <is>
          <t>net</t>
        </is>
      </c>
      <c r="V1" s="10" t="inlineStr">
        <is>
          <t>Src Row (helper)</t>
        </is>
      </c>
    </row>
    <row r="2">
      <c r="A2" s="12" t="n"/>
      <c r="B2">
        <f>IF($V2="","",INDEX('Per Line'!$D$2:$D$1501,$V2)&amp;"")</f>
        <v/>
      </c>
      <c r="C2">
        <f>IF($V2="","",INDEX('Per Line'!$A$2:$A$1501,$V2))</f>
        <v/>
      </c>
      <c r="D2">
        <f>IF($V2="","",INDEX('Per Line'!$Z$2:$Z$1501,$V2)&amp;"")</f>
        <v/>
      </c>
      <c r="E2" s="11">
        <f>IF($V2="","",INDEX('Per Line'!$F$2:$F$1501,$V2))</f>
        <v/>
      </c>
      <c r="F2">
        <f>IF($V2="","",INDEX('Per Line'!$I$2:$I$1501,$V2)&amp;"")</f>
        <v/>
      </c>
      <c r="G2">
        <f>IF($V2="","",INDEX('Per Line'!$J$2:$J$1501,$V2)&amp;"")</f>
        <v/>
      </c>
      <c r="H2">
        <f>IF($V2="","",INDEX('Per Line'!$K$2:$K$1501,$V2)&amp;"")</f>
        <v/>
      </c>
      <c r="I2">
        <f>IF($V2="","",INDEX('Per Line'!$M$2:$M$1501,$V2))</f>
        <v/>
      </c>
      <c r="J2" s="7">
        <f>IF($V2="","",I2*T2/100)</f>
        <v/>
      </c>
      <c r="K2" s="7">
        <f>IF($V2="","",SUMIFS('Per Line'!$V$2:$V$1501,'Per Line'!$D$2:$D$1501,$B2,'Per Line'!$AN$2:$AN$1501,1))</f>
        <v/>
      </c>
      <c r="L2">
        <f>IF($V2="","",Settings!$C$7)</f>
        <v/>
      </c>
      <c r="M2" s="7">
        <f>IF($V2="","",SUMIFS('Per Line'!$V$2:$V$1501,'Per Line'!$D$2:$D$1501,$B2,'Per Line'!$AM$2:$AM$1501,0,'Per Line'!$AN$2:$AN$1501,0))</f>
        <v/>
      </c>
      <c r="N2" s="7">
        <f>IF($V2="","",M2*L2)</f>
        <v/>
      </c>
      <c r="O2">
        <f>IF($V2="","",Settings!$C$6)</f>
        <v/>
      </c>
      <c r="P2" s="7">
        <f>IF($V2="","",SUMIFS('Per Line'!$V$2:$V$1501,'Per Line'!$D$2:$D$1501,$B2,'Per Line'!$AM$2:$AM$1501,1,'Per Line'!$AN$2:$AN$1501,0))</f>
        <v/>
      </c>
      <c r="Q2" s="7">
        <f>IF($V2="","",P2*O2)</f>
        <v/>
      </c>
      <c r="R2" s="7">
        <f>IF($V2="","",Q2+N2)</f>
        <v/>
      </c>
      <c r="S2" s="7">
        <f>IF($V2="","",T2-R2)</f>
        <v/>
      </c>
      <c r="T2" s="7">
        <f>IF($V2="","",M2+P2+K2)</f>
        <v/>
      </c>
      <c r="U2" s="7">
        <f>IF($V2="","",T2-R2-J2)</f>
        <v/>
      </c>
      <c r="V2" s="13">
        <f>IF(ROWS($V$2:$V2)&lt;=MAX('Per Line'!$AL$2:$AL$1501),MATCH(ROWS($V$2:$V2),'Per Line'!$AL$2:$AL$1501,0),"")</f>
        <v/>
      </c>
    </row>
    <row r="3">
      <c r="A3" s="12" t="n"/>
      <c r="B3">
        <f>IF($V3="","",INDEX('Per Line'!$D$2:$D$1501,$V3)&amp;"")</f>
        <v/>
      </c>
      <c r="C3">
        <f>IF($V3="","",INDEX('Per Line'!$A$2:$A$1501,$V3))</f>
        <v/>
      </c>
      <c r="D3">
        <f>IF($V3="","",INDEX('Per Line'!$Z$2:$Z$1501,$V3)&amp;"")</f>
        <v/>
      </c>
      <c r="E3" s="11">
        <f>IF($V3="","",INDEX('Per Line'!$F$2:$F$1501,$V3))</f>
        <v/>
      </c>
      <c r="F3">
        <f>IF($V3="","",INDEX('Per Line'!$I$2:$I$1501,$V3)&amp;"")</f>
        <v/>
      </c>
      <c r="G3">
        <f>IF($V3="","",INDEX('Per Line'!$J$2:$J$1501,$V3)&amp;"")</f>
        <v/>
      </c>
      <c r="H3">
        <f>IF($V3="","",INDEX('Per Line'!$K$2:$K$1501,$V3)&amp;"")</f>
        <v/>
      </c>
      <c r="I3">
        <f>IF($V3="","",INDEX('Per Line'!$M$2:$M$1501,$V3))</f>
        <v/>
      </c>
      <c r="J3" s="7">
        <f>IF($V3="","",I3*T3/100)</f>
        <v/>
      </c>
      <c r="K3" s="7">
        <f>IF($V3="","",SUMIFS('Per Line'!$V$2:$V$1501,'Per Line'!$D$2:$D$1501,$B3,'Per Line'!$AN$2:$AN$1501,1))</f>
        <v/>
      </c>
      <c r="L3">
        <f>IF($V3="","",Settings!$C$7)</f>
        <v/>
      </c>
      <c r="M3" s="7">
        <f>IF($V3="","",SUMIFS('Per Line'!$V$2:$V$1501,'Per Line'!$D$2:$D$1501,$B3,'Per Line'!$AM$2:$AM$1501,0,'Per Line'!$AN$2:$AN$1501,0))</f>
        <v/>
      </c>
      <c r="N3" s="7">
        <f>IF($V3="","",M3*L3)</f>
        <v/>
      </c>
      <c r="O3">
        <f>IF($V3="","",Settings!$C$6)</f>
        <v/>
      </c>
      <c r="P3" s="7">
        <f>IF($V3="","",SUMIFS('Per Line'!$V$2:$V$1501,'Per Line'!$D$2:$D$1501,$B3,'Per Line'!$AM$2:$AM$1501,1,'Per Line'!$AN$2:$AN$1501,0))</f>
        <v/>
      </c>
      <c r="Q3" s="7">
        <f>IF($V3="","",P3*O3)</f>
        <v/>
      </c>
      <c r="R3" s="7">
        <f>IF($V3="","",Q3+N3)</f>
        <v/>
      </c>
      <c r="S3" s="7">
        <f>IF($V3="","",T3-R3)</f>
        <v/>
      </c>
      <c r="T3" s="7">
        <f>IF($V3="","",M3+P3+K3)</f>
        <v/>
      </c>
      <c r="U3" s="7">
        <f>IF($V3="","",T3-R3-J3)</f>
        <v/>
      </c>
      <c r="V3" s="13">
        <f>IF(ROWS($V$2:$V3)&lt;=MAX('Per Line'!$AL$2:$AL$1501),MATCH(ROWS($V$2:$V3),'Per Line'!$AL$2:$AL$1501,0),"")</f>
        <v/>
      </c>
    </row>
    <row r="4">
      <c r="A4" s="12" t="n"/>
      <c r="B4">
        <f>IF($V4="","",INDEX('Per Line'!$D$2:$D$1501,$V4)&amp;"")</f>
        <v/>
      </c>
      <c r="C4">
        <f>IF($V4="","",INDEX('Per Line'!$A$2:$A$1501,$V4))</f>
        <v/>
      </c>
      <c r="D4">
        <f>IF($V4="","",INDEX('Per Line'!$Z$2:$Z$1501,$V4)&amp;"")</f>
        <v/>
      </c>
      <c r="E4" s="11">
        <f>IF($V4="","",INDEX('Per Line'!$F$2:$F$1501,$V4))</f>
        <v/>
      </c>
      <c r="F4">
        <f>IF($V4="","",INDEX('Per Line'!$I$2:$I$1501,$V4)&amp;"")</f>
        <v/>
      </c>
      <c r="G4">
        <f>IF($V4="","",INDEX('Per Line'!$J$2:$J$1501,$V4)&amp;"")</f>
        <v/>
      </c>
      <c r="H4">
        <f>IF($V4="","",INDEX('Per Line'!$K$2:$K$1501,$V4)&amp;"")</f>
        <v/>
      </c>
      <c r="I4">
        <f>IF($V4="","",INDEX('Per Line'!$M$2:$M$1501,$V4))</f>
        <v/>
      </c>
      <c r="J4" s="7">
        <f>IF($V4="","",I4*T4/100)</f>
        <v/>
      </c>
      <c r="K4" s="7">
        <f>IF($V4="","",SUMIFS('Per Line'!$V$2:$V$1501,'Per Line'!$D$2:$D$1501,$B4,'Per Line'!$AN$2:$AN$1501,1))</f>
        <v/>
      </c>
      <c r="L4">
        <f>IF($V4="","",Settings!$C$7)</f>
        <v/>
      </c>
      <c r="M4" s="7">
        <f>IF($V4="","",SUMIFS('Per Line'!$V$2:$V$1501,'Per Line'!$D$2:$D$1501,$B4,'Per Line'!$AM$2:$AM$1501,0,'Per Line'!$AN$2:$AN$1501,0))</f>
        <v/>
      </c>
      <c r="N4" s="7">
        <f>IF($V4="","",M4*L4)</f>
        <v/>
      </c>
      <c r="O4">
        <f>IF($V4="","",Settings!$C$6)</f>
        <v/>
      </c>
      <c r="P4" s="7">
        <f>IF($V4="","",SUMIFS('Per Line'!$V$2:$V$1501,'Per Line'!$D$2:$D$1501,$B4,'Per Line'!$AM$2:$AM$1501,1,'Per Line'!$AN$2:$AN$1501,0))</f>
        <v/>
      </c>
      <c r="Q4" s="7">
        <f>IF($V4="","",P4*O4)</f>
        <v/>
      </c>
      <c r="R4" s="7">
        <f>IF($V4="","",Q4+N4)</f>
        <v/>
      </c>
      <c r="S4" s="7">
        <f>IF($V4="","",T4-R4)</f>
        <v/>
      </c>
      <c r="T4" s="7">
        <f>IF($V4="","",M4+P4+K4)</f>
        <v/>
      </c>
      <c r="U4" s="7">
        <f>IF($V4="","",T4-R4-J4)</f>
        <v/>
      </c>
      <c r="V4" s="13">
        <f>IF(ROWS($V$2:$V4)&lt;=MAX('Per Line'!$AL$2:$AL$1501),MATCH(ROWS($V$2:$V4),'Per Line'!$AL$2:$AL$1501,0),"")</f>
        <v/>
      </c>
    </row>
    <row r="5">
      <c r="A5" s="12" t="n"/>
      <c r="B5">
        <f>IF($V5="","",INDEX('Per Line'!$D$2:$D$1501,$V5)&amp;"")</f>
        <v/>
      </c>
      <c r="C5">
        <f>IF($V5="","",INDEX('Per Line'!$A$2:$A$1501,$V5))</f>
        <v/>
      </c>
      <c r="D5">
        <f>IF($V5="","",INDEX('Per Line'!$Z$2:$Z$1501,$V5)&amp;"")</f>
        <v/>
      </c>
      <c r="E5" s="11">
        <f>IF($V5="","",INDEX('Per Line'!$F$2:$F$1501,$V5))</f>
        <v/>
      </c>
      <c r="F5">
        <f>IF($V5="","",INDEX('Per Line'!$I$2:$I$1501,$V5)&amp;"")</f>
        <v/>
      </c>
      <c r="G5">
        <f>IF($V5="","",INDEX('Per Line'!$J$2:$J$1501,$V5)&amp;"")</f>
        <v/>
      </c>
      <c r="H5">
        <f>IF($V5="","",INDEX('Per Line'!$K$2:$K$1501,$V5)&amp;"")</f>
        <v/>
      </c>
      <c r="I5">
        <f>IF($V5="","",INDEX('Per Line'!$M$2:$M$1501,$V5))</f>
        <v/>
      </c>
      <c r="J5" s="7">
        <f>IF($V5="","",I5*T5/100)</f>
        <v/>
      </c>
      <c r="K5" s="7">
        <f>IF($V5="","",SUMIFS('Per Line'!$V$2:$V$1501,'Per Line'!$D$2:$D$1501,$B5,'Per Line'!$AN$2:$AN$1501,1))</f>
        <v/>
      </c>
      <c r="L5">
        <f>IF($V5="","",Settings!$C$7)</f>
        <v/>
      </c>
      <c r="M5" s="7">
        <f>IF($V5="","",SUMIFS('Per Line'!$V$2:$V$1501,'Per Line'!$D$2:$D$1501,$B5,'Per Line'!$AM$2:$AM$1501,0,'Per Line'!$AN$2:$AN$1501,0))</f>
        <v/>
      </c>
      <c r="N5" s="7">
        <f>IF($V5="","",M5*L5)</f>
        <v/>
      </c>
      <c r="O5">
        <f>IF($V5="","",Settings!$C$6)</f>
        <v/>
      </c>
      <c r="P5" s="7">
        <f>IF($V5="","",SUMIFS('Per Line'!$V$2:$V$1501,'Per Line'!$D$2:$D$1501,$B5,'Per Line'!$AM$2:$AM$1501,1,'Per Line'!$AN$2:$AN$1501,0))</f>
        <v/>
      </c>
      <c r="Q5" s="7">
        <f>IF($V5="","",P5*O5)</f>
        <v/>
      </c>
      <c r="R5" s="7">
        <f>IF($V5="","",Q5+N5)</f>
        <v/>
      </c>
      <c r="S5" s="7">
        <f>IF($V5="","",T5-R5)</f>
        <v/>
      </c>
      <c r="T5" s="7">
        <f>IF($V5="","",M5+P5+K5)</f>
        <v/>
      </c>
      <c r="U5" s="7">
        <f>IF($V5="","",T5-R5-J5)</f>
        <v/>
      </c>
      <c r="V5" s="13">
        <f>IF(ROWS($V$2:$V5)&lt;=MAX('Per Line'!$AL$2:$AL$1501),MATCH(ROWS($V$2:$V5),'Per Line'!$AL$2:$AL$1501,0),"")</f>
        <v/>
      </c>
    </row>
    <row r="6">
      <c r="A6" s="12" t="n"/>
      <c r="B6">
        <f>IF($V6="","",INDEX('Per Line'!$D$2:$D$1501,$V6)&amp;"")</f>
        <v/>
      </c>
      <c r="C6">
        <f>IF($V6="","",INDEX('Per Line'!$A$2:$A$1501,$V6))</f>
        <v/>
      </c>
      <c r="D6">
        <f>IF($V6="","",INDEX('Per Line'!$Z$2:$Z$1501,$V6)&amp;"")</f>
        <v/>
      </c>
      <c r="E6" s="11">
        <f>IF($V6="","",INDEX('Per Line'!$F$2:$F$1501,$V6))</f>
        <v/>
      </c>
      <c r="F6">
        <f>IF($V6="","",INDEX('Per Line'!$I$2:$I$1501,$V6)&amp;"")</f>
        <v/>
      </c>
      <c r="G6">
        <f>IF($V6="","",INDEX('Per Line'!$J$2:$J$1501,$V6)&amp;"")</f>
        <v/>
      </c>
      <c r="H6">
        <f>IF($V6="","",INDEX('Per Line'!$K$2:$K$1501,$V6)&amp;"")</f>
        <v/>
      </c>
      <c r="I6">
        <f>IF($V6="","",INDEX('Per Line'!$M$2:$M$1501,$V6))</f>
        <v/>
      </c>
      <c r="J6" s="7">
        <f>IF($V6="","",I6*T6/100)</f>
        <v/>
      </c>
      <c r="K6" s="7">
        <f>IF($V6="","",SUMIFS('Per Line'!$V$2:$V$1501,'Per Line'!$D$2:$D$1501,$B6,'Per Line'!$AN$2:$AN$1501,1))</f>
        <v/>
      </c>
      <c r="L6">
        <f>IF($V6="","",Settings!$C$7)</f>
        <v/>
      </c>
      <c r="M6" s="7">
        <f>IF($V6="","",SUMIFS('Per Line'!$V$2:$V$1501,'Per Line'!$D$2:$D$1501,$B6,'Per Line'!$AM$2:$AM$1501,0,'Per Line'!$AN$2:$AN$1501,0))</f>
        <v/>
      </c>
      <c r="N6" s="7">
        <f>IF($V6="","",M6*L6)</f>
        <v/>
      </c>
      <c r="O6">
        <f>IF($V6="","",Settings!$C$6)</f>
        <v/>
      </c>
      <c r="P6" s="7">
        <f>IF($V6="","",SUMIFS('Per Line'!$V$2:$V$1501,'Per Line'!$D$2:$D$1501,$B6,'Per Line'!$AM$2:$AM$1501,1,'Per Line'!$AN$2:$AN$1501,0))</f>
        <v/>
      </c>
      <c r="Q6" s="7">
        <f>IF($V6="","",P6*O6)</f>
        <v/>
      </c>
      <c r="R6" s="7">
        <f>IF($V6="","",Q6+N6)</f>
        <v/>
      </c>
      <c r="S6" s="7">
        <f>IF($V6="","",T6-R6)</f>
        <v/>
      </c>
      <c r="T6" s="7">
        <f>IF($V6="","",M6+P6+K6)</f>
        <v/>
      </c>
      <c r="U6" s="7">
        <f>IF($V6="","",T6-R6-J6)</f>
        <v/>
      </c>
      <c r="V6" s="13">
        <f>IF(ROWS($V$2:$V6)&lt;=MAX('Per Line'!$AL$2:$AL$1501),MATCH(ROWS($V$2:$V6),'Per Line'!$AL$2:$AL$1501,0),"")</f>
        <v/>
      </c>
    </row>
    <row r="7">
      <c r="A7" s="12" t="n"/>
      <c r="B7">
        <f>IF($V7="","",INDEX('Per Line'!$D$2:$D$1501,$V7)&amp;"")</f>
        <v/>
      </c>
      <c r="C7">
        <f>IF($V7="","",INDEX('Per Line'!$A$2:$A$1501,$V7))</f>
        <v/>
      </c>
      <c r="D7">
        <f>IF($V7="","",INDEX('Per Line'!$Z$2:$Z$1501,$V7)&amp;"")</f>
        <v/>
      </c>
      <c r="E7" s="11">
        <f>IF($V7="","",INDEX('Per Line'!$F$2:$F$1501,$V7))</f>
        <v/>
      </c>
      <c r="F7">
        <f>IF($V7="","",INDEX('Per Line'!$I$2:$I$1501,$V7)&amp;"")</f>
        <v/>
      </c>
      <c r="G7">
        <f>IF($V7="","",INDEX('Per Line'!$J$2:$J$1501,$V7)&amp;"")</f>
        <v/>
      </c>
      <c r="H7">
        <f>IF($V7="","",INDEX('Per Line'!$K$2:$K$1501,$V7)&amp;"")</f>
        <v/>
      </c>
      <c r="I7">
        <f>IF($V7="","",INDEX('Per Line'!$M$2:$M$1501,$V7))</f>
        <v/>
      </c>
      <c r="J7" s="7">
        <f>IF($V7="","",I7*T7/100)</f>
        <v/>
      </c>
      <c r="K7" s="7">
        <f>IF($V7="","",SUMIFS('Per Line'!$V$2:$V$1501,'Per Line'!$D$2:$D$1501,$B7,'Per Line'!$AN$2:$AN$1501,1))</f>
        <v/>
      </c>
      <c r="L7">
        <f>IF($V7="","",Settings!$C$7)</f>
        <v/>
      </c>
      <c r="M7" s="7">
        <f>IF($V7="","",SUMIFS('Per Line'!$V$2:$V$1501,'Per Line'!$D$2:$D$1501,$B7,'Per Line'!$AM$2:$AM$1501,0,'Per Line'!$AN$2:$AN$1501,0))</f>
        <v/>
      </c>
      <c r="N7" s="7">
        <f>IF($V7="","",M7*L7)</f>
        <v/>
      </c>
      <c r="O7">
        <f>IF($V7="","",Settings!$C$6)</f>
        <v/>
      </c>
      <c r="P7" s="7">
        <f>IF($V7="","",SUMIFS('Per Line'!$V$2:$V$1501,'Per Line'!$D$2:$D$1501,$B7,'Per Line'!$AM$2:$AM$1501,1,'Per Line'!$AN$2:$AN$1501,0))</f>
        <v/>
      </c>
      <c r="Q7" s="7">
        <f>IF($V7="","",P7*O7)</f>
        <v/>
      </c>
      <c r="R7" s="7">
        <f>IF($V7="","",Q7+N7)</f>
        <v/>
      </c>
      <c r="S7" s="7">
        <f>IF($V7="","",T7-R7)</f>
        <v/>
      </c>
      <c r="T7" s="7">
        <f>IF($V7="","",M7+P7+K7)</f>
        <v/>
      </c>
      <c r="U7" s="7">
        <f>IF($V7="","",T7-R7-J7)</f>
        <v/>
      </c>
      <c r="V7" s="13">
        <f>IF(ROWS($V$2:$V7)&lt;=MAX('Per Line'!$AL$2:$AL$1501),MATCH(ROWS($V$2:$V7),'Per Line'!$AL$2:$AL$1501,0),"")</f>
        <v/>
      </c>
    </row>
    <row r="8">
      <c r="A8" s="12" t="n"/>
      <c r="B8">
        <f>IF($V8="","",INDEX('Per Line'!$D$2:$D$1501,$V8)&amp;"")</f>
        <v/>
      </c>
      <c r="C8">
        <f>IF($V8="","",INDEX('Per Line'!$A$2:$A$1501,$V8))</f>
        <v/>
      </c>
      <c r="D8">
        <f>IF($V8="","",INDEX('Per Line'!$Z$2:$Z$1501,$V8)&amp;"")</f>
        <v/>
      </c>
      <c r="E8" s="11">
        <f>IF($V8="","",INDEX('Per Line'!$F$2:$F$1501,$V8))</f>
        <v/>
      </c>
      <c r="F8">
        <f>IF($V8="","",INDEX('Per Line'!$I$2:$I$1501,$V8)&amp;"")</f>
        <v/>
      </c>
      <c r="G8">
        <f>IF($V8="","",INDEX('Per Line'!$J$2:$J$1501,$V8)&amp;"")</f>
        <v/>
      </c>
      <c r="H8">
        <f>IF($V8="","",INDEX('Per Line'!$K$2:$K$1501,$V8)&amp;"")</f>
        <v/>
      </c>
      <c r="I8">
        <f>IF($V8="","",INDEX('Per Line'!$M$2:$M$1501,$V8))</f>
        <v/>
      </c>
      <c r="J8" s="7">
        <f>IF($V8="","",I8*T8/100)</f>
        <v/>
      </c>
      <c r="K8" s="7">
        <f>IF($V8="","",SUMIFS('Per Line'!$V$2:$V$1501,'Per Line'!$D$2:$D$1501,$B8,'Per Line'!$AN$2:$AN$1501,1))</f>
        <v/>
      </c>
      <c r="L8">
        <f>IF($V8="","",Settings!$C$7)</f>
        <v/>
      </c>
      <c r="M8" s="7">
        <f>IF($V8="","",SUMIFS('Per Line'!$V$2:$V$1501,'Per Line'!$D$2:$D$1501,$B8,'Per Line'!$AM$2:$AM$1501,0,'Per Line'!$AN$2:$AN$1501,0))</f>
        <v/>
      </c>
      <c r="N8" s="7">
        <f>IF($V8="","",M8*L8)</f>
        <v/>
      </c>
      <c r="O8">
        <f>IF($V8="","",Settings!$C$6)</f>
        <v/>
      </c>
      <c r="P8" s="7">
        <f>IF($V8="","",SUMIFS('Per Line'!$V$2:$V$1501,'Per Line'!$D$2:$D$1501,$B8,'Per Line'!$AM$2:$AM$1501,1,'Per Line'!$AN$2:$AN$1501,0))</f>
        <v/>
      </c>
      <c r="Q8" s="7">
        <f>IF($V8="","",P8*O8)</f>
        <v/>
      </c>
      <c r="R8" s="7">
        <f>IF($V8="","",Q8+N8)</f>
        <v/>
      </c>
      <c r="S8" s="7">
        <f>IF($V8="","",T8-R8)</f>
        <v/>
      </c>
      <c r="T8" s="7">
        <f>IF($V8="","",M8+P8+K8)</f>
        <v/>
      </c>
      <c r="U8" s="7">
        <f>IF($V8="","",T8-R8-J8)</f>
        <v/>
      </c>
      <c r="V8" s="13">
        <f>IF(ROWS($V$2:$V8)&lt;=MAX('Per Line'!$AL$2:$AL$1501),MATCH(ROWS($V$2:$V8),'Per Line'!$AL$2:$AL$1501,0),"")</f>
        <v/>
      </c>
    </row>
    <row r="9">
      <c r="A9" s="12" t="n"/>
      <c r="B9">
        <f>IF($V9="","",INDEX('Per Line'!$D$2:$D$1501,$V9)&amp;"")</f>
        <v/>
      </c>
      <c r="C9">
        <f>IF($V9="","",INDEX('Per Line'!$A$2:$A$1501,$V9))</f>
        <v/>
      </c>
      <c r="D9">
        <f>IF($V9="","",INDEX('Per Line'!$Z$2:$Z$1501,$V9)&amp;"")</f>
        <v/>
      </c>
      <c r="E9" s="11">
        <f>IF($V9="","",INDEX('Per Line'!$F$2:$F$1501,$V9))</f>
        <v/>
      </c>
      <c r="F9">
        <f>IF($V9="","",INDEX('Per Line'!$I$2:$I$1501,$V9)&amp;"")</f>
        <v/>
      </c>
      <c r="G9">
        <f>IF($V9="","",INDEX('Per Line'!$J$2:$J$1501,$V9)&amp;"")</f>
        <v/>
      </c>
      <c r="H9">
        <f>IF($V9="","",INDEX('Per Line'!$K$2:$K$1501,$V9)&amp;"")</f>
        <v/>
      </c>
      <c r="I9">
        <f>IF($V9="","",INDEX('Per Line'!$M$2:$M$1501,$V9))</f>
        <v/>
      </c>
      <c r="J9" s="7">
        <f>IF($V9="","",I9*T9/100)</f>
        <v/>
      </c>
      <c r="K9" s="7">
        <f>IF($V9="","",SUMIFS('Per Line'!$V$2:$V$1501,'Per Line'!$D$2:$D$1501,$B9,'Per Line'!$AN$2:$AN$1501,1))</f>
        <v/>
      </c>
      <c r="L9">
        <f>IF($V9="","",Settings!$C$7)</f>
        <v/>
      </c>
      <c r="M9" s="7">
        <f>IF($V9="","",SUMIFS('Per Line'!$V$2:$V$1501,'Per Line'!$D$2:$D$1501,$B9,'Per Line'!$AM$2:$AM$1501,0,'Per Line'!$AN$2:$AN$1501,0))</f>
        <v/>
      </c>
      <c r="N9" s="7">
        <f>IF($V9="","",M9*L9)</f>
        <v/>
      </c>
      <c r="O9">
        <f>IF($V9="","",Settings!$C$6)</f>
        <v/>
      </c>
      <c r="P9" s="7">
        <f>IF($V9="","",SUMIFS('Per Line'!$V$2:$V$1501,'Per Line'!$D$2:$D$1501,$B9,'Per Line'!$AM$2:$AM$1501,1,'Per Line'!$AN$2:$AN$1501,0))</f>
        <v/>
      </c>
      <c r="Q9" s="7">
        <f>IF($V9="","",P9*O9)</f>
        <v/>
      </c>
      <c r="R9" s="7">
        <f>IF($V9="","",Q9+N9)</f>
        <v/>
      </c>
      <c r="S9" s="7">
        <f>IF($V9="","",T9-R9)</f>
        <v/>
      </c>
      <c r="T9" s="7">
        <f>IF($V9="","",M9+P9+K9)</f>
        <v/>
      </c>
      <c r="U9" s="7">
        <f>IF($V9="","",T9-R9-J9)</f>
        <v/>
      </c>
      <c r="V9" s="13">
        <f>IF(ROWS($V$2:$V9)&lt;=MAX('Per Line'!$AL$2:$AL$1501),MATCH(ROWS($V$2:$V9),'Per Line'!$AL$2:$AL$1501,0),"")</f>
        <v/>
      </c>
    </row>
    <row r="10">
      <c r="A10" s="12" t="n"/>
      <c r="B10">
        <f>IF($V10="","",INDEX('Per Line'!$D$2:$D$1501,$V10)&amp;"")</f>
        <v/>
      </c>
      <c r="C10">
        <f>IF($V10="","",INDEX('Per Line'!$A$2:$A$1501,$V10))</f>
        <v/>
      </c>
      <c r="D10">
        <f>IF($V10="","",INDEX('Per Line'!$Z$2:$Z$1501,$V10)&amp;"")</f>
        <v/>
      </c>
      <c r="E10" s="11">
        <f>IF($V10="","",INDEX('Per Line'!$F$2:$F$1501,$V10))</f>
        <v/>
      </c>
      <c r="F10">
        <f>IF($V10="","",INDEX('Per Line'!$I$2:$I$1501,$V10)&amp;"")</f>
        <v/>
      </c>
      <c r="G10">
        <f>IF($V10="","",INDEX('Per Line'!$J$2:$J$1501,$V10)&amp;"")</f>
        <v/>
      </c>
      <c r="H10">
        <f>IF($V10="","",INDEX('Per Line'!$K$2:$K$1501,$V10)&amp;"")</f>
        <v/>
      </c>
      <c r="I10">
        <f>IF($V10="","",INDEX('Per Line'!$M$2:$M$1501,$V10))</f>
        <v/>
      </c>
      <c r="J10" s="7">
        <f>IF($V10="","",I10*T10/100)</f>
        <v/>
      </c>
      <c r="K10" s="7">
        <f>IF($V10="","",SUMIFS('Per Line'!$V$2:$V$1501,'Per Line'!$D$2:$D$1501,$B10,'Per Line'!$AN$2:$AN$1501,1))</f>
        <v/>
      </c>
      <c r="L10">
        <f>IF($V10="","",Settings!$C$7)</f>
        <v/>
      </c>
      <c r="M10" s="7">
        <f>IF($V10="","",SUMIFS('Per Line'!$V$2:$V$1501,'Per Line'!$D$2:$D$1501,$B10,'Per Line'!$AM$2:$AM$1501,0,'Per Line'!$AN$2:$AN$1501,0))</f>
        <v/>
      </c>
      <c r="N10" s="7">
        <f>IF($V10="","",M10*L10)</f>
        <v/>
      </c>
      <c r="O10">
        <f>IF($V10="","",Settings!$C$6)</f>
        <v/>
      </c>
      <c r="P10" s="7">
        <f>IF($V10="","",SUMIFS('Per Line'!$V$2:$V$1501,'Per Line'!$D$2:$D$1501,$B10,'Per Line'!$AM$2:$AM$1501,1,'Per Line'!$AN$2:$AN$1501,0))</f>
        <v/>
      </c>
      <c r="Q10" s="7">
        <f>IF($V10="","",P10*O10)</f>
        <v/>
      </c>
      <c r="R10" s="7">
        <f>IF($V10="","",Q10+N10)</f>
        <v/>
      </c>
      <c r="S10" s="7">
        <f>IF($V10="","",T10-R10)</f>
        <v/>
      </c>
      <c r="T10" s="7">
        <f>IF($V10="","",M10+P10+K10)</f>
        <v/>
      </c>
      <c r="U10" s="7">
        <f>IF($V10="","",T10-R10-J10)</f>
        <v/>
      </c>
      <c r="V10" s="13">
        <f>IF(ROWS($V$2:$V10)&lt;=MAX('Per Line'!$AL$2:$AL$1501),MATCH(ROWS($V$2:$V10),'Per Line'!$AL$2:$AL$1501,0),"")</f>
        <v/>
      </c>
    </row>
    <row r="11">
      <c r="A11" s="12" t="n"/>
      <c r="B11">
        <f>IF($V11="","",INDEX('Per Line'!$D$2:$D$1501,$V11)&amp;"")</f>
        <v/>
      </c>
      <c r="C11">
        <f>IF($V11="","",INDEX('Per Line'!$A$2:$A$1501,$V11))</f>
        <v/>
      </c>
      <c r="D11">
        <f>IF($V11="","",INDEX('Per Line'!$Z$2:$Z$1501,$V11)&amp;"")</f>
        <v/>
      </c>
      <c r="E11" s="11">
        <f>IF($V11="","",INDEX('Per Line'!$F$2:$F$1501,$V11))</f>
        <v/>
      </c>
      <c r="F11">
        <f>IF($V11="","",INDEX('Per Line'!$I$2:$I$1501,$V11)&amp;"")</f>
        <v/>
      </c>
      <c r="G11">
        <f>IF($V11="","",INDEX('Per Line'!$J$2:$J$1501,$V11)&amp;"")</f>
        <v/>
      </c>
      <c r="H11">
        <f>IF($V11="","",INDEX('Per Line'!$K$2:$K$1501,$V11)&amp;"")</f>
        <v/>
      </c>
      <c r="I11">
        <f>IF($V11="","",INDEX('Per Line'!$M$2:$M$1501,$V11))</f>
        <v/>
      </c>
      <c r="J11" s="7">
        <f>IF($V11="","",I11*T11/100)</f>
        <v/>
      </c>
      <c r="K11" s="7">
        <f>IF($V11="","",SUMIFS('Per Line'!$V$2:$V$1501,'Per Line'!$D$2:$D$1501,$B11,'Per Line'!$AN$2:$AN$1501,1))</f>
        <v/>
      </c>
      <c r="L11">
        <f>IF($V11="","",Settings!$C$7)</f>
        <v/>
      </c>
      <c r="M11" s="7">
        <f>IF($V11="","",SUMIFS('Per Line'!$V$2:$V$1501,'Per Line'!$D$2:$D$1501,$B11,'Per Line'!$AM$2:$AM$1501,0,'Per Line'!$AN$2:$AN$1501,0))</f>
        <v/>
      </c>
      <c r="N11" s="7">
        <f>IF($V11="","",M11*L11)</f>
        <v/>
      </c>
      <c r="O11">
        <f>IF($V11="","",Settings!$C$6)</f>
        <v/>
      </c>
      <c r="P11" s="7">
        <f>IF($V11="","",SUMIFS('Per Line'!$V$2:$V$1501,'Per Line'!$D$2:$D$1501,$B11,'Per Line'!$AM$2:$AM$1501,1,'Per Line'!$AN$2:$AN$1501,0))</f>
        <v/>
      </c>
      <c r="Q11" s="7">
        <f>IF($V11="","",P11*O11)</f>
        <v/>
      </c>
      <c r="R11" s="7">
        <f>IF($V11="","",Q11+N11)</f>
        <v/>
      </c>
      <c r="S11" s="7">
        <f>IF($V11="","",T11-R11)</f>
        <v/>
      </c>
      <c r="T11" s="7">
        <f>IF($V11="","",M11+P11+K11)</f>
        <v/>
      </c>
      <c r="U11" s="7">
        <f>IF($V11="","",T11-R11-J11)</f>
        <v/>
      </c>
      <c r="V11" s="13">
        <f>IF(ROWS($V$2:$V11)&lt;=MAX('Per Line'!$AL$2:$AL$1501),MATCH(ROWS($V$2:$V11),'Per Line'!$AL$2:$AL$1501,0),"")</f>
        <v/>
      </c>
    </row>
    <row r="12">
      <c r="A12" s="12" t="n"/>
      <c r="B12">
        <f>IF($V12="","",INDEX('Per Line'!$D$2:$D$1501,$V12)&amp;"")</f>
        <v/>
      </c>
      <c r="C12">
        <f>IF($V12="","",INDEX('Per Line'!$A$2:$A$1501,$V12))</f>
        <v/>
      </c>
      <c r="D12">
        <f>IF($V12="","",INDEX('Per Line'!$Z$2:$Z$1501,$V12)&amp;"")</f>
        <v/>
      </c>
      <c r="E12" s="11">
        <f>IF($V12="","",INDEX('Per Line'!$F$2:$F$1501,$V12))</f>
        <v/>
      </c>
      <c r="F12">
        <f>IF($V12="","",INDEX('Per Line'!$I$2:$I$1501,$V12)&amp;"")</f>
        <v/>
      </c>
      <c r="G12">
        <f>IF($V12="","",INDEX('Per Line'!$J$2:$J$1501,$V12)&amp;"")</f>
        <v/>
      </c>
      <c r="H12">
        <f>IF($V12="","",INDEX('Per Line'!$K$2:$K$1501,$V12)&amp;"")</f>
        <v/>
      </c>
      <c r="I12">
        <f>IF($V12="","",INDEX('Per Line'!$M$2:$M$1501,$V12))</f>
        <v/>
      </c>
      <c r="J12" s="7">
        <f>IF($V12="","",I12*T12/100)</f>
        <v/>
      </c>
      <c r="K12" s="7">
        <f>IF($V12="","",SUMIFS('Per Line'!$V$2:$V$1501,'Per Line'!$D$2:$D$1501,$B12,'Per Line'!$AN$2:$AN$1501,1))</f>
        <v/>
      </c>
      <c r="L12">
        <f>IF($V12="","",Settings!$C$7)</f>
        <v/>
      </c>
      <c r="M12" s="7">
        <f>IF($V12="","",SUMIFS('Per Line'!$V$2:$V$1501,'Per Line'!$D$2:$D$1501,$B12,'Per Line'!$AM$2:$AM$1501,0,'Per Line'!$AN$2:$AN$1501,0))</f>
        <v/>
      </c>
      <c r="N12" s="7">
        <f>IF($V12="","",M12*L12)</f>
        <v/>
      </c>
      <c r="O12">
        <f>IF($V12="","",Settings!$C$6)</f>
        <v/>
      </c>
      <c r="P12" s="7">
        <f>IF($V12="","",SUMIFS('Per Line'!$V$2:$V$1501,'Per Line'!$D$2:$D$1501,$B12,'Per Line'!$AM$2:$AM$1501,1,'Per Line'!$AN$2:$AN$1501,0))</f>
        <v/>
      </c>
      <c r="Q12" s="7">
        <f>IF($V12="","",P12*O12)</f>
        <v/>
      </c>
      <c r="R12" s="7">
        <f>IF($V12="","",Q12+N12)</f>
        <v/>
      </c>
      <c r="S12" s="7">
        <f>IF($V12="","",T12-R12)</f>
        <v/>
      </c>
      <c r="T12" s="7">
        <f>IF($V12="","",M12+P12+K12)</f>
        <v/>
      </c>
      <c r="U12" s="7">
        <f>IF($V12="","",T12-R12-J12)</f>
        <v/>
      </c>
      <c r="V12" s="13">
        <f>IF(ROWS($V$2:$V12)&lt;=MAX('Per Line'!$AL$2:$AL$1501),MATCH(ROWS($V$2:$V12),'Per Line'!$AL$2:$AL$1501,0),"")</f>
        <v/>
      </c>
    </row>
    <row r="13">
      <c r="A13" s="12" t="n"/>
      <c r="B13">
        <f>IF($V13="","",INDEX('Per Line'!$D$2:$D$1501,$V13)&amp;"")</f>
        <v/>
      </c>
      <c r="C13">
        <f>IF($V13="","",INDEX('Per Line'!$A$2:$A$1501,$V13))</f>
        <v/>
      </c>
      <c r="D13">
        <f>IF($V13="","",INDEX('Per Line'!$Z$2:$Z$1501,$V13)&amp;"")</f>
        <v/>
      </c>
      <c r="E13" s="11">
        <f>IF($V13="","",INDEX('Per Line'!$F$2:$F$1501,$V13))</f>
        <v/>
      </c>
      <c r="F13">
        <f>IF($V13="","",INDEX('Per Line'!$I$2:$I$1501,$V13)&amp;"")</f>
        <v/>
      </c>
      <c r="G13">
        <f>IF($V13="","",INDEX('Per Line'!$J$2:$J$1501,$V13)&amp;"")</f>
        <v/>
      </c>
      <c r="H13">
        <f>IF($V13="","",INDEX('Per Line'!$K$2:$K$1501,$V13)&amp;"")</f>
        <v/>
      </c>
      <c r="I13">
        <f>IF($V13="","",INDEX('Per Line'!$M$2:$M$1501,$V13))</f>
        <v/>
      </c>
      <c r="J13" s="7">
        <f>IF($V13="","",I13*T13/100)</f>
        <v/>
      </c>
      <c r="K13" s="7">
        <f>IF($V13="","",SUMIFS('Per Line'!$V$2:$V$1501,'Per Line'!$D$2:$D$1501,$B13,'Per Line'!$AN$2:$AN$1501,1))</f>
        <v/>
      </c>
      <c r="L13">
        <f>IF($V13="","",Settings!$C$7)</f>
        <v/>
      </c>
      <c r="M13" s="7">
        <f>IF($V13="","",SUMIFS('Per Line'!$V$2:$V$1501,'Per Line'!$D$2:$D$1501,$B13,'Per Line'!$AM$2:$AM$1501,0,'Per Line'!$AN$2:$AN$1501,0))</f>
        <v/>
      </c>
      <c r="N13" s="7">
        <f>IF($V13="","",M13*L13)</f>
        <v/>
      </c>
      <c r="O13">
        <f>IF($V13="","",Settings!$C$6)</f>
        <v/>
      </c>
      <c r="P13" s="7">
        <f>IF($V13="","",SUMIFS('Per Line'!$V$2:$V$1501,'Per Line'!$D$2:$D$1501,$B13,'Per Line'!$AM$2:$AM$1501,1,'Per Line'!$AN$2:$AN$1501,0))</f>
        <v/>
      </c>
      <c r="Q13" s="7">
        <f>IF($V13="","",P13*O13)</f>
        <v/>
      </c>
      <c r="R13" s="7">
        <f>IF($V13="","",Q13+N13)</f>
        <v/>
      </c>
      <c r="S13" s="7">
        <f>IF($V13="","",T13-R13)</f>
        <v/>
      </c>
      <c r="T13" s="7">
        <f>IF($V13="","",M13+P13+K13)</f>
        <v/>
      </c>
      <c r="U13" s="7">
        <f>IF($V13="","",T13-R13-J13)</f>
        <v/>
      </c>
      <c r="V13" s="13">
        <f>IF(ROWS($V$2:$V13)&lt;=MAX('Per Line'!$AL$2:$AL$1501),MATCH(ROWS($V$2:$V13),'Per Line'!$AL$2:$AL$1501,0),"")</f>
        <v/>
      </c>
    </row>
    <row r="14">
      <c r="A14" s="12" t="n"/>
      <c r="B14">
        <f>IF($V14="","",INDEX('Per Line'!$D$2:$D$1501,$V14)&amp;"")</f>
        <v/>
      </c>
      <c r="C14">
        <f>IF($V14="","",INDEX('Per Line'!$A$2:$A$1501,$V14))</f>
        <v/>
      </c>
      <c r="D14">
        <f>IF($V14="","",INDEX('Per Line'!$Z$2:$Z$1501,$V14)&amp;"")</f>
        <v/>
      </c>
      <c r="E14" s="11">
        <f>IF($V14="","",INDEX('Per Line'!$F$2:$F$1501,$V14))</f>
        <v/>
      </c>
      <c r="F14">
        <f>IF($V14="","",INDEX('Per Line'!$I$2:$I$1501,$V14)&amp;"")</f>
        <v/>
      </c>
      <c r="G14">
        <f>IF($V14="","",INDEX('Per Line'!$J$2:$J$1501,$V14)&amp;"")</f>
        <v/>
      </c>
      <c r="H14">
        <f>IF($V14="","",INDEX('Per Line'!$K$2:$K$1501,$V14)&amp;"")</f>
        <v/>
      </c>
      <c r="I14">
        <f>IF($V14="","",INDEX('Per Line'!$M$2:$M$1501,$V14))</f>
        <v/>
      </c>
      <c r="J14" s="7">
        <f>IF($V14="","",I14*T14/100)</f>
        <v/>
      </c>
      <c r="K14" s="7">
        <f>IF($V14="","",SUMIFS('Per Line'!$V$2:$V$1501,'Per Line'!$D$2:$D$1501,$B14,'Per Line'!$AN$2:$AN$1501,1))</f>
        <v/>
      </c>
      <c r="L14">
        <f>IF($V14="","",Settings!$C$7)</f>
        <v/>
      </c>
      <c r="M14" s="7">
        <f>IF($V14="","",SUMIFS('Per Line'!$V$2:$V$1501,'Per Line'!$D$2:$D$1501,$B14,'Per Line'!$AM$2:$AM$1501,0,'Per Line'!$AN$2:$AN$1501,0))</f>
        <v/>
      </c>
      <c r="N14" s="7">
        <f>IF($V14="","",M14*L14)</f>
        <v/>
      </c>
      <c r="O14">
        <f>IF($V14="","",Settings!$C$6)</f>
        <v/>
      </c>
      <c r="P14" s="7">
        <f>IF($V14="","",SUMIFS('Per Line'!$V$2:$V$1501,'Per Line'!$D$2:$D$1501,$B14,'Per Line'!$AM$2:$AM$1501,1,'Per Line'!$AN$2:$AN$1501,0))</f>
        <v/>
      </c>
      <c r="Q14" s="7">
        <f>IF($V14="","",P14*O14)</f>
        <v/>
      </c>
      <c r="R14" s="7">
        <f>IF($V14="","",Q14+N14)</f>
        <v/>
      </c>
      <c r="S14" s="7">
        <f>IF($V14="","",T14-R14)</f>
        <v/>
      </c>
      <c r="T14" s="7">
        <f>IF($V14="","",M14+P14+K14)</f>
        <v/>
      </c>
      <c r="U14" s="7">
        <f>IF($V14="","",T14-R14-J14)</f>
        <v/>
      </c>
      <c r="V14" s="13">
        <f>IF(ROWS($V$2:$V14)&lt;=MAX('Per Line'!$AL$2:$AL$1501),MATCH(ROWS($V$2:$V14),'Per Line'!$AL$2:$AL$1501,0),"")</f>
        <v/>
      </c>
    </row>
    <row r="15">
      <c r="A15" s="12" t="n"/>
      <c r="B15">
        <f>IF($V15="","",INDEX('Per Line'!$D$2:$D$1501,$V15)&amp;"")</f>
        <v/>
      </c>
      <c r="C15">
        <f>IF($V15="","",INDEX('Per Line'!$A$2:$A$1501,$V15))</f>
        <v/>
      </c>
      <c r="D15">
        <f>IF($V15="","",INDEX('Per Line'!$Z$2:$Z$1501,$V15)&amp;"")</f>
        <v/>
      </c>
      <c r="E15" s="11">
        <f>IF($V15="","",INDEX('Per Line'!$F$2:$F$1501,$V15))</f>
        <v/>
      </c>
      <c r="F15">
        <f>IF($V15="","",INDEX('Per Line'!$I$2:$I$1501,$V15)&amp;"")</f>
        <v/>
      </c>
      <c r="G15">
        <f>IF($V15="","",INDEX('Per Line'!$J$2:$J$1501,$V15)&amp;"")</f>
        <v/>
      </c>
      <c r="H15">
        <f>IF($V15="","",INDEX('Per Line'!$K$2:$K$1501,$V15)&amp;"")</f>
        <v/>
      </c>
      <c r="I15">
        <f>IF($V15="","",INDEX('Per Line'!$M$2:$M$1501,$V15))</f>
        <v/>
      </c>
      <c r="J15" s="7">
        <f>IF($V15="","",I15*T15/100)</f>
        <v/>
      </c>
      <c r="K15" s="7">
        <f>IF($V15="","",SUMIFS('Per Line'!$V$2:$V$1501,'Per Line'!$D$2:$D$1501,$B15,'Per Line'!$AN$2:$AN$1501,1))</f>
        <v/>
      </c>
      <c r="L15">
        <f>IF($V15="","",Settings!$C$7)</f>
        <v/>
      </c>
      <c r="M15" s="7">
        <f>IF($V15="","",SUMIFS('Per Line'!$V$2:$V$1501,'Per Line'!$D$2:$D$1501,$B15,'Per Line'!$AM$2:$AM$1501,0,'Per Line'!$AN$2:$AN$1501,0))</f>
        <v/>
      </c>
      <c r="N15" s="7">
        <f>IF($V15="","",M15*L15)</f>
        <v/>
      </c>
      <c r="O15">
        <f>IF($V15="","",Settings!$C$6)</f>
        <v/>
      </c>
      <c r="P15" s="7">
        <f>IF($V15="","",SUMIFS('Per Line'!$V$2:$V$1501,'Per Line'!$D$2:$D$1501,$B15,'Per Line'!$AM$2:$AM$1501,1,'Per Line'!$AN$2:$AN$1501,0))</f>
        <v/>
      </c>
      <c r="Q15" s="7">
        <f>IF($V15="","",P15*O15)</f>
        <v/>
      </c>
      <c r="R15" s="7">
        <f>IF($V15="","",Q15+N15)</f>
        <v/>
      </c>
      <c r="S15" s="7">
        <f>IF($V15="","",T15-R15)</f>
        <v/>
      </c>
      <c r="T15" s="7">
        <f>IF($V15="","",M15+P15+K15)</f>
        <v/>
      </c>
      <c r="U15" s="7">
        <f>IF($V15="","",T15-R15-J15)</f>
        <v/>
      </c>
      <c r="V15" s="13">
        <f>IF(ROWS($V$2:$V15)&lt;=MAX('Per Line'!$AL$2:$AL$1501),MATCH(ROWS($V$2:$V15),'Per Line'!$AL$2:$AL$1501,0),"")</f>
        <v/>
      </c>
    </row>
    <row r="16">
      <c r="A16" s="12" t="n"/>
      <c r="B16">
        <f>IF($V16="","",INDEX('Per Line'!$D$2:$D$1501,$V16)&amp;"")</f>
        <v/>
      </c>
      <c r="C16">
        <f>IF($V16="","",INDEX('Per Line'!$A$2:$A$1501,$V16))</f>
        <v/>
      </c>
      <c r="D16">
        <f>IF($V16="","",INDEX('Per Line'!$Z$2:$Z$1501,$V16)&amp;"")</f>
        <v/>
      </c>
      <c r="E16" s="11">
        <f>IF($V16="","",INDEX('Per Line'!$F$2:$F$1501,$V16))</f>
        <v/>
      </c>
      <c r="F16">
        <f>IF($V16="","",INDEX('Per Line'!$I$2:$I$1501,$V16)&amp;"")</f>
        <v/>
      </c>
      <c r="G16">
        <f>IF($V16="","",INDEX('Per Line'!$J$2:$J$1501,$V16)&amp;"")</f>
        <v/>
      </c>
      <c r="H16">
        <f>IF($V16="","",INDEX('Per Line'!$K$2:$K$1501,$V16)&amp;"")</f>
        <v/>
      </c>
      <c r="I16">
        <f>IF($V16="","",INDEX('Per Line'!$M$2:$M$1501,$V16))</f>
        <v/>
      </c>
      <c r="J16" s="7">
        <f>IF($V16="","",I16*T16/100)</f>
        <v/>
      </c>
      <c r="K16" s="7">
        <f>IF($V16="","",SUMIFS('Per Line'!$V$2:$V$1501,'Per Line'!$D$2:$D$1501,$B16,'Per Line'!$AN$2:$AN$1501,1))</f>
        <v/>
      </c>
      <c r="L16">
        <f>IF($V16="","",Settings!$C$7)</f>
        <v/>
      </c>
      <c r="M16" s="7">
        <f>IF($V16="","",SUMIFS('Per Line'!$V$2:$V$1501,'Per Line'!$D$2:$D$1501,$B16,'Per Line'!$AM$2:$AM$1501,0,'Per Line'!$AN$2:$AN$1501,0))</f>
        <v/>
      </c>
      <c r="N16" s="7">
        <f>IF($V16="","",M16*L16)</f>
        <v/>
      </c>
      <c r="O16">
        <f>IF($V16="","",Settings!$C$6)</f>
        <v/>
      </c>
      <c r="P16" s="7">
        <f>IF($V16="","",SUMIFS('Per Line'!$V$2:$V$1501,'Per Line'!$D$2:$D$1501,$B16,'Per Line'!$AM$2:$AM$1501,1,'Per Line'!$AN$2:$AN$1501,0))</f>
        <v/>
      </c>
      <c r="Q16" s="7">
        <f>IF($V16="","",P16*O16)</f>
        <v/>
      </c>
      <c r="R16" s="7">
        <f>IF($V16="","",Q16+N16)</f>
        <v/>
      </c>
      <c r="S16" s="7">
        <f>IF($V16="","",T16-R16)</f>
        <v/>
      </c>
      <c r="T16" s="7">
        <f>IF($V16="","",M16+P16+K16)</f>
        <v/>
      </c>
      <c r="U16" s="7">
        <f>IF($V16="","",T16-R16-J16)</f>
        <v/>
      </c>
      <c r="V16" s="13">
        <f>IF(ROWS($V$2:$V16)&lt;=MAX('Per Line'!$AL$2:$AL$1501),MATCH(ROWS($V$2:$V16),'Per Line'!$AL$2:$AL$1501,0),"")</f>
        <v/>
      </c>
    </row>
    <row r="17">
      <c r="A17" s="12" t="n"/>
      <c r="B17">
        <f>IF($V17="","",INDEX('Per Line'!$D$2:$D$1501,$V17)&amp;"")</f>
        <v/>
      </c>
      <c r="C17">
        <f>IF($V17="","",INDEX('Per Line'!$A$2:$A$1501,$V17))</f>
        <v/>
      </c>
      <c r="D17">
        <f>IF($V17="","",INDEX('Per Line'!$Z$2:$Z$1501,$V17)&amp;"")</f>
        <v/>
      </c>
      <c r="E17" s="11">
        <f>IF($V17="","",INDEX('Per Line'!$F$2:$F$1501,$V17))</f>
        <v/>
      </c>
      <c r="F17">
        <f>IF($V17="","",INDEX('Per Line'!$I$2:$I$1501,$V17)&amp;"")</f>
        <v/>
      </c>
      <c r="G17">
        <f>IF($V17="","",INDEX('Per Line'!$J$2:$J$1501,$V17)&amp;"")</f>
        <v/>
      </c>
      <c r="H17">
        <f>IF($V17="","",INDEX('Per Line'!$K$2:$K$1501,$V17)&amp;"")</f>
        <v/>
      </c>
      <c r="I17">
        <f>IF($V17="","",INDEX('Per Line'!$M$2:$M$1501,$V17))</f>
        <v/>
      </c>
      <c r="J17" s="7">
        <f>IF($V17="","",I17*T17/100)</f>
        <v/>
      </c>
      <c r="K17" s="7">
        <f>IF($V17="","",SUMIFS('Per Line'!$V$2:$V$1501,'Per Line'!$D$2:$D$1501,$B17,'Per Line'!$AN$2:$AN$1501,1))</f>
        <v/>
      </c>
      <c r="L17">
        <f>IF($V17="","",Settings!$C$7)</f>
        <v/>
      </c>
      <c r="M17" s="7">
        <f>IF($V17="","",SUMIFS('Per Line'!$V$2:$V$1501,'Per Line'!$D$2:$D$1501,$B17,'Per Line'!$AM$2:$AM$1501,0,'Per Line'!$AN$2:$AN$1501,0))</f>
        <v/>
      </c>
      <c r="N17" s="7">
        <f>IF($V17="","",M17*L17)</f>
        <v/>
      </c>
      <c r="O17">
        <f>IF($V17="","",Settings!$C$6)</f>
        <v/>
      </c>
      <c r="P17" s="7">
        <f>IF($V17="","",SUMIFS('Per Line'!$V$2:$V$1501,'Per Line'!$D$2:$D$1501,$B17,'Per Line'!$AM$2:$AM$1501,1,'Per Line'!$AN$2:$AN$1501,0))</f>
        <v/>
      </c>
      <c r="Q17" s="7">
        <f>IF($V17="","",P17*O17)</f>
        <v/>
      </c>
      <c r="R17" s="7">
        <f>IF($V17="","",Q17+N17)</f>
        <v/>
      </c>
      <c r="S17" s="7">
        <f>IF($V17="","",T17-R17)</f>
        <v/>
      </c>
      <c r="T17" s="7">
        <f>IF($V17="","",M17+P17+K17)</f>
        <v/>
      </c>
      <c r="U17" s="7">
        <f>IF($V17="","",T17-R17-J17)</f>
        <v/>
      </c>
      <c r="V17" s="13">
        <f>IF(ROWS($V$2:$V17)&lt;=MAX('Per Line'!$AL$2:$AL$1501),MATCH(ROWS($V$2:$V17),'Per Line'!$AL$2:$AL$1501,0),"")</f>
        <v/>
      </c>
    </row>
    <row r="18">
      <c r="A18" s="12" t="n"/>
      <c r="B18">
        <f>IF($V18="","",INDEX('Per Line'!$D$2:$D$1501,$V18)&amp;"")</f>
        <v/>
      </c>
      <c r="C18">
        <f>IF($V18="","",INDEX('Per Line'!$A$2:$A$1501,$V18))</f>
        <v/>
      </c>
      <c r="D18">
        <f>IF($V18="","",INDEX('Per Line'!$Z$2:$Z$1501,$V18)&amp;"")</f>
        <v/>
      </c>
      <c r="E18" s="11">
        <f>IF($V18="","",INDEX('Per Line'!$F$2:$F$1501,$V18))</f>
        <v/>
      </c>
      <c r="F18">
        <f>IF($V18="","",INDEX('Per Line'!$I$2:$I$1501,$V18)&amp;"")</f>
        <v/>
      </c>
      <c r="G18">
        <f>IF($V18="","",INDEX('Per Line'!$J$2:$J$1501,$V18)&amp;"")</f>
        <v/>
      </c>
      <c r="H18">
        <f>IF($V18="","",INDEX('Per Line'!$K$2:$K$1501,$V18)&amp;"")</f>
        <v/>
      </c>
      <c r="I18">
        <f>IF($V18="","",INDEX('Per Line'!$M$2:$M$1501,$V18))</f>
        <v/>
      </c>
      <c r="J18" s="7">
        <f>IF($V18="","",I18*T18/100)</f>
        <v/>
      </c>
      <c r="K18" s="7">
        <f>IF($V18="","",SUMIFS('Per Line'!$V$2:$V$1501,'Per Line'!$D$2:$D$1501,$B18,'Per Line'!$AN$2:$AN$1501,1))</f>
        <v/>
      </c>
      <c r="L18">
        <f>IF($V18="","",Settings!$C$7)</f>
        <v/>
      </c>
      <c r="M18" s="7">
        <f>IF($V18="","",SUMIFS('Per Line'!$V$2:$V$1501,'Per Line'!$D$2:$D$1501,$B18,'Per Line'!$AM$2:$AM$1501,0,'Per Line'!$AN$2:$AN$1501,0))</f>
        <v/>
      </c>
      <c r="N18" s="7">
        <f>IF($V18="","",M18*L18)</f>
        <v/>
      </c>
      <c r="O18">
        <f>IF($V18="","",Settings!$C$6)</f>
        <v/>
      </c>
      <c r="P18" s="7">
        <f>IF($V18="","",SUMIFS('Per Line'!$V$2:$V$1501,'Per Line'!$D$2:$D$1501,$B18,'Per Line'!$AM$2:$AM$1501,1,'Per Line'!$AN$2:$AN$1501,0))</f>
        <v/>
      </c>
      <c r="Q18" s="7">
        <f>IF($V18="","",P18*O18)</f>
        <v/>
      </c>
      <c r="R18" s="7">
        <f>IF($V18="","",Q18+N18)</f>
        <v/>
      </c>
      <c r="S18" s="7">
        <f>IF($V18="","",T18-R18)</f>
        <v/>
      </c>
      <c r="T18" s="7">
        <f>IF($V18="","",M18+P18+K18)</f>
        <v/>
      </c>
      <c r="U18" s="7">
        <f>IF($V18="","",T18-R18-J18)</f>
        <v/>
      </c>
      <c r="V18" s="13">
        <f>IF(ROWS($V$2:$V18)&lt;=MAX('Per Line'!$AL$2:$AL$1501),MATCH(ROWS($V$2:$V18),'Per Line'!$AL$2:$AL$1501,0),"")</f>
        <v/>
      </c>
    </row>
    <row r="19">
      <c r="A19" s="12" t="n"/>
      <c r="B19">
        <f>IF($V19="","",INDEX('Per Line'!$D$2:$D$1501,$V19)&amp;"")</f>
        <v/>
      </c>
      <c r="C19">
        <f>IF($V19="","",INDEX('Per Line'!$A$2:$A$1501,$V19))</f>
        <v/>
      </c>
      <c r="D19">
        <f>IF($V19="","",INDEX('Per Line'!$Z$2:$Z$1501,$V19)&amp;"")</f>
        <v/>
      </c>
      <c r="E19" s="11">
        <f>IF($V19="","",INDEX('Per Line'!$F$2:$F$1501,$V19))</f>
        <v/>
      </c>
      <c r="F19">
        <f>IF($V19="","",INDEX('Per Line'!$I$2:$I$1501,$V19)&amp;"")</f>
        <v/>
      </c>
      <c r="G19">
        <f>IF($V19="","",INDEX('Per Line'!$J$2:$J$1501,$V19)&amp;"")</f>
        <v/>
      </c>
      <c r="H19">
        <f>IF($V19="","",INDEX('Per Line'!$K$2:$K$1501,$V19)&amp;"")</f>
        <v/>
      </c>
      <c r="I19">
        <f>IF($V19="","",INDEX('Per Line'!$M$2:$M$1501,$V19))</f>
        <v/>
      </c>
      <c r="J19" s="7">
        <f>IF($V19="","",I19*T19/100)</f>
        <v/>
      </c>
      <c r="K19" s="7">
        <f>IF($V19="","",SUMIFS('Per Line'!$V$2:$V$1501,'Per Line'!$D$2:$D$1501,$B19,'Per Line'!$AN$2:$AN$1501,1))</f>
        <v/>
      </c>
      <c r="L19">
        <f>IF($V19="","",Settings!$C$7)</f>
        <v/>
      </c>
      <c r="M19" s="7">
        <f>IF($V19="","",SUMIFS('Per Line'!$V$2:$V$1501,'Per Line'!$D$2:$D$1501,$B19,'Per Line'!$AM$2:$AM$1501,0,'Per Line'!$AN$2:$AN$1501,0))</f>
        <v/>
      </c>
      <c r="N19" s="7">
        <f>IF($V19="","",M19*L19)</f>
        <v/>
      </c>
      <c r="O19">
        <f>IF($V19="","",Settings!$C$6)</f>
        <v/>
      </c>
      <c r="P19" s="7">
        <f>IF($V19="","",SUMIFS('Per Line'!$V$2:$V$1501,'Per Line'!$D$2:$D$1501,$B19,'Per Line'!$AM$2:$AM$1501,1,'Per Line'!$AN$2:$AN$1501,0))</f>
        <v/>
      </c>
      <c r="Q19" s="7">
        <f>IF($V19="","",P19*O19)</f>
        <v/>
      </c>
      <c r="R19" s="7">
        <f>IF($V19="","",Q19+N19)</f>
        <v/>
      </c>
      <c r="S19" s="7">
        <f>IF($V19="","",T19-R19)</f>
        <v/>
      </c>
      <c r="T19" s="7">
        <f>IF($V19="","",M19+P19+K19)</f>
        <v/>
      </c>
      <c r="U19" s="7">
        <f>IF($V19="","",T19-R19-J19)</f>
        <v/>
      </c>
      <c r="V19" s="13">
        <f>IF(ROWS($V$2:$V19)&lt;=MAX('Per Line'!$AL$2:$AL$1501),MATCH(ROWS($V$2:$V19),'Per Line'!$AL$2:$AL$1501,0),"")</f>
        <v/>
      </c>
    </row>
    <row r="20">
      <c r="A20" s="12" t="n"/>
      <c r="B20">
        <f>IF($V20="","",INDEX('Per Line'!$D$2:$D$1501,$V20)&amp;"")</f>
        <v/>
      </c>
      <c r="C20">
        <f>IF($V20="","",INDEX('Per Line'!$A$2:$A$1501,$V20))</f>
        <v/>
      </c>
      <c r="D20">
        <f>IF($V20="","",INDEX('Per Line'!$Z$2:$Z$1501,$V20)&amp;"")</f>
        <v/>
      </c>
      <c r="E20" s="11">
        <f>IF($V20="","",INDEX('Per Line'!$F$2:$F$1501,$V20))</f>
        <v/>
      </c>
      <c r="F20">
        <f>IF($V20="","",INDEX('Per Line'!$I$2:$I$1501,$V20)&amp;"")</f>
        <v/>
      </c>
      <c r="G20">
        <f>IF($V20="","",INDEX('Per Line'!$J$2:$J$1501,$V20)&amp;"")</f>
        <v/>
      </c>
      <c r="H20">
        <f>IF($V20="","",INDEX('Per Line'!$K$2:$K$1501,$V20)&amp;"")</f>
        <v/>
      </c>
      <c r="I20">
        <f>IF($V20="","",INDEX('Per Line'!$M$2:$M$1501,$V20))</f>
        <v/>
      </c>
      <c r="J20" s="7">
        <f>IF($V20="","",I20*T20/100)</f>
        <v/>
      </c>
      <c r="K20" s="7">
        <f>IF($V20="","",SUMIFS('Per Line'!$V$2:$V$1501,'Per Line'!$D$2:$D$1501,$B20,'Per Line'!$AN$2:$AN$1501,1))</f>
        <v/>
      </c>
      <c r="L20">
        <f>IF($V20="","",Settings!$C$7)</f>
        <v/>
      </c>
      <c r="M20" s="7">
        <f>IF($V20="","",SUMIFS('Per Line'!$V$2:$V$1501,'Per Line'!$D$2:$D$1501,$B20,'Per Line'!$AM$2:$AM$1501,0,'Per Line'!$AN$2:$AN$1501,0))</f>
        <v/>
      </c>
      <c r="N20" s="7">
        <f>IF($V20="","",M20*L20)</f>
        <v/>
      </c>
      <c r="O20">
        <f>IF($V20="","",Settings!$C$6)</f>
        <v/>
      </c>
      <c r="P20" s="7">
        <f>IF($V20="","",SUMIFS('Per Line'!$V$2:$V$1501,'Per Line'!$D$2:$D$1501,$B20,'Per Line'!$AM$2:$AM$1501,1,'Per Line'!$AN$2:$AN$1501,0))</f>
        <v/>
      </c>
      <c r="Q20" s="7">
        <f>IF($V20="","",P20*O20)</f>
        <v/>
      </c>
      <c r="R20" s="7">
        <f>IF($V20="","",Q20+N20)</f>
        <v/>
      </c>
      <c r="S20" s="7">
        <f>IF($V20="","",T20-R20)</f>
        <v/>
      </c>
      <c r="T20" s="7">
        <f>IF($V20="","",M20+P20+K20)</f>
        <v/>
      </c>
      <c r="U20" s="7">
        <f>IF($V20="","",T20-R20-J20)</f>
        <v/>
      </c>
      <c r="V20" s="13">
        <f>IF(ROWS($V$2:$V20)&lt;=MAX('Per Line'!$AL$2:$AL$1501),MATCH(ROWS($V$2:$V20),'Per Line'!$AL$2:$AL$1501,0),"")</f>
        <v/>
      </c>
    </row>
    <row r="21">
      <c r="A21" s="12" t="n"/>
      <c r="B21">
        <f>IF($V21="","",INDEX('Per Line'!$D$2:$D$1501,$V21)&amp;"")</f>
        <v/>
      </c>
      <c r="C21">
        <f>IF($V21="","",INDEX('Per Line'!$A$2:$A$1501,$V21))</f>
        <v/>
      </c>
      <c r="D21">
        <f>IF($V21="","",INDEX('Per Line'!$Z$2:$Z$1501,$V21)&amp;"")</f>
        <v/>
      </c>
      <c r="E21" s="11">
        <f>IF($V21="","",INDEX('Per Line'!$F$2:$F$1501,$V21))</f>
        <v/>
      </c>
      <c r="F21">
        <f>IF($V21="","",INDEX('Per Line'!$I$2:$I$1501,$V21)&amp;"")</f>
        <v/>
      </c>
      <c r="G21">
        <f>IF($V21="","",INDEX('Per Line'!$J$2:$J$1501,$V21)&amp;"")</f>
        <v/>
      </c>
      <c r="H21">
        <f>IF($V21="","",INDEX('Per Line'!$K$2:$K$1501,$V21)&amp;"")</f>
        <v/>
      </c>
      <c r="I21">
        <f>IF($V21="","",INDEX('Per Line'!$M$2:$M$1501,$V21))</f>
        <v/>
      </c>
      <c r="J21" s="7">
        <f>IF($V21="","",I21*T21/100)</f>
        <v/>
      </c>
      <c r="K21" s="7">
        <f>IF($V21="","",SUMIFS('Per Line'!$V$2:$V$1501,'Per Line'!$D$2:$D$1501,$B21,'Per Line'!$AN$2:$AN$1501,1))</f>
        <v/>
      </c>
      <c r="L21">
        <f>IF($V21="","",Settings!$C$7)</f>
        <v/>
      </c>
      <c r="M21" s="7">
        <f>IF($V21="","",SUMIFS('Per Line'!$V$2:$V$1501,'Per Line'!$D$2:$D$1501,$B21,'Per Line'!$AM$2:$AM$1501,0,'Per Line'!$AN$2:$AN$1501,0))</f>
        <v/>
      </c>
      <c r="N21" s="7">
        <f>IF($V21="","",M21*L21)</f>
        <v/>
      </c>
      <c r="O21">
        <f>IF($V21="","",Settings!$C$6)</f>
        <v/>
      </c>
      <c r="P21" s="7">
        <f>IF($V21="","",SUMIFS('Per Line'!$V$2:$V$1501,'Per Line'!$D$2:$D$1501,$B21,'Per Line'!$AM$2:$AM$1501,1,'Per Line'!$AN$2:$AN$1501,0))</f>
        <v/>
      </c>
      <c r="Q21" s="7">
        <f>IF($V21="","",P21*O21)</f>
        <v/>
      </c>
      <c r="R21" s="7">
        <f>IF($V21="","",Q21+N21)</f>
        <v/>
      </c>
      <c r="S21" s="7">
        <f>IF($V21="","",T21-R21)</f>
        <v/>
      </c>
      <c r="T21" s="7">
        <f>IF($V21="","",M21+P21+K21)</f>
        <v/>
      </c>
      <c r="U21" s="7">
        <f>IF($V21="","",T21-R21-J21)</f>
        <v/>
      </c>
      <c r="V21" s="13">
        <f>IF(ROWS($V$2:$V21)&lt;=MAX('Per Line'!$AL$2:$AL$1501),MATCH(ROWS($V$2:$V21),'Per Line'!$AL$2:$AL$1501,0),"")</f>
        <v/>
      </c>
    </row>
    <row r="22">
      <c r="A22" s="12" t="n"/>
      <c r="B22">
        <f>IF($V22="","",INDEX('Per Line'!$D$2:$D$1501,$V22)&amp;"")</f>
        <v/>
      </c>
      <c r="C22">
        <f>IF($V22="","",INDEX('Per Line'!$A$2:$A$1501,$V22))</f>
        <v/>
      </c>
      <c r="D22">
        <f>IF($V22="","",INDEX('Per Line'!$Z$2:$Z$1501,$V22)&amp;"")</f>
        <v/>
      </c>
      <c r="E22" s="11">
        <f>IF($V22="","",INDEX('Per Line'!$F$2:$F$1501,$V22))</f>
        <v/>
      </c>
      <c r="F22">
        <f>IF($V22="","",INDEX('Per Line'!$I$2:$I$1501,$V22)&amp;"")</f>
        <v/>
      </c>
      <c r="G22">
        <f>IF($V22="","",INDEX('Per Line'!$J$2:$J$1501,$V22)&amp;"")</f>
        <v/>
      </c>
      <c r="H22">
        <f>IF($V22="","",INDEX('Per Line'!$K$2:$K$1501,$V22)&amp;"")</f>
        <v/>
      </c>
      <c r="I22">
        <f>IF($V22="","",INDEX('Per Line'!$M$2:$M$1501,$V22))</f>
        <v/>
      </c>
      <c r="J22" s="7">
        <f>IF($V22="","",I22*T22/100)</f>
        <v/>
      </c>
      <c r="K22" s="7">
        <f>IF($V22="","",SUMIFS('Per Line'!$V$2:$V$1501,'Per Line'!$D$2:$D$1501,$B22,'Per Line'!$AN$2:$AN$1501,1))</f>
        <v/>
      </c>
      <c r="L22">
        <f>IF($V22="","",Settings!$C$7)</f>
        <v/>
      </c>
      <c r="M22" s="7">
        <f>IF($V22="","",SUMIFS('Per Line'!$V$2:$V$1501,'Per Line'!$D$2:$D$1501,$B22,'Per Line'!$AM$2:$AM$1501,0,'Per Line'!$AN$2:$AN$1501,0))</f>
        <v/>
      </c>
      <c r="N22" s="7">
        <f>IF($V22="","",M22*L22)</f>
        <v/>
      </c>
      <c r="O22">
        <f>IF($V22="","",Settings!$C$6)</f>
        <v/>
      </c>
      <c r="P22" s="7">
        <f>IF($V22="","",SUMIFS('Per Line'!$V$2:$V$1501,'Per Line'!$D$2:$D$1501,$B22,'Per Line'!$AM$2:$AM$1501,1,'Per Line'!$AN$2:$AN$1501,0))</f>
        <v/>
      </c>
      <c r="Q22" s="7">
        <f>IF($V22="","",P22*O22)</f>
        <v/>
      </c>
      <c r="R22" s="7">
        <f>IF($V22="","",Q22+N22)</f>
        <v/>
      </c>
      <c r="S22" s="7">
        <f>IF($V22="","",T22-R22)</f>
        <v/>
      </c>
      <c r="T22" s="7">
        <f>IF($V22="","",M22+P22+K22)</f>
        <v/>
      </c>
      <c r="U22" s="7">
        <f>IF($V22="","",T22-R22-J22)</f>
        <v/>
      </c>
      <c r="V22" s="13">
        <f>IF(ROWS($V$2:$V22)&lt;=MAX('Per Line'!$AL$2:$AL$1501),MATCH(ROWS($V$2:$V22),'Per Line'!$AL$2:$AL$1501,0),"")</f>
        <v/>
      </c>
    </row>
    <row r="23">
      <c r="A23" s="12" t="n"/>
      <c r="B23">
        <f>IF($V23="","",INDEX('Per Line'!$D$2:$D$1501,$V23)&amp;"")</f>
        <v/>
      </c>
      <c r="C23">
        <f>IF($V23="","",INDEX('Per Line'!$A$2:$A$1501,$V23))</f>
        <v/>
      </c>
      <c r="D23">
        <f>IF($V23="","",INDEX('Per Line'!$Z$2:$Z$1501,$V23)&amp;"")</f>
        <v/>
      </c>
      <c r="E23" s="11">
        <f>IF($V23="","",INDEX('Per Line'!$F$2:$F$1501,$V23))</f>
        <v/>
      </c>
      <c r="F23">
        <f>IF($V23="","",INDEX('Per Line'!$I$2:$I$1501,$V23)&amp;"")</f>
        <v/>
      </c>
      <c r="G23">
        <f>IF($V23="","",INDEX('Per Line'!$J$2:$J$1501,$V23)&amp;"")</f>
        <v/>
      </c>
      <c r="H23">
        <f>IF($V23="","",INDEX('Per Line'!$K$2:$K$1501,$V23)&amp;"")</f>
        <v/>
      </c>
      <c r="I23">
        <f>IF($V23="","",INDEX('Per Line'!$M$2:$M$1501,$V23))</f>
        <v/>
      </c>
      <c r="J23" s="7">
        <f>IF($V23="","",I23*T23/100)</f>
        <v/>
      </c>
      <c r="K23" s="7">
        <f>IF($V23="","",SUMIFS('Per Line'!$V$2:$V$1501,'Per Line'!$D$2:$D$1501,$B23,'Per Line'!$AN$2:$AN$1501,1))</f>
        <v/>
      </c>
      <c r="L23">
        <f>IF($V23="","",Settings!$C$7)</f>
        <v/>
      </c>
      <c r="M23" s="7">
        <f>IF($V23="","",SUMIFS('Per Line'!$V$2:$V$1501,'Per Line'!$D$2:$D$1501,$B23,'Per Line'!$AM$2:$AM$1501,0,'Per Line'!$AN$2:$AN$1501,0))</f>
        <v/>
      </c>
      <c r="N23" s="7">
        <f>IF($V23="","",M23*L23)</f>
        <v/>
      </c>
      <c r="O23">
        <f>IF($V23="","",Settings!$C$6)</f>
        <v/>
      </c>
      <c r="P23" s="7">
        <f>IF($V23="","",SUMIFS('Per Line'!$V$2:$V$1501,'Per Line'!$D$2:$D$1501,$B23,'Per Line'!$AM$2:$AM$1501,1,'Per Line'!$AN$2:$AN$1501,0))</f>
        <v/>
      </c>
      <c r="Q23" s="7">
        <f>IF($V23="","",P23*O23)</f>
        <v/>
      </c>
      <c r="R23" s="7">
        <f>IF($V23="","",Q23+N23)</f>
        <v/>
      </c>
      <c r="S23" s="7">
        <f>IF($V23="","",T23-R23)</f>
        <v/>
      </c>
      <c r="T23" s="7">
        <f>IF($V23="","",M23+P23+K23)</f>
        <v/>
      </c>
      <c r="U23" s="7">
        <f>IF($V23="","",T23-R23-J23)</f>
        <v/>
      </c>
      <c r="V23" s="13">
        <f>IF(ROWS($V$2:$V23)&lt;=MAX('Per Line'!$AL$2:$AL$1501),MATCH(ROWS($V$2:$V23),'Per Line'!$AL$2:$AL$1501,0),"")</f>
        <v/>
      </c>
    </row>
    <row r="24">
      <c r="A24" s="12" t="n"/>
      <c r="B24">
        <f>IF($V24="","",INDEX('Per Line'!$D$2:$D$1501,$V24)&amp;"")</f>
        <v/>
      </c>
      <c r="C24">
        <f>IF($V24="","",INDEX('Per Line'!$A$2:$A$1501,$V24))</f>
        <v/>
      </c>
      <c r="D24">
        <f>IF($V24="","",INDEX('Per Line'!$Z$2:$Z$1501,$V24)&amp;"")</f>
        <v/>
      </c>
      <c r="E24" s="11">
        <f>IF($V24="","",INDEX('Per Line'!$F$2:$F$1501,$V24))</f>
        <v/>
      </c>
      <c r="F24">
        <f>IF($V24="","",INDEX('Per Line'!$I$2:$I$1501,$V24)&amp;"")</f>
        <v/>
      </c>
      <c r="G24">
        <f>IF($V24="","",INDEX('Per Line'!$J$2:$J$1501,$V24)&amp;"")</f>
        <v/>
      </c>
      <c r="H24">
        <f>IF($V24="","",INDEX('Per Line'!$K$2:$K$1501,$V24)&amp;"")</f>
        <v/>
      </c>
      <c r="I24">
        <f>IF($V24="","",INDEX('Per Line'!$M$2:$M$1501,$V24))</f>
        <v/>
      </c>
      <c r="J24" s="7">
        <f>IF($V24="","",I24*T24/100)</f>
        <v/>
      </c>
      <c r="K24" s="7">
        <f>IF($V24="","",SUMIFS('Per Line'!$V$2:$V$1501,'Per Line'!$D$2:$D$1501,$B24,'Per Line'!$AN$2:$AN$1501,1))</f>
        <v/>
      </c>
      <c r="L24">
        <f>IF($V24="","",Settings!$C$7)</f>
        <v/>
      </c>
      <c r="M24" s="7">
        <f>IF($V24="","",SUMIFS('Per Line'!$V$2:$V$1501,'Per Line'!$D$2:$D$1501,$B24,'Per Line'!$AM$2:$AM$1501,0,'Per Line'!$AN$2:$AN$1501,0))</f>
        <v/>
      </c>
      <c r="N24" s="7">
        <f>IF($V24="","",M24*L24)</f>
        <v/>
      </c>
      <c r="O24">
        <f>IF($V24="","",Settings!$C$6)</f>
        <v/>
      </c>
      <c r="P24" s="7">
        <f>IF($V24="","",SUMIFS('Per Line'!$V$2:$V$1501,'Per Line'!$D$2:$D$1501,$B24,'Per Line'!$AM$2:$AM$1501,1,'Per Line'!$AN$2:$AN$1501,0))</f>
        <v/>
      </c>
      <c r="Q24" s="7">
        <f>IF($V24="","",P24*O24)</f>
        <v/>
      </c>
      <c r="R24" s="7">
        <f>IF($V24="","",Q24+N24)</f>
        <v/>
      </c>
      <c r="S24" s="7">
        <f>IF($V24="","",T24-R24)</f>
        <v/>
      </c>
      <c r="T24" s="7">
        <f>IF($V24="","",M24+P24+K24)</f>
        <v/>
      </c>
      <c r="U24" s="7">
        <f>IF($V24="","",T24-R24-J24)</f>
        <v/>
      </c>
      <c r="V24" s="13">
        <f>IF(ROWS($V$2:$V24)&lt;=MAX('Per Line'!$AL$2:$AL$1501),MATCH(ROWS($V$2:$V24),'Per Line'!$AL$2:$AL$1501,0),"")</f>
        <v/>
      </c>
    </row>
    <row r="25">
      <c r="A25" s="12" t="n"/>
      <c r="B25">
        <f>IF($V25="","",INDEX('Per Line'!$D$2:$D$1501,$V25)&amp;"")</f>
        <v/>
      </c>
      <c r="C25">
        <f>IF($V25="","",INDEX('Per Line'!$A$2:$A$1501,$V25))</f>
        <v/>
      </c>
      <c r="D25">
        <f>IF($V25="","",INDEX('Per Line'!$Z$2:$Z$1501,$V25)&amp;"")</f>
        <v/>
      </c>
      <c r="E25" s="11">
        <f>IF($V25="","",INDEX('Per Line'!$F$2:$F$1501,$V25))</f>
        <v/>
      </c>
      <c r="F25">
        <f>IF($V25="","",INDEX('Per Line'!$I$2:$I$1501,$V25)&amp;"")</f>
        <v/>
      </c>
      <c r="G25">
        <f>IF($V25="","",INDEX('Per Line'!$J$2:$J$1501,$V25)&amp;"")</f>
        <v/>
      </c>
      <c r="H25">
        <f>IF($V25="","",INDEX('Per Line'!$K$2:$K$1501,$V25)&amp;"")</f>
        <v/>
      </c>
      <c r="I25">
        <f>IF($V25="","",INDEX('Per Line'!$M$2:$M$1501,$V25))</f>
        <v/>
      </c>
      <c r="J25" s="7">
        <f>IF($V25="","",I25*T25/100)</f>
        <v/>
      </c>
      <c r="K25" s="7">
        <f>IF($V25="","",SUMIFS('Per Line'!$V$2:$V$1501,'Per Line'!$D$2:$D$1501,$B25,'Per Line'!$AN$2:$AN$1501,1))</f>
        <v/>
      </c>
      <c r="L25">
        <f>IF($V25="","",Settings!$C$7)</f>
        <v/>
      </c>
      <c r="M25" s="7">
        <f>IF($V25="","",SUMIFS('Per Line'!$V$2:$V$1501,'Per Line'!$D$2:$D$1501,$B25,'Per Line'!$AM$2:$AM$1501,0,'Per Line'!$AN$2:$AN$1501,0))</f>
        <v/>
      </c>
      <c r="N25" s="7">
        <f>IF($V25="","",M25*L25)</f>
        <v/>
      </c>
      <c r="O25">
        <f>IF($V25="","",Settings!$C$6)</f>
        <v/>
      </c>
      <c r="P25" s="7">
        <f>IF($V25="","",SUMIFS('Per Line'!$V$2:$V$1501,'Per Line'!$D$2:$D$1501,$B25,'Per Line'!$AM$2:$AM$1501,1,'Per Line'!$AN$2:$AN$1501,0))</f>
        <v/>
      </c>
      <c r="Q25" s="7">
        <f>IF($V25="","",P25*O25)</f>
        <v/>
      </c>
      <c r="R25" s="7">
        <f>IF($V25="","",Q25+N25)</f>
        <v/>
      </c>
      <c r="S25" s="7">
        <f>IF($V25="","",T25-R25)</f>
        <v/>
      </c>
      <c r="T25" s="7">
        <f>IF($V25="","",M25+P25+K25)</f>
        <v/>
      </c>
      <c r="U25" s="7">
        <f>IF($V25="","",T25-R25-J25)</f>
        <v/>
      </c>
      <c r="V25" s="13">
        <f>IF(ROWS($V$2:$V25)&lt;=MAX('Per Line'!$AL$2:$AL$1501),MATCH(ROWS($V$2:$V25),'Per Line'!$AL$2:$AL$1501,0),"")</f>
        <v/>
      </c>
    </row>
    <row r="26">
      <c r="A26" s="12" t="n"/>
      <c r="B26">
        <f>IF($V26="","",INDEX('Per Line'!$D$2:$D$1501,$V26)&amp;"")</f>
        <v/>
      </c>
      <c r="C26">
        <f>IF($V26="","",INDEX('Per Line'!$A$2:$A$1501,$V26))</f>
        <v/>
      </c>
      <c r="D26">
        <f>IF($V26="","",INDEX('Per Line'!$Z$2:$Z$1501,$V26)&amp;"")</f>
        <v/>
      </c>
      <c r="E26" s="11">
        <f>IF($V26="","",INDEX('Per Line'!$F$2:$F$1501,$V26))</f>
        <v/>
      </c>
      <c r="F26">
        <f>IF($V26="","",INDEX('Per Line'!$I$2:$I$1501,$V26)&amp;"")</f>
        <v/>
      </c>
      <c r="G26">
        <f>IF($V26="","",INDEX('Per Line'!$J$2:$J$1501,$V26)&amp;"")</f>
        <v/>
      </c>
      <c r="H26">
        <f>IF($V26="","",INDEX('Per Line'!$K$2:$K$1501,$V26)&amp;"")</f>
        <v/>
      </c>
      <c r="I26">
        <f>IF($V26="","",INDEX('Per Line'!$M$2:$M$1501,$V26))</f>
        <v/>
      </c>
      <c r="J26" s="7">
        <f>IF($V26="","",I26*T26/100)</f>
        <v/>
      </c>
      <c r="K26" s="7">
        <f>IF($V26="","",SUMIFS('Per Line'!$V$2:$V$1501,'Per Line'!$D$2:$D$1501,$B26,'Per Line'!$AN$2:$AN$1501,1))</f>
        <v/>
      </c>
      <c r="L26">
        <f>IF($V26="","",Settings!$C$7)</f>
        <v/>
      </c>
      <c r="M26" s="7">
        <f>IF($V26="","",SUMIFS('Per Line'!$V$2:$V$1501,'Per Line'!$D$2:$D$1501,$B26,'Per Line'!$AM$2:$AM$1501,0,'Per Line'!$AN$2:$AN$1501,0))</f>
        <v/>
      </c>
      <c r="N26" s="7">
        <f>IF($V26="","",M26*L26)</f>
        <v/>
      </c>
      <c r="O26">
        <f>IF($V26="","",Settings!$C$6)</f>
        <v/>
      </c>
      <c r="P26" s="7">
        <f>IF($V26="","",SUMIFS('Per Line'!$V$2:$V$1501,'Per Line'!$D$2:$D$1501,$B26,'Per Line'!$AM$2:$AM$1501,1,'Per Line'!$AN$2:$AN$1501,0))</f>
        <v/>
      </c>
      <c r="Q26" s="7">
        <f>IF($V26="","",P26*O26)</f>
        <v/>
      </c>
      <c r="R26" s="7">
        <f>IF($V26="","",Q26+N26)</f>
        <v/>
      </c>
      <c r="S26" s="7">
        <f>IF($V26="","",T26-R26)</f>
        <v/>
      </c>
      <c r="T26" s="7">
        <f>IF($V26="","",M26+P26+K26)</f>
        <v/>
      </c>
      <c r="U26" s="7">
        <f>IF($V26="","",T26-R26-J26)</f>
        <v/>
      </c>
      <c r="V26" s="13">
        <f>IF(ROWS($V$2:$V26)&lt;=MAX('Per Line'!$AL$2:$AL$1501),MATCH(ROWS($V$2:$V26),'Per Line'!$AL$2:$AL$1501,0),"")</f>
        <v/>
      </c>
    </row>
    <row r="27">
      <c r="A27" s="12" t="n"/>
      <c r="B27">
        <f>IF($V27="","",INDEX('Per Line'!$D$2:$D$1501,$V27)&amp;"")</f>
        <v/>
      </c>
      <c r="C27">
        <f>IF($V27="","",INDEX('Per Line'!$A$2:$A$1501,$V27))</f>
        <v/>
      </c>
      <c r="D27">
        <f>IF($V27="","",INDEX('Per Line'!$Z$2:$Z$1501,$V27)&amp;"")</f>
        <v/>
      </c>
      <c r="E27" s="11">
        <f>IF($V27="","",INDEX('Per Line'!$F$2:$F$1501,$V27))</f>
        <v/>
      </c>
      <c r="F27">
        <f>IF($V27="","",INDEX('Per Line'!$I$2:$I$1501,$V27)&amp;"")</f>
        <v/>
      </c>
      <c r="G27">
        <f>IF($V27="","",INDEX('Per Line'!$J$2:$J$1501,$V27)&amp;"")</f>
        <v/>
      </c>
      <c r="H27">
        <f>IF($V27="","",INDEX('Per Line'!$K$2:$K$1501,$V27)&amp;"")</f>
        <v/>
      </c>
      <c r="I27">
        <f>IF($V27="","",INDEX('Per Line'!$M$2:$M$1501,$V27))</f>
        <v/>
      </c>
      <c r="J27" s="7">
        <f>IF($V27="","",I27*T27/100)</f>
        <v/>
      </c>
      <c r="K27" s="7">
        <f>IF($V27="","",SUMIFS('Per Line'!$V$2:$V$1501,'Per Line'!$D$2:$D$1501,$B27,'Per Line'!$AN$2:$AN$1501,1))</f>
        <v/>
      </c>
      <c r="L27">
        <f>IF($V27="","",Settings!$C$7)</f>
        <v/>
      </c>
      <c r="M27" s="7">
        <f>IF($V27="","",SUMIFS('Per Line'!$V$2:$V$1501,'Per Line'!$D$2:$D$1501,$B27,'Per Line'!$AM$2:$AM$1501,0,'Per Line'!$AN$2:$AN$1501,0))</f>
        <v/>
      </c>
      <c r="N27" s="7">
        <f>IF($V27="","",M27*L27)</f>
        <v/>
      </c>
      <c r="O27">
        <f>IF($V27="","",Settings!$C$6)</f>
        <v/>
      </c>
      <c r="P27" s="7">
        <f>IF($V27="","",SUMIFS('Per Line'!$V$2:$V$1501,'Per Line'!$D$2:$D$1501,$B27,'Per Line'!$AM$2:$AM$1501,1,'Per Line'!$AN$2:$AN$1501,0))</f>
        <v/>
      </c>
      <c r="Q27" s="7">
        <f>IF($V27="","",P27*O27)</f>
        <v/>
      </c>
      <c r="R27" s="7">
        <f>IF($V27="","",Q27+N27)</f>
        <v/>
      </c>
      <c r="S27" s="7">
        <f>IF($V27="","",T27-R27)</f>
        <v/>
      </c>
      <c r="T27" s="7">
        <f>IF($V27="","",M27+P27+K27)</f>
        <v/>
      </c>
      <c r="U27" s="7">
        <f>IF($V27="","",T27-R27-J27)</f>
        <v/>
      </c>
      <c r="V27" s="13">
        <f>IF(ROWS($V$2:$V27)&lt;=MAX('Per Line'!$AL$2:$AL$1501),MATCH(ROWS($V$2:$V27),'Per Line'!$AL$2:$AL$1501,0),"")</f>
        <v/>
      </c>
    </row>
    <row r="28">
      <c r="A28" s="12" t="n"/>
      <c r="B28">
        <f>IF($V28="","",INDEX('Per Line'!$D$2:$D$1501,$V28)&amp;"")</f>
        <v/>
      </c>
      <c r="C28">
        <f>IF($V28="","",INDEX('Per Line'!$A$2:$A$1501,$V28))</f>
        <v/>
      </c>
      <c r="D28">
        <f>IF($V28="","",INDEX('Per Line'!$Z$2:$Z$1501,$V28)&amp;"")</f>
        <v/>
      </c>
      <c r="E28" s="11">
        <f>IF($V28="","",INDEX('Per Line'!$F$2:$F$1501,$V28))</f>
        <v/>
      </c>
      <c r="F28">
        <f>IF($V28="","",INDEX('Per Line'!$I$2:$I$1501,$V28)&amp;"")</f>
        <v/>
      </c>
      <c r="G28">
        <f>IF($V28="","",INDEX('Per Line'!$J$2:$J$1501,$V28)&amp;"")</f>
        <v/>
      </c>
      <c r="H28">
        <f>IF($V28="","",INDEX('Per Line'!$K$2:$K$1501,$V28)&amp;"")</f>
        <v/>
      </c>
      <c r="I28">
        <f>IF($V28="","",INDEX('Per Line'!$M$2:$M$1501,$V28))</f>
        <v/>
      </c>
      <c r="J28" s="7">
        <f>IF($V28="","",I28*T28/100)</f>
        <v/>
      </c>
      <c r="K28" s="7">
        <f>IF($V28="","",SUMIFS('Per Line'!$V$2:$V$1501,'Per Line'!$D$2:$D$1501,$B28,'Per Line'!$AN$2:$AN$1501,1))</f>
        <v/>
      </c>
      <c r="L28">
        <f>IF($V28="","",Settings!$C$7)</f>
        <v/>
      </c>
      <c r="M28" s="7">
        <f>IF($V28="","",SUMIFS('Per Line'!$V$2:$V$1501,'Per Line'!$D$2:$D$1501,$B28,'Per Line'!$AM$2:$AM$1501,0,'Per Line'!$AN$2:$AN$1501,0))</f>
        <v/>
      </c>
      <c r="N28" s="7">
        <f>IF($V28="","",M28*L28)</f>
        <v/>
      </c>
      <c r="O28">
        <f>IF($V28="","",Settings!$C$6)</f>
        <v/>
      </c>
      <c r="P28" s="7">
        <f>IF($V28="","",SUMIFS('Per Line'!$V$2:$V$1501,'Per Line'!$D$2:$D$1501,$B28,'Per Line'!$AM$2:$AM$1501,1,'Per Line'!$AN$2:$AN$1501,0))</f>
        <v/>
      </c>
      <c r="Q28" s="7">
        <f>IF($V28="","",P28*O28)</f>
        <v/>
      </c>
      <c r="R28" s="7">
        <f>IF($V28="","",Q28+N28)</f>
        <v/>
      </c>
      <c r="S28" s="7">
        <f>IF($V28="","",T28-R28)</f>
        <v/>
      </c>
      <c r="T28" s="7">
        <f>IF($V28="","",M28+P28+K28)</f>
        <v/>
      </c>
      <c r="U28" s="7">
        <f>IF($V28="","",T28-R28-J28)</f>
        <v/>
      </c>
      <c r="V28" s="13">
        <f>IF(ROWS($V$2:$V28)&lt;=MAX('Per Line'!$AL$2:$AL$1501),MATCH(ROWS($V$2:$V28),'Per Line'!$AL$2:$AL$1501,0),"")</f>
        <v/>
      </c>
    </row>
    <row r="29">
      <c r="A29" s="12" t="n"/>
      <c r="B29">
        <f>IF($V29="","",INDEX('Per Line'!$D$2:$D$1501,$V29)&amp;"")</f>
        <v/>
      </c>
      <c r="C29">
        <f>IF($V29="","",INDEX('Per Line'!$A$2:$A$1501,$V29))</f>
        <v/>
      </c>
      <c r="D29">
        <f>IF($V29="","",INDEX('Per Line'!$Z$2:$Z$1501,$V29)&amp;"")</f>
        <v/>
      </c>
      <c r="E29" s="11">
        <f>IF($V29="","",INDEX('Per Line'!$F$2:$F$1501,$V29))</f>
        <v/>
      </c>
      <c r="F29">
        <f>IF($V29="","",INDEX('Per Line'!$I$2:$I$1501,$V29)&amp;"")</f>
        <v/>
      </c>
      <c r="G29">
        <f>IF($V29="","",INDEX('Per Line'!$J$2:$J$1501,$V29)&amp;"")</f>
        <v/>
      </c>
      <c r="H29">
        <f>IF($V29="","",INDEX('Per Line'!$K$2:$K$1501,$V29)&amp;"")</f>
        <v/>
      </c>
      <c r="I29">
        <f>IF($V29="","",INDEX('Per Line'!$M$2:$M$1501,$V29))</f>
        <v/>
      </c>
      <c r="J29" s="7">
        <f>IF($V29="","",I29*T29/100)</f>
        <v/>
      </c>
      <c r="K29" s="7">
        <f>IF($V29="","",SUMIFS('Per Line'!$V$2:$V$1501,'Per Line'!$D$2:$D$1501,$B29,'Per Line'!$AN$2:$AN$1501,1))</f>
        <v/>
      </c>
      <c r="L29">
        <f>IF($V29="","",Settings!$C$7)</f>
        <v/>
      </c>
      <c r="M29" s="7">
        <f>IF($V29="","",SUMIFS('Per Line'!$V$2:$V$1501,'Per Line'!$D$2:$D$1501,$B29,'Per Line'!$AM$2:$AM$1501,0,'Per Line'!$AN$2:$AN$1501,0))</f>
        <v/>
      </c>
      <c r="N29" s="7">
        <f>IF($V29="","",M29*L29)</f>
        <v/>
      </c>
      <c r="O29">
        <f>IF($V29="","",Settings!$C$6)</f>
        <v/>
      </c>
      <c r="P29" s="7">
        <f>IF($V29="","",SUMIFS('Per Line'!$V$2:$V$1501,'Per Line'!$D$2:$D$1501,$B29,'Per Line'!$AM$2:$AM$1501,1,'Per Line'!$AN$2:$AN$1501,0))</f>
        <v/>
      </c>
      <c r="Q29" s="7">
        <f>IF($V29="","",P29*O29)</f>
        <v/>
      </c>
      <c r="R29" s="7">
        <f>IF($V29="","",Q29+N29)</f>
        <v/>
      </c>
      <c r="S29" s="7">
        <f>IF($V29="","",T29-R29)</f>
        <v/>
      </c>
      <c r="T29" s="7">
        <f>IF($V29="","",M29+P29+K29)</f>
        <v/>
      </c>
      <c r="U29" s="7">
        <f>IF($V29="","",T29-R29-J29)</f>
        <v/>
      </c>
      <c r="V29" s="13">
        <f>IF(ROWS($V$2:$V29)&lt;=MAX('Per Line'!$AL$2:$AL$1501),MATCH(ROWS($V$2:$V29),'Per Line'!$AL$2:$AL$1501,0),"")</f>
        <v/>
      </c>
    </row>
    <row r="30">
      <c r="A30" s="12" t="n"/>
      <c r="B30">
        <f>IF($V30="","",INDEX('Per Line'!$D$2:$D$1501,$V30)&amp;"")</f>
        <v/>
      </c>
      <c r="C30">
        <f>IF($V30="","",INDEX('Per Line'!$A$2:$A$1501,$V30))</f>
        <v/>
      </c>
      <c r="D30">
        <f>IF($V30="","",INDEX('Per Line'!$Z$2:$Z$1501,$V30)&amp;"")</f>
        <v/>
      </c>
      <c r="E30" s="11">
        <f>IF($V30="","",INDEX('Per Line'!$F$2:$F$1501,$V30))</f>
        <v/>
      </c>
      <c r="F30">
        <f>IF($V30="","",INDEX('Per Line'!$I$2:$I$1501,$V30)&amp;"")</f>
        <v/>
      </c>
      <c r="G30">
        <f>IF($V30="","",INDEX('Per Line'!$J$2:$J$1501,$V30)&amp;"")</f>
        <v/>
      </c>
      <c r="H30">
        <f>IF($V30="","",INDEX('Per Line'!$K$2:$K$1501,$V30)&amp;"")</f>
        <v/>
      </c>
      <c r="I30">
        <f>IF($V30="","",INDEX('Per Line'!$M$2:$M$1501,$V30))</f>
        <v/>
      </c>
      <c r="J30" s="7">
        <f>IF($V30="","",I30*T30/100)</f>
        <v/>
      </c>
      <c r="K30" s="7">
        <f>IF($V30="","",SUMIFS('Per Line'!$V$2:$V$1501,'Per Line'!$D$2:$D$1501,$B30,'Per Line'!$AN$2:$AN$1501,1))</f>
        <v/>
      </c>
      <c r="L30">
        <f>IF($V30="","",Settings!$C$7)</f>
        <v/>
      </c>
      <c r="M30" s="7">
        <f>IF($V30="","",SUMIFS('Per Line'!$V$2:$V$1501,'Per Line'!$D$2:$D$1501,$B30,'Per Line'!$AM$2:$AM$1501,0,'Per Line'!$AN$2:$AN$1501,0))</f>
        <v/>
      </c>
      <c r="N30" s="7">
        <f>IF($V30="","",M30*L30)</f>
        <v/>
      </c>
      <c r="O30">
        <f>IF($V30="","",Settings!$C$6)</f>
        <v/>
      </c>
      <c r="P30" s="7">
        <f>IF($V30="","",SUMIFS('Per Line'!$V$2:$V$1501,'Per Line'!$D$2:$D$1501,$B30,'Per Line'!$AM$2:$AM$1501,1,'Per Line'!$AN$2:$AN$1501,0))</f>
        <v/>
      </c>
      <c r="Q30" s="7">
        <f>IF($V30="","",P30*O30)</f>
        <v/>
      </c>
      <c r="R30" s="7">
        <f>IF($V30="","",Q30+N30)</f>
        <v/>
      </c>
      <c r="S30" s="7">
        <f>IF($V30="","",T30-R30)</f>
        <v/>
      </c>
      <c r="T30" s="7">
        <f>IF($V30="","",M30+P30+K30)</f>
        <v/>
      </c>
      <c r="U30" s="7">
        <f>IF($V30="","",T30-R30-J30)</f>
        <v/>
      </c>
      <c r="V30" s="13">
        <f>IF(ROWS($V$2:$V30)&lt;=MAX('Per Line'!$AL$2:$AL$1501),MATCH(ROWS($V$2:$V30),'Per Line'!$AL$2:$AL$1501,0),"")</f>
        <v/>
      </c>
    </row>
    <row r="31">
      <c r="A31" s="12" t="n"/>
      <c r="B31">
        <f>IF($V31="","",INDEX('Per Line'!$D$2:$D$1501,$V31)&amp;"")</f>
        <v/>
      </c>
      <c r="C31">
        <f>IF($V31="","",INDEX('Per Line'!$A$2:$A$1501,$V31))</f>
        <v/>
      </c>
      <c r="D31">
        <f>IF($V31="","",INDEX('Per Line'!$Z$2:$Z$1501,$V31)&amp;"")</f>
        <v/>
      </c>
      <c r="E31" s="11">
        <f>IF($V31="","",INDEX('Per Line'!$F$2:$F$1501,$V31))</f>
        <v/>
      </c>
      <c r="F31">
        <f>IF($V31="","",INDEX('Per Line'!$I$2:$I$1501,$V31)&amp;"")</f>
        <v/>
      </c>
      <c r="G31">
        <f>IF($V31="","",INDEX('Per Line'!$J$2:$J$1501,$V31)&amp;"")</f>
        <v/>
      </c>
      <c r="H31">
        <f>IF($V31="","",INDEX('Per Line'!$K$2:$K$1501,$V31)&amp;"")</f>
        <v/>
      </c>
      <c r="I31">
        <f>IF($V31="","",INDEX('Per Line'!$M$2:$M$1501,$V31))</f>
        <v/>
      </c>
      <c r="J31" s="7">
        <f>IF($V31="","",I31*T31/100)</f>
        <v/>
      </c>
      <c r="K31" s="7">
        <f>IF($V31="","",SUMIFS('Per Line'!$V$2:$V$1501,'Per Line'!$D$2:$D$1501,$B31,'Per Line'!$AN$2:$AN$1501,1))</f>
        <v/>
      </c>
      <c r="L31">
        <f>IF($V31="","",Settings!$C$7)</f>
        <v/>
      </c>
      <c r="M31" s="7">
        <f>IF($V31="","",SUMIFS('Per Line'!$V$2:$V$1501,'Per Line'!$D$2:$D$1501,$B31,'Per Line'!$AM$2:$AM$1501,0,'Per Line'!$AN$2:$AN$1501,0))</f>
        <v/>
      </c>
      <c r="N31" s="7">
        <f>IF($V31="","",M31*L31)</f>
        <v/>
      </c>
      <c r="O31">
        <f>IF($V31="","",Settings!$C$6)</f>
        <v/>
      </c>
      <c r="P31" s="7">
        <f>IF($V31="","",SUMIFS('Per Line'!$V$2:$V$1501,'Per Line'!$D$2:$D$1501,$B31,'Per Line'!$AM$2:$AM$1501,1,'Per Line'!$AN$2:$AN$1501,0))</f>
        <v/>
      </c>
      <c r="Q31" s="7">
        <f>IF($V31="","",P31*O31)</f>
        <v/>
      </c>
      <c r="R31" s="7">
        <f>IF($V31="","",Q31+N31)</f>
        <v/>
      </c>
      <c r="S31" s="7">
        <f>IF($V31="","",T31-R31)</f>
        <v/>
      </c>
      <c r="T31" s="7">
        <f>IF($V31="","",M31+P31+K31)</f>
        <v/>
      </c>
      <c r="U31" s="7">
        <f>IF($V31="","",T31-R31-J31)</f>
        <v/>
      </c>
      <c r="V31" s="13">
        <f>IF(ROWS($V$2:$V31)&lt;=MAX('Per Line'!$AL$2:$AL$1501),MATCH(ROWS($V$2:$V31),'Per Line'!$AL$2:$AL$1501,0),"")</f>
        <v/>
      </c>
    </row>
    <row r="32">
      <c r="A32" s="12" t="n"/>
      <c r="B32">
        <f>IF($V32="","",INDEX('Per Line'!$D$2:$D$1501,$V32)&amp;"")</f>
        <v/>
      </c>
      <c r="C32">
        <f>IF($V32="","",INDEX('Per Line'!$A$2:$A$1501,$V32))</f>
        <v/>
      </c>
      <c r="D32">
        <f>IF($V32="","",INDEX('Per Line'!$Z$2:$Z$1501,$V32)&amp;"")</f>
        <v/>
      </c>
      <c r="E32" s="11">
        <f>IF($V32="","",INDEX('Per Line'!$F$2:$F$1501,$V32))</f>
        <v/>
      </c>
      <c r="F32">
        <f>IF($V32="","",INDEX('Per Line'!$I$2:$I$1501,$V32)&amp;"")</f>
        <v/>
      </c>
      <c r="G32">
        <f>IF($V32="","",INDEX('Per Line'!$J$2:$J$1501,$V32)&amp;"")</f>
        <v/>
      </c>
      <c r="H32">
        <f>IF($V32="","",INDEX('Per Line'!$K$2:$K$1501,$V32)&amp;"")</f>
        <v/>
      </c>
      <c r="I32">
        <f>IF($V32="","",INDEX('Per Line'!$M$2:$M$1501,$V32))</f>
        <v/>
      </c>
      <c r="J32" s="7">
        <f>IF($V32="","",I32*T32/100)</f>
        <v/>
      </c>
      <c r="K32" s="7">
        <f>IF($V32="","",SUMIFS('Per Line'!$V$2:$V$1501,'Per Line'!$D$2:$D$1501,$B32,'Per Line'!$AN$2:$AN$1501,1))</f>
        <v/>
      </c>
      <c r="L32">
        <f>IF($V32="","",Settings!$C$7)</f>
        <v/>
      </c>
      <c r="M32" s="7">
        <f>IF($V32="","",SUMIFS('Per Line'!$V$2:$V$1501,'Per Line'!$D$2:$D$1501,$B32,'Per Line'!$AM$2:$AM$1501,0,'Per Line'!$AN$2:$AN$1501,0))</f>
        <v/>
      </c>
      <c r="N32" s="7">
        <f>IF($V32="","",M32*L32)</f>
        <v/>
      </c>
      <c r="O32">
        <f>IF($V32="","",Settings!$C$6)</f>
        <v/>
      </c>
      <c r="P32" s="7">
        <f>IF($V32="","",SUMIFS('Per Line'!$V$2:$V$1501,'Per Line'!$D$2:$D$1501,$B32,'Per Line'!$AM$2:$AM$1501,1,'Per Line'!$AN$2:$AN$1501,0))</f>
        <v/>
      </c>
      <c r="Q32" s="7">
        <f>IF($V32="","",P32*O32)</f>
        <v/>
      </c>
      <c r="R32" s="7">
        <f>IF($V32="","",Q32+N32)</f>
        <v/>
      </c>
      <c r="S32" s="7">
        <f>IF($V32="","",T32-R32)</f>
        <v/>
      </c>
      <c r="T32" s="7">
        <f>IF($V32="","",M32+P32+K32)</f>
        <v/>
      </c>
      <c r="U32" s="7">
        <f>IF($V32="","",T32-R32-J32)</f>
        <v/>
      </c>
      <c r="V32" s="13">
        <f>IF(ROWS($V$2:$V32)&lt;=MAX('Per Line'!$AL$2:$AL$1501),MATCH(ROWS($V$2:$V32),'Per Line'!$AL$2:$AL$1501,0),"")</f>
        <v/>
      </c>
    </row>
    <row r="33">
      <c r="A33" s="12" t="n"/>
      <c r="B33">
        <f>IF($V33="","",INDEX('Per Line'!$D$2:$D$1501,$V33)&amp;"")</f>
        <v/>
      </c>
      <c r="C33">
        <f>IF($V33="","",INDEX('Per Line'!$A$2:$A$1501,$V33))</f>
        <v/>
      </c>
      <c r="D33">
        <f>IF($V33="","",INDEX('Per Line'!$Z$2:$Z$1501,$V33)&amp;"")</f>
        <v/>
      </c>
      <c r="E33" s="11">
        <f>IF($V33="","",INDEX('Per Line'!$F$2:$F$1501,$V33))</f>
        <v/>
      </c>
      <c r="F33">
        <f>IF($V33="","",INDEX('Per Line'!$I$2:$I$1501,$V33)&amp;"")</f>
        <v/>
      </c>
      <c r="G33">
        <f>IF($V33="","",INDEX('Per Line'!$J$2:$J$1501,$V33)&amp;"")</f>
        <v/>
      </c>
      <c r="H33">
        <f>IF($V33="","",INDEX('Per Line'!$K$2:$K$1501,$V33)&amp;"")</f>
        <v/>
      </c>
      <c r="I33">
        <f>IF($V33="","",INDEX('Per Line'!$M$2:$M$1501,$V33))</f>
        <v/>
      </c>
      <c r="J33" s="7">
        <f>IF($V33="","",I33*T33/100)</f>
        <v/>
      </c>
      <c r="K33" s="7">
        <f>IF($V33="","",SUMIFS('Per Line'!$V$2:$V$1501,'Per Line'!$D$2:$D$1501,$B33,'Per Line'!$AN$2:$AN$1501,1))</f>
        <v/>
      </c>
      <c r="L33">
        <f>IF($V33="","",Settings!$C$7)</f>
        <v/>
      </c>
      <c r="M33" s="7">
        <f>IF($V33="","",SUMIFS('Per Line'!$V$2:$V$1501,'Per Line'!$D$2:$D$1501,$B33,'Per Line'!$AM$2:$AM$1501,0,'Per Line'!$AN$2:$AN$1501,0))</f>
        <v/>
      </c>
      <c r="N33" s="7">
        <f>IF($V33="","",M33*L33)</f>
        <v/>
      </c>
      <c r="O33">
        <f>IF($V33="","",Settings!$C$6)</f>
        <v/>
      </c>
      <c r="P33" s="7">
        <f>IF($V33="","",SUMIFS('Per Line'!$V$2:$V$1501,'Per Line'!$D$2:$D$1501,$B33,'Per Line'!$AM$2:$AM$1501,1,'Per Line'!$AN$2:$AN$1501,0))</f>
        <v/>
      </c>
      <c r="Q33" s="7">
        <f>IF($V33="","",P33*O33)</f>
        <v/>
      </c>
      <c r="R33" s="7">
        <f>IF($V33="","",Q33+N33)</f>
        <v/>
      </c>
      <c r="S33" s="7">
        <f>IF($V33="","",T33-R33)</f>
        <v/>
      </c>
      <c r="T33" s="7">
        <f>IF($V33="","",M33+P33+K33)</f>
        <v/>
      </c>
      <c r="U33" s="7">
        <f>IF($V33="","",T33-R33-J33)</f>
        <v/>
      </c>
      <c r="V33" s="13">
        <f>IF(ROWS($V$2:$V33)&lt;=MAX('Per Line'!$AL$2:$AL$1501),MATCH(ROWS($V$2:$V33),'Per Line'!$AL$2:$AL$1501,0),"")</f>
        <v/>
      </c>
    </row>
    <row r="34">
      <c r="A34" s="12" t="n"/>
      <c r="B34">
        <f>IF($V34="","",INDEX('Per Line'!$D$2:$D$1501,$V34)&amp;"")</f>
        <v/>
      </c>
      <c r="C34">
        <f>IF($V34="","",INDEX('Per Line'!$A$2:$A$1501,$V34))</f>
        <v/>
      </c>
      <c r="D34">
        <f>IF($V34="","",INDEX('Per Line'!$Z$2:$Z$1501,$V34)&amp;"")</f>
        <v/>
      </c>
      <c r="E34" s="11">
        <f>IF($V34="","",INDEX('Per Line'!$F$2:$F$1501,$V34))</f>
        <v/>
      </c>
      <c r="F34">
        <f>IF($V34="","",INDEX('Per Line'!$I$2:$I$1501,$V34)&amp;"")</f>
        <v/>
      </c>
      <c r="G34">
        <f>IF($V34="","",INDEX('Per Line'!$J$2:$J$1501,$V34)&amp;"")</f>
        <v/>
      </c>
      <c r="H34">
        <f>IF($V34="","",INDEX('Per Line'!$K$2:$K$1501,$V34)&amp;"")</f>
        <v/>
      </c>
      <c r="I34">
        <f>IF($V34="","",INDEX('Per Line'!$M$2:$M$1501,$V34))</f>
        <v/>
      </c>
      <c r="J34" s="7">
        <f>IF($V34="","",I34*T34/100)</f>
        <v/>
      </c>
      <c r="K34" s="7">
        <f>IF($V34="","",SUMIFS('Per Line'!$V$2:$V$1501,'Per Line'!$D$2:$D$1501,$B34,'Per Line'!$AN$2:$AN$1501,1))</f>
        <v/>
      </c>
      <c r="L34">
        <f>IF($V34="","",Settings!$C$7)</f>
        <v/>
      </c>
      <c r="M34" s="7">
        <f>IF($V34="","",SUMIFS('Per Line'!$V$2:$V$1501,'Per Line'!$D$2:$D$1501,$B34,'Per Line'!$AM$2:$AM$1501,0,'Per Line'!$AN$2:$AN$1501,0))</f>
        <v/>
      </c>
      <c r="N34" s="7">
        <f>IF($V34="","",M34*L34)</f>
        <v/>
      </c>
      <c r="O34">
        <f>IF($V34="","",Settings!$C$6)</f>
        <v/>
      </c>
      <c r="P34" s="7">
        <f>IF($V34="","",SUMIFS('Per Line'!$V$2:$V$1501,'Per Line'!$D$2:$D$1501,$B34,'Per Line'!$AM$2:$AM$1501,1,'Per Line'!$AN$2:$AN$1501,0))</f>
        <v/>
      </c>
      <c r="Q34" s="7">
        <f>IF($V34="","",P34*O34)</f>
        <v/>
      </c>
      <c r="R34" s="7">
        <f>IF($V34="","",Q34+N34)</f>
        <v/>
      </c>
      <c r="S34" s="7">
        <f>IF($V34="","",T34-R34)</f>
        <v/>
      </c>
      <c r="T34" s="7">
        <f>IF($V34="","",M34+P34+K34)</f>
        <v/>
      </c>
      <c r="U34" s="7">
        <f>IF($V34="","",T34-R34-J34)</f>
        <v/>
      </c>
      <c r="V34" s="13">
        <f>IF(ROWS($V$2:$V34)&lt;=MAX('Per Line'!$AL$2:$AL$1501),MATCH(ROWS($V$2:$V34),'Per Line'!$AL$2:$AL$1501,0),"")</f>
        <v/>
      </c>
    </row>
    <row r="35">
      <c r="A35" s="12" t="n"/>
      <c r="B35">
        <f>IF($V35="","",INDEX('Per Line'!$D$2:$D$1501,$V35)&amp;"")</f>
        <v/>
      </c>
      <c r="C35">
        <f>IF($V35="","",INDEX('Per Line'!$A$2:$A$1501,$V35))</f>
        <v/>
      </c>
      <c r="D35">
        <f>IF($V35="","",INDEX('Per Line'!$Z$2:$Z$1501,$V35)&amp;"")</f>
        <v/>
      </c>
      <c r="E35" s="11">
        <f>IF($V35="","",INDEX('Per Line'!$F$2:$F$1501,$V35))</f>
        <v/>
      </c>
      <c r="F35">
        <f>IF($V35="","",INDEX('Per Line'!$I$2:$I$1501,$V35)&amp;"")</f>
        <v/>
      </c>
      <c r="G35">
        <f>IF($V35="","",INDEX('Per Line'!$J$2:$J$1501,$V35)&amp;"")</f>
        <v/>
      </c>
      <c r="H35">
        <f>IF($V35="","",INDEX('Per Line'!$K$2:$K$1501,$V35)&amp;"")</f>
        <v/>
      </c>
      <c r="I35">
        <f>IF($V35="","",INDEX('Per Line'!$M$2:$M$1501,$V35))</f>
        <v/>
      </c>
      <c r="J35" s="7">
        <f>IF($V35="","",I35*T35/100)</f>
        <v/>
      </c>
      <c r="K35" s="7">
        <f>IF($V35="","",SUMIFS('Per Line'!$V$2:$V$1501,'Per Line'!$D$2:$D$1501,$B35,'Per Line'!$AN$2:$AN$1501,1))</f>
        <v/>
      </c>
      <c r="L35">
        <f>IF($V35="","",Settings!$C$7)</f>
        <v/>
      </c>
      <c r="M35" s="7">
        <f>IF($V35="","",SUMIFS('Per Line'!$V$2:$V$1501,'Per Line'!$D$2:$D$1501,$B35,'Per Line'!$AM$2:$AM$1501,0,'Per Line'!$AN$2:$AN$1501,0))</f>
        <v/>
      </c>
      <c r="N35" s="7">
        <f>IF($V35="","",M35*L35)</f>
        <v/>
      </c>
      <c r="O35">
        <f>IF($V35="","",Settings!$C$6)</f>
        <v/>
      </c>
      <c r="P35" s="7">
        <f>IF($V35="","",SUMIFS('Per Line'!$V$2:$V$1501,'Per Line'!$D$2:$D$1501,$B35,'Per Line'!$AM$2:$AM$1501,1,'Per Line'!$AN$2:$AN$1501,0))</f>
        <v/>
      </c>
      <c r="Q35" s="7">
        <f>IF($V35="","",P35*O35)</f>
        <v/>
      </c>
      <c r="R35" s="7">
        <f>IF($V35="","",Q35+N35)</f>
        <v/>
      </c>
      <c r="S35" s="7">
        <f>IF($V35="","",T35-R35)</f>
        <v/>
      </c>
      <c r="T35" s="7">
        <f>IF($V35="","",M35+P35+K35)</f>
        <v/>
      </c>
      <c r="U35" s="7">
        <f>IF($V35="","",T35-R35-J35)</f>
        <v/>
      </c>
      <c r="V35" s="13">
        <f>IF(ROWS($V$2:$V35)&lt;=MAX('Per Line'!$AL$2:$AL$1501),MATCH(ROWS($V$2:$V35),'Per Line'!$AL$2:$AL$1501,0),"")</f>
        <v/>
      </c>
    </row>
    <row r="36">
      <c r="A36" s="12" t="n"/>
      <c r="B36">
        <f>IF($V36="","",INDEX('Per Line'!$D$2:$D$1501,$V36)&amp;"")</f>
        <v/>
      </c>
      <c r="C36">
        <f>IF($V36="","",INDEX('Per Line'!$A$2:$A$1501,$V36))</f>
        <v/>
      </c>
      <c r="D36">
        <f>IF($V36="","",INDEX('Per Line'!$Z$2:$Z$1501,$V36)&amp;"")</f>
        <v/>
      </c>
      <c r="E36" s="11">
        <f>IF($V36="","",INDEX('Per Line'!$F$2:$F$1501,$V36))</f>
        <v/>
      </c>
      <c r="F36">
        <f>IF($V36="","",INDEX('Per Line'!$I$2:$I$1501,$V36)&amp;"")</f>
        <v/>
      </c>
      <c r="G36">
        <f>IF($V36="","",INDEX('Per Line'!$J$2:$J$1501,$V36)&amp;"")</f>
        <v/>
      </c>
      <c r="H36">
        <f>IF($V36="","",INDEX('Per Line'!$K$2:$K$1501,$V36)&amp;"")</f>
        <v/>
      </c>
      <c r="I36">
        <f>IF($V36="","",INDEX('Per Line'!$M$2:$M$1501,$V36))</f>
        <v/>
      </c>
      <c r="J36" s="7">
        <f>IF($V36="","",I36*T36/100)</f>
        <v/>
      </c>
      <c r="K36" s="7">
        <f>IF($V36="","",SUMIFS('Per Line'!$V$2:$V$1501,'Per Line'!$D$2:$D$1501,$B36,'Per Line'!$AN$2:$AN$1501,1))</f>
        <v/>
      </c>
      <c r="L36">
        <f>IF($V36="","",Settings!$C$7)</f>
        <v/>
      </c>
      <c r="M36" s="7">
        <f>IF($V36="","",SUMIFS('Per Line'!$V$2:$V$1501,'Per Line'!$D$2:$D$1501,$B36,'Per Line'!$AM$2:$AM$1501,0,'Per Line'!$AN$2:$AN$1501,0))</f>
        <v/>
      </c>
      <c r="N36" s="7">
        <f>IF($V36="","",M36*L36)</f>
        <v/>
      </c>
      <c r="O36">
        <f>IF($V36="","",Settings!$C$6)</f>
        <v/>
      </c>
      <c r="P36" s="7">
        <f>IF($V36="","",SUMIFS('Per Line'!$V$2:$V$1501,'Per Line'!$D$2:$D$1501,$B36,'Per Line'!$AM$2:$AM$1501,1,'Per Line'!$AN$2:$AN$1501,0))</f>
        <v/>
      </c>
      <c r="Q36" s="7">
        <f>IF($V36="","",P36*O36)</f>
        <v/>
      </c>
      <c r="R36" s="7">
        <f>IF($V36="","",Q36+N36)</f>
        <v/>
      </c>
      <c r="S36" s="7">
        <f>IF($V36="","",T36-R36)</f>
        <v/>
      </c>
      <c r="T36" s="7">
        <f>IF($V36="","",M36+P36+K36)</f>
        <v/>
      </c>
      <c r="U36" s="7">
        <f>IF($V36="","",T36-R36-J36)</f>
        <v/>
      </c>
      <c r="V36" s="13">
        <f>IF(ROWS($V$2:$V36)&lt;=MAX('Per Line'!$AL$2:$AL$1501),MATCH(ROWS($V$2:$V36),'Per Line'!$AL$2:$AL$1501,0),"")</f>
        <v/>
      </c>
    </row>
    <row r="37">
      <c r="A37" s="12" t="n"/>
      <c r="B37">
        <f>IF($V37="","",INDEX('Per Line'!$D$2:$D$1501,$V37)&amp;"")</f>
        <v/>
      </c>
      <c r="C37">
        <f>IF($V37="","",INDEX('Per Line'!$A$2:$A$1501,$V37))</f>
        <v/>
      </c>
      <c r="D37">
        <f>IF($V37="","",INDEX('Per Line'!$Z$2:$Z$1501,$V37)&amp;"")</f>
        <v/>
      </c>
      <c r="E37" s="11">
        <f>IF($V37="","",INDEX('Per Line'!$F$2:$F$1501,$V37))</f>
        <v/>
      </c>
      <c r="F37">
        <f>IF($V37="","",INDEX('Per Line'!$I$2:$I$1501,$V37)&amp;"")</f>
        <v/>
      </c>
      <c r="G37">
        <f>IF($V37="","",INDEX('Per Line'!$J$2:$J$1501,$V37)&amp;"")</f>
        <v/>
      </c>
      <c r="H37">
        <f>IF($V37="","",INDEX('Per Line'!$K$2:$K$1501,$V37)&amp;"")</f>
        <v/>
      </c>
      <c r="I37">
        <f>IF($V37="","",INDEX('Per Line'!$M$2:$M$1501,$V37))</f>
        <v/>
      </c>
      <c r="J37" s="7">
        <f>IF($V37="","",I37*T37/100)</f>
        <v/>
      </c>
      <c r="K37" s="7">
        <f>IF($V37="","",SUMIFS('Per Line'!$V$2:$V$1501,'Per Line'!$D$2:$D$1501,$B37,'Per Line'!$AN$2:$AN$1501,1))</f>
        <v/>
      </c>
      <c r="L37">
        <f>IF($V37="","",Settings!$C$7)</f>
        <v/>
      </c>
      <c r="M37" s="7">
        <f>IF($V37="","",SUMIFS('Per Line'!$V$2:$V$1501,'Per Line'!$D$2:$D$1501,$B37,'Per Line'!$AM$2:$AM$1501,0,'Per Line'!$AN$2:$AN$1501,0))</f>
        <v/>
      </c>
      <c r="N37" s="7">
        <f>IF($V37="","",M37*L37)</f>
        <v/>
      </c>
      <c r="O37">
        <f>IF($V37="","",Settings!$C$6)</f>
        <v/>
      </c>
      <c r="P37" s="7">
        <f>IF($V37="","",SUMIFS('Per Line'!$V$2:$V$1501,'Per Line'!$D$2:$D$1501,$B37,'Per Line'!$AM$2:$AM$1501,1,'Per Line'!$AN$2:$AN$1501,0))</f>
        <v/>
      </c>
      <c r="Q37" s="7">
        <f>IF($V37="","",P37*O37)</f>
        <v/>
      </c>
      <c r="R37" s="7">
        <f>IF($V37="","",Q37+N37)</f>
        <v/>
      </c>
      <c r="S37" s="7">
        <f>IF($V37="","",T37-R37)</f>
        <v/>
      </c>
      <c r="T37" s="7">
        <f>IF($V37="","",M37+P37+K37)</f>
        <v/>
      </c>
      <c r="U37" s="7">
        <f>IF($V37="","",T37-R37-J37)</f>
        <v/>
      </c>
      <c r="V37" s="13">
        <f>IF(ROWS($V$2:$V37)&lt;=MAX('Per Line'!$AL$2:$AL$1501),MATCH(ROWS($V$2:$V37),'Per Line'!$AL$2:$AL$1501,0),"")</f>
        <v/>
      </c>
    </row>
    <row r="38">
      <c r="A38" s="12" t="n"/>
      <c r="B38">
        <f>IF($V38="","",INDEX('Per Line'!$D$2:$D$1501,$V38)&amp;"")</f>
        <v/>
      </c>
      <c r="C38">
        <f>IF($V38="","",INDEX('Per Line'!$A$2:$A$1501,$V38))</f>
        <v/>
      </c>
      <c r="D38">
        <f>IF($V38="","",INDEX('Per Line'!$Z$2:$Z$1501,$V38)&amp;"")</f>
        <v/>
      </c>
      <c r="E38" s="11">
        <f>IF($V38="","",INDEX('Per Line'!$F$2:$F$1501,$V38))</f>
        <v/>
      </c>
      <c r="F38">
        <f>IF($V38="","",INDEX('Per Line'!$I$2:$I$1501,$V38)&amp;"")</f>
        <v/>
      </c>
      <c r="G38">
        <f>IF($V38="","",INDEX('Per Line'!$J$2:$J$1501,$V38)&amp;"")</f>
        <v/>
      </c>
      <c r="H38">
        <f>IF($V38="","",INDEX('Per Line'!$K$2:$K$1501,$V38)&amp;"")</f>
        <v/>
      </c>
      <c r="I38">
        <f>IF($V38="","",INDEX('Per Line'!$M$2:$M$1501,$V38))</f>
        <v/>
      </c>
      <c r="J38" s="7">
        <f>IF($V38="","",I38*T38/100)</f>
        <v/>
      </c>
      <c r="K38" s="7">
        <f>IF($V38="","",SUMIFS('Per Line'!$V$2:$V$1501,'Per Line'!$D$2:$D$1501,$B38,'Per Line'!$AN$2:$AN$1501,1))</f>
        <v/>
      </c>
      <c r="L38">
        <f>IF($V38="","",Settings!$C$7)</f>
        <v/>
      </c>
      <c r="M38" s="7">
        <f>IF($V38="","",SUMIFS('Per Line'!$V$2:$V$1501,'Per Line'!$D$2:$D$1501,$B38,'Per Line'!$AM$2:$AM$1501,0,'Per Line'!$AN$2:$AN$1501,0))</f>
        <v/>
      </c>
      <c r="N38" s="7">
        <f>IF($V38="","",M38*L38)</f>
        <v/>
      </c>
      <c r="O38">
        <f>IF($V38="","",Settings!$C$6)</f>
        <v/>
      </c>
      <c r="P38" s="7">
        <f>IF($V38="","",SUMIFS('Per Line'!$V$2:$V$1501,'Per Line'!$D$2:$D$1501,$B38,'Per Line'!$AM$2:$AM$1501,1,'Per Line'!$AN$2:$AN$1501,0))</f>
        <v/>
      </c>
      <c r="Q38" s="7">
        <f>IF($V38="","",P38*O38)</f>
        <v/>
      </c>
      <c r="R38" s="7">
        <f>IF($V38="","",Q38+N38)</f>
        <v/>
      </c>
      <c r="S38" s="7">
        <f>IF($V38="","",T38-R38)</f>
        <v/>
      </c>
      <c r="T38" s="7">
        <f>IF($V38="","",M38+P38+K38)</f>
        <v/>
      </c>
      <c r="U38" s="7">
        <f>IF($V38="","",T38-R38-J38)</f>
        <v/>
      </c>
      <c r="V38" s="13">
        <f>IF(ROWS($V$2:$V38)&lt;=MAX('Per Line'!$AL$2:$AL$1501),MATCH(ROWS($V$2:$V38),'Per Line'!$AL$2:$AL$1501,0),"")</f>
        <v/>
      </c>
    </row>
    <row r="39">
      <c r="A39" s="12" t="n"/>
      <c r="B39">
        <f>IF($V39="","",INDEX('Per Line'!$D$2:$D$1501,$V39)&amp;"")</f>
        <v/>
      </c>
      <c r="C39">
        <f>IF($V39="","",INDEX('Per Line'!$A$2:$A$1501,$V39))</f>
        <v/>
      </c>
      <c r="D39">
        <f>IF($V39="","",INDEX('Per Line'!$Z$2:$Z$1501,$V39)&amp;"")</f>
        <v/>
      </c>
      <c r="E39" s="11">
        <f>IF($V39="","",INDEX('Per Line'!$F$2:$F$1501,$V39))</f>
        <v/>
      </c>
      <c r="F39">
        <f>IF($V39="","",INDEX('Per Line'!$I$2:$I$1501,$V39)&amp;"")</f>
        <v/>
      </c>
      <c r="G39">
        <f>IF($V39="","",INDEX('Per Line'!$J$2:$J$1501,$V39)&amp;"")</f>
        <v/>
      </c>
      <c r="H39">
        <f>IF($V39="","",INDEX('Per Line'!$K$2:$K$1501,$V39)&amp;"")</f>
        <v/>
      </c>
      <c r="I39">
        <f>IF($V39="","",INDEX('Per Line'!$M$2:$M$1501,$V39))</f>
        <v/>
      </c>
      <c r="J39" s="7">
        <f>IF($V39="","",I39*T39/100)</f>
        <v/>
      </c>
      <c r="K39" s="7">
        <f>IF($V39="","",SUMIFS('Per Line'!$V$2:$V$1501,'Per Line'!$D$2:$D$1501,$B39,'Per Line'!$AN$2:$AN$1501,1))</f>
        <v/>
      </c>
      <c r="L39">
        <f>IF($V39="","",Settings!$C$7)</f>
        <v/>
      </c>
      <c r="M39" s="7">
        <f>IF($V39="","",SUMIFS('Per Line'!$V$2:$V$1501,'Per Line'!$D$2:$D$1501,$B39,'Per Line'!$AM$2:$AM$1501,0,'Per Line'!$AN$2:$AN$1501,0))</f>
        <v/>
      </c>
      <c r="N39" s="7">
        <f>IF($V39="","",M39*L39)</f>
        <v/>
      </c>
      <c r="O39">
        <f>IF($V39="","",Settings!$C$6)</f>
        <v/>
      </c>
      <c r="P39" s="7">
        <f>IF($V39="","",SUMIFS('Per Line'!$V$2:$V$1501,'Per Line'!$D$2:$D$1501,$B39,'Per Line'!$AM$2:$AM$1501,1,'Per Line'!$AN$2:$AN$1501,0))</f>
        <v/>
      </c>
      <c r="Q39" s="7">
        <f>IF($V39="","",P39*O39)</f>
        <v/>
      </c>
      <c r="R39" s="7">
        <f>IF($V39="","",Q39+N39)</f>
        <v/>
      </c>
      <c r="S39" s="7">
        <f>IF($V39="","",T39-R39)</f>
        <v/>
      </c>
      <c r="T39" s="7">
        <f>IF($V39="","",M39+P39+K39)</f>
        <v/>
      </c>
      <c r="U39" s="7">
        <f>IF($V39="","",T39-R39-J39)</f>
        <v/>
      </c>
      <c r="V39" s="13">
        <f>IF(ROWS($V$2:$V39)&lt;=MAX('Per Line'!$AL$2:$AL$1501),MATCH(ROWS($V$2:$V39),'Per Line'!$AL$2:$AL$1501,0),"")</f>
        <v/>
      </c>
    </row>
    <row r="40">
      <c r="A40" s="12" t="n"/>
      <c r="B40">
        <f>IF($V40="","",INDEX('Per Line'!$D$2:$D$1501,$V40)&amp;"")</f>
        <v/>
      </c>
      <c r="C40">
        <f>IF($V40="","",INDEX('Per Line'!$A$2:$A$1501,$V40))</f>
        <v/>
      </c>
      <c r="D40">
        <f>IF($V40="","",INDEX('Per Line'!$Z$2:$Z$1501,$V40)&amp;"")</f>
        <v/>
      </c>
      <c r="E40" s="11">
        <f>IF($V40="","",INDEX('Per Line'!$F$2:$F$1501,$V40))</f>
        <v/>
      </c>
      <c r="F40">
        <f>IF($V40="","",INDEX('Per Line'!$I$2:$I$1501,$V40)&amp;"")</f>
        <v/>
      </c>
      <c r="G40">
        <f>IF($V40="","",INDEX('Per Line'!$J$2:$J$1501,$V40)&amp;"")</f>
        <v/>
      </c>
      <c r="H40">
        <f>IF($V40="","",INDEX('Per Line'!$K$2:$K$1501,$V40)&amp;"")</f>
        <v/>
      </c>
      <c r="I40">
        <f>IF($V40="","",INDEX('Per Line'!$M$2:$M$1501,$V40))</f>
        <v/>
      </c>
      <c r="J40" s="7">
        <f>IF($V40="","",I40*T40/100)</f>
        <v/>
      </c>
      <c r="K40" s="7">
        <f>IF($V40="","",SUMIFS('Per Line'!$V$2:$V$1501,'Per Line'!$D$2:$D$1501,$B40,'Per Line'!$AN$2:$AN$1501,1))</f>
        <v/>
      </c>
      <c r="L40">
        <f>IF($V40="","",Settings!$C$7)</f>
        <v/>
      </c>
      <c r="M40" s="7">
        <f>IF($V40="","",SUMIFS('Per Line'!$V$2:$V$1501,'Per Line'!$D$2:$D$1501,$B40,'Per Line'!$AM$2:$AM$1501,0,'Per Line'!$AN$2:$AN$1501,0))</f>
        <v/>
      </c>
      <c r="N40" s="7">
        <f>IF($V40="","",M40*L40)</f>
        <v/>
      </c>
      <c r="O40">
        <f>IF($V40="","",Settings!$C$6)</f>
        <v/>
      </c>
      <c r="P40" s="7">
        <f>IF($V40="","",SUMIFS('Per Line'!$V$2:$V$1501,'Per Line'!$D$2:$D$1501,$B40,'Per Line'!$AM$2:$AM$1501,1,'Per Line'!$AN$2:$AN$1501,0))</f>
        <v/>
      </c>
      <c r="Q40" s="7">
        <f>IF($V40="","",P40*O40)</f>
        <v/>
      </c>
      <c r="R40" s="7">
        <f>IF($V40="","",Q40+N40)</f>
        <v/>
      </c>
      <c r="S40" s="7">
        <f>IF($V40="","",T40-R40)</f>
        <v/>
      </c>
      <c r="T40" s="7">
        <f>IF($V40="","",M40+P40+K40)</f>
        <v/>
      </c>
      <c r="U40" s="7">
        <f>IF($V40="","",T40-R40-J40)</f>
        <v/>
      </c>
      <c r="V40" s="13">
        <f>IF(ROWS($V$2:$V40)&lt;=MAX('Per Line'!$AL$2:$AL$1501),MATCH(ROWS($V$2:$V40),'Per Line'!$AL$2:$AL$1501,0),"")</f>
        <v/>
      </c>
    </row>
    <row r="41">
      <c r="A41" s="12" t="n"/>
      <c r="B41">
        <f>IF($V41="","",INDEX('Per Line'!$D$2:$D$1501,$V41)&amp;"")</f>
        <v/>
      </c>
      <c r="C41">
        <f>IF($V41="","",INDEX('Per Line'!$A$2:$A$1501,$V41))</f>
        <v/>
      </c>
      <c r="D41">
        <f>IF($V41="","",INDEX('Per Line'!$Z$2:$Z$1501,$V41)&amp;"")</f>
        <v/>
      </c>
      <c r="E41" s="11">
        <f>IF($V41="","",INDEX('Per Line'!$F$2:$F$1501,$V41))</f>
        <v/>
      </c>
      <c r="F41">
        <f>IF($V41="","",INDEX('Per Line'!$I$2:$I$1501,$V41)&amp;"")</f>
        <v/>
      </c>
      <c r="G41">
        <f>IF($V41="","",INDEX('Per Line'!$J$2:$J$1501,$V41)&amp;"")</f>
        <v/>
      </c>
      <c r="H41">
        <f>IF($V41="","",INDEX('Per Line'!$K$2:$K$1501,$V41)&amp;"")</f>
        <v/>
      </c>
      <c r="I41">
        <f>IF($V41="","",INDEX('Per Line'!$M$2:$M$1501,$V41))</f>
        <v/>
      </c>
      <c r="J41" s="7">
        <f>IF($V41="","",I41*T41/100)</f>
        <v/>
      </c>
      <c r="K41" s="7">
        <f>IF($V41="","",SUMIFS('Per Line'!$V$2:$V$1501,'Per Line'!$D$2:$D$1501,$B41,'Per Line'!$AN$2:$AN$1501,1))</f>
        <v/>
      </c>
      <c r="L41">
        <f>IF($V41="","",Settings!$C$7)</f>
        <v/>
      </c>
      <c r="M41" s="7">
        <f>IF($V41="","",SUMIFS('Per Line'!$V$2:$V$1501,'Per Line'!$D$2:$D$1501,$B41,'Per Line'!$AM$2:$AM$1501,0,'Per Line'!$AN$2:$AN$1501,0))</f>
        <v/>
      </c>
      <c r="N41" s="7">
        <f>IF($V41="","",M41*L41)</f>
        <v/>
      </c>
      <c r="O41">
        <f>IF($V41="","",Settings!$C$6)</f>
        <v/>
      </c>
      <c r="P41" s="7">
        <f>IF($V41="","",SUMIFS('Per Line'!$V$2:$V$1501,'Per Line'!$D$2:$D$1501,$B41,'Per Line'!$AM$2:$AM$1501,1,'Per Line'!$AN$2:$AN$1501,0))</f>
        <v/>
      </c>
      <c r="Q41" s="7">
        <f>IF($V41="","",P41*O41)</f>
        <v/>
      </c>
      <c r="R41" s="7">
        <f>IF($V41="","",Q41+N41)</f>
        <v/>
      </c>
      <c r="S41" s="7">
        <f>IF($V41="","",T41-R41)</f>
        <v/>
      </c>
      <c r="T41" s="7">
        <f>IF($V41="","",M41+P41+K41)</f>
        <v/>
      </c>
      <c r="U41" s="7">
        <f>IF($V41="","",T41-R41-J41)</f>
        <v/>
      </c>
      <c r="V41" s="13">
        <f>IF(ROWS($V$2:$V41)&lt;=MAX('Per Line'!$AL$2:$AL$1501),MATCH(ROWS($V$2:$V41),'Per Line'!$AL$2:$AL$1501,0),"")</f>
        <v/>
      </c>
    </row>
    <row r="42">
      <c r="A42" s="12" t="n"/>
      <c r="B42">
        <f>IF($V42="","",INDEX('Per Line'!$D$2:$D$1501,$V42)&amp;"")</f>
        <v/>
      </c>
      <c r="C42">
        <f>IF($V42="","",INDEX('Per Line'!$A$2:$A$1501,$V42))</f>
        <v/>
      </c>
      <c r="D42">
        <f>IF($V42="","",INDEX('Per Line'!$Z$2:$Z$1501,$V42)&amp;"")</f>
        <v/>
      </c>
      <c r="E42" s="11">
        <f>IF($V42="","",INDEX('Per Line'!$F$2:$F$1501,$V42))</f>
        <v/>
      </c>
      <c r="F42">
        <f>IF($V42="","",INDEX('Per Line'!$I$2:$I$1501,$V42)&amp;"")</f>
        <v/>
      </c>
      <c r="G42">
        <f>IF($V42="","",INDEX('Per Line'!$J$2:$J$1501,$V42)&amp;"")</f>
        <v/>
      </c>
      <c r="H42">
        <f>IF($V42="","",INDEX('Per Line'!$K$2:$K$1501,$V42)&amp;"")</f>
        <v/>
      </c>
      <c r="I42">
        <f>IF($V42="","",INDEX('Per Line'!$M$2:$M$1501,$V42))</f>
        <v/>
      </c>
      <c r="J42" s="7">
        <f>IF($V42="","",I42*T42/100)</f>
        <v/>
      </c>
      <c r="K42" s="7">
        <f>IF($V42="","",SUMIFS('Per Line'!$V$2:$V$1501,'Per Line'!$D$2:$D$1501,$B42,'Per Line'!$AN$2:$AN$1501,1))</f>
        <v/>
      </c>
      <c r="L42">
        <f>IF($V42="","",Settings!$C$7)</f>
        <v/>
      </c>
      <c r="M42" s="7">
        <f>IF($V42="","",SUMIFS('Per Line'!$V$2:$V$1501,'Per Line'!$D$2:$D$1501,$B42,'Per Line'!$AM$2:$AM$1501,0,'Per Line'!$AN$2:$AN$1501,0))</f>
        <v/>
      </c>
      <c r="N42" s="7">
        <f>IF($V42="","",M42*L42)</f>
        <v/>
      </c>
      <c r="O42">
        <f>IF($V42="","",Settings!$C$6)</f>
        <v/>
      </c>
      <c r="P42" s="7">
        <f>IF($V42="","",SUMIFS('Per Line'!$V$2:$V$1501,'Per Line'!$D$2:$D$1501,$B42,'Per Line'!$AM$2:$AM$1501,1,'Per Line'!$AN$2:$AN$1501,0))</f>
        <v/>
      </c>
      <c r="Q42" s="7">
        <f>IF($V42="","",P42*O42)</f>
        <v/>
      </c>
      <c r="R42" s="7">
        <f>IF($V42="","",Q42+N42)</f>
        <v/>
      </c>
      <c r="S42" s="7">
        <f>IF($V42="","",T42-R42)</f>
        <v/>
      </c>
      <c r="T42" s="7">
        <f>IF($V42="","",M42+P42+K42)</f>
        <v/>
      </c>
      <c r="U42" s="7">
        <f>IF($V42="","",T42-R42-J42)</f>
        <v/>
      </c>
      <c r="V42" s="13">
        <f>IF(ROWS($V$2:$V42)&lt;=MAX('Per Line'!$AL$2:$AL$1501),MATCH(ROWS($V$2:$V42),'Per Line'!$AL$2:$AL$1501,0),"")</f>
        <v/>
      </c>
    </row>
    <row r="43">
      <c r="A43" s="12" t="n"/>
      <c r="B43">
        <f>IF($V43="","",INDEX('Per Line'!$D$2:$D$1501,$V43)&amp;"")</f>
        <v/>
      </c>
      <c r="C43">
        <f>IF($V43="","",INDEX('Per Line'!$A$2:$A$1501,$V43))</f>
        <v/>
      </c>
      <c r="D43">
        <f>IF($V43="","",INDEX('Per Line'!$Z$2:$Z$1501,$V43)&amp;"")</f>
        <v/>
      </c>
      <c r="E43" s="11">
        <f>IF($V43="","",INDEX('Per Line'!$F$2:$F$1501,$V43))</f>
        <v/>
      </c>
      <c r="F43">
        <f>IF($V43="","",INDEX('Per Line'!$I$2:$I$1501,$V43)&amp;"")</f>
        <v/>
      </c>
      <c r="G43">
        <f>IF($V43="","",INDEX('Per Line'!$J$2:$J$1501,$V43)&amp;"")</f>
        <v/>
      </c>
      <c r="H43">
        <f>IF($V43="","",INDEX('Per Line'!$K$2:$K$1501,$V43)&amp;"")</f>
        <v/>
      </c>
      <c r="I43">
        <f>IF($V43="","",INDEX('Per Line'!$M$2:$M$1501,$V43))</f>
        <v/>
      </c>
      <c r="J43" s="7">
        <f>IF($V43="","",I43*T43/100)</f>
        <v/>
      </c>
      <c r="K43" s="7">
        <f>IF($V43="","",SUMIFS('Per Line'!$V$2:$V$1501,'Per Line'!$D$2:$D$1501,$B43,'Per Line'!$AN$2:$AN$1501,1))</f>
        <v/>
      </c>
      <c r="L43">
        <f>IF($V43="","",Settings!$C$7)</f>
        <v/>
      </c>
      <c r="M43" s="7">
        <f>IF($V43="","",SUMIFS('Per Line'!$V$2:$V$1501,'Per Line'!$D$2:$D$1501,$B43,'Per Line'!$AM$2:$AM$1501,0,'Per Line'!$AN$2:$AN$1501,0))</f>
        <v/>
      </c>
      <c r="N43" s="7">
        <f>IF($V43="","",M43*L43)</f>
        <v/>
      </c>
      <c r="O43">
        <f>IF($V43="","",Settings!$C$6)</f>
        <v/>
      </c>
      <c r="P43" s="7">
        <f>IF($V43="","",SUMIFS('Per Line'!$V$2:$V$1501,'Per Line'!$D$2:$D$1501,$B43,'Per Line'!$AM$2:$AM$1501,1,'Per Line'!$AN$2:$AN$1501,0))</f>
        <v/>
      </c>
      <c r="Q43" s="7">
        <f>IF($V43="","",P43*O43)</f>
        <v/>
      </c>
      <c r="R43" s="7">
        <f>IF($V43="","",Q43+N43)</f>
        <v/>
      </c>
      <c r="S43" s="7">
        <f>IF($V43="","",T43-R43)</f>
        <v/>
      </c>
      <c r="T43" s="7">
        <f>IF($V43="","",M43+P43+K43)</f>
        <v/>
      </c>
      <c r="U43" s="7">
        <f>IF($V43="","",T43-R43-J43)</f>
        <v/>
      </c>
      <c r="V43" s="13">
        <f>IF(ROWS($V$2:$V43)&lt;=MAX('Per Line'!$AL$2:$AL$1501),MATCH(ROWS($V$2:$V43),'Per Line'!$AL$2:$AL$1501,0),"")</f>
        <v/>
      </c>
    </row>
    <row r="44">
      <c r="A44" s="12" t="n"/>
      <c r="B44">
        <f>IF($V44="","",INDEX('Per Line'!$D$2:$D$1501,$V44)&amp;"")</f>
        <v/>
      </c>
      <c r="C44">
        <f>IF($V44="","",INDEX('Per Line'!$A$2:$A$1501,$V44))</f>
        <v/>
      </c>
      <c r="D44">
        <f>IF($V44="","",INDEX('Per Line'!$Z$2:$Z$1501,$V44)&amp;"")</f>
        <v/>
      </c>
      <c r="E44" s="11">
        <f>IF($V44="","",INDEX('Per Line'!$F$2:$F$1501,$V44))</f>
        <v/>
      </c>
      <c r="F44">
        <f>IF($V44="","",INDEX('Per Line'!$I$2:$I$1501,$V44)&amp;"")</f>
        <v/>
      </c>
      <c r="G44">
        <f>IF($V44="","",INDEX('Per Line'!$J$2:$J$1501,$V44)&amp;"")</f>
        <v/>
      </c>
      <c r="H44">
        <f>IF($V44="","",INDEX('Per Line'!$K$2:$K$1501,$V44)&amp;"")</f>
        <v/>
      </c>
      <c r="I44">
        <f>IF($V44="","",INDEX('Per Line'!$M$2:$M$1501,$V44))</f>
        <v/>
      </c>
      <c r="J44" s="7">
        <f>IF($V44="","",I44*T44/100)</f>
        <v/>
      </c>
      <c r="K44" s="7">
        <f>IF($V44="","",SUMIFS('Per Line'!$V$2:$V$1501,'Per Line'!$D$2:$D$1501,$B44,'Per Line'!$AN$2:$AN$1501,1))</f>
        <v/>
      </c>
      <c r="L44">
        <f>IF($V44="","",Settings!$C$7)</f>
        <v/>
      </c>
      <c r="M44" s="7">
        <f>IF($V44="","",SUMIFS('Per Line'!$V$2:$V$1501,'Per Line'!$D$2:$D$1501,$B44,'Per Line'!$AM$2:$AM$1501,0,'Per Line'!$AN$2:$AN$1501,0))</f>
        <v/>
      </c>
      <c r="N44" s="7">
        <f>IF($V44="","",M44*L44)</f>
        <v/>
      </c>
      <c r="O44">
        <f>IF($V44="","",Settings!$C$6)</f>
        <v/>
      </c>
      <c r="P44" s="7">
        <f>IF($V44="","",SUMIFS('Per Line'!$V$2:$V$1501,'Per Line'!$D$2:$D$1501,$B44,'Per Line'!$AM$2:$AM$1501,1,'Per Line'!$AN$2:$AN$1501,0))</f>
        <v/>
      </c>
      <c r="Q44" s="7">
        <f>IF($V44="","",P44*O44)</f>
        <v/>
      </c>
      <c r="R44" s="7">
        <f>IF($V44="","",Q44+N44)</f>
        <v/>
      </c>
      <c r="S44" s="7">
        <f>IF($V44="","",T44-R44)</f>
        <v/>
      </c>
      <c r="T44" s="7">
        <f>IF($V44="","",M44+P44+K44)</f>
        <v/>
      </c>
      <c r="U44" s="7">
        <f>IF($V44="","",T44-R44-J44)</f>
        <v/>
      </c>
      <c r="V44" s="13">
        <f>IF(ROWS($V$2:$V44)&lt;=MAX('Per Line'!$AL$2:$AL$1501),MATCH(ROWS($V$2:$V44),'Per Line'!$AL$2:$AL$1501,0),"")</f>
        <v/>
      </c>
    </row>
    <row r="45">
      <c r="A45" s="12" t="n"/>
      <c r="B45">
        <f>IF($V45="","",INDEX('Per Line'!$D$2:$D$1501,$V45)&amp;"")</f>
        <v/>
      </c>
      <c r="C45">
        <f>IF($V45="","",INDEX('Per Line'!$A$2:$A$1501,$V45))</f>
        <v/>
      </c>
      <c r="D45">
        <f>IF($V45="","",INDEX('Per Line'!$Z$2:$Z$1501,$V45)&amp;"")</f>
        <v/>
      </c>
      <c r="E45" s="11">
        <f>IF($V45="","",INDEX('Per Line'!$F$2:$F$1501,$V45))</f>
        <v/>
      </c>
      <c r="F45">
        <f>IF($V45="","",INDEX('Per Line'!$I$2:$I$1501,$V45)&amp;"")</f>
        <v/>
      </c>
      <c r="G45">
        <f>IF($V45="","",INDEX('Per Line'!$J$2:$J$1501,$V45)&amp;"")</f>
        <v/>
      </c>
      <c r="H45">
        <f>IF($V45="","",INDEX('Per Line'!$K$2:$K$1501,$V45)&amp;"")</f>
        <v/>
      </c>
      <c r="I45">
        <f>IF($V45="","",INDEX('Per Line'!$M$2:$M$1501,$V45))</f>
        <v/>
      </c>
      <c r="J45" s="7">
        <f>IF($V45="","",I45*T45/100)</f>
        <v/>
      </c>
      <c r="K45" s="7">
        <f>IF($V45="","",SUMIFS('Per Line'!$V$2:$V$1501,'Per Line'!$D$2:$D$1501,$B45,'Per Line'!$AN$2:$AN$1501,1))</f>
        <v/>
      </c>
      <c r="L45">
        <f>IF($V45="","",Settings!$C$7)</f>
        <v/>
      </c>
      <c r="M45" s="7">
        <f>IF($V45="","",SUMIFS('Per Line'!$V$2:$V$1501,'Per Line'!$D$2:$D$1501,$B45,'Per Line'!$AM$2:$AM$1501,0,'Per Line'!$AN$2:$AN$1501,0))</f>
        <v/>
      </c>
      <c r="N45" s="7">
        <f>IF($V45="","",M45*L45)</f>
        <v/>
      </c>
      <c r="O45">
        <f>IF($V45="","",Settings!$C$6)</f>
        <v/>
      </c>
      <c r="P45" s="7">
        <f>IF($V45="","",SUMIFS('Per Line'!$V$2:$V$1501,'Per Line'!$D$2:$D$1501,$B45,'Per Line'!$AM$2:$AM$1501,1,'Per Line'!$AN$2:$AN$1501,0))</f>
        <v/>
      </c>
      <c r="Q45" s="7">
        <f>IF($V45="","",P45*O45)</f>
        <v/>
      </c>
      <c r="R45" s="7">
        <f>IF($V45="","",Q45+N45)</f>
        <v/>
      </c>
      <c r="S45" s="7">
        <f>IF($V45="","",T45-R45)</f>
        <v/>
      </c>
      <c r="T45" s="7">
        <f>IF($V45="","",M45+P45+K45)</f>
        <v/>
      </c>
      <c r="U45" s="7">
        <f>IF($V45="","",T45-R45-J45)</f>
        <v/>
      </c>
      <c r="V45" s="13">
        <f>IF(ROWS($V$2:$V45)&lt;=MAX('Per Line'!$AL$2:$AL$1501),MATCH(ROWS($V$2:$V45),'Per Line'!$AL$2:$AL$1501,0),"")</f>
        <v/>
      </c>
    </row>
    <row r="46">
      <c r="A46" s="12" t="n"/>
      <c r="B46">
        <f>IF($V46="","",INDEX('Per Line'!$D$2:$D$1501,$V46)&amp;"")</f>
        <v/>
      </c>
      <c r="C46">
        <f>IF($V46="","",INDEX('Per Line'!$A$2:$A$1501,$V46))</f>
        <v/>
      </c>
      <c r="D46">
        <f>IF($V46="","",INDEX('Per Line'!$Z$2:$Z$1501,$V46)&amp;"")</f>
        <v/>
      </c>
      <c r="E46" s="11">
        <f>IF($V46="","",INDEX('Per Line'!$F$2:$F$1501,$V46))</f>
        <v/>
      </c>
      <c r="F46">
        <f>IF($V46="","",INDEX('Per Line'!$I$2:$I$1501,$V46)&amp;"")</f>
        <v/>
      </c>
      <c r="G46">
        <f>IF($V46="","",INDEX('Per Line'!$J$2:$J$1501,$V46)&amp;"")</f>
        <v/>
      </c>
      <c r="H46">
        <f>IF($V46="","",INDEX('Per Line'!$K$2:$K$1501,$V46)&amp;"")</f>
        <v/>
      </c>
      <c r="I46">
        <f>IF($V46="","",INDEX('Per Line'!$M$2:$M$1501,$V46))</f>
        <v/>
      </c>
      <c r="J46" s="7">
        <f>IF($V46="","",I46*T46/100)</f>
        <v/>
      </c>
      <c r="K46" s="7">
        <f>IF($V46="","",SUMIFS('Per Line'!$V$2:$V$1501,'Per Line'!$D$2:$D$1501,$B46,'Per Line'!$AN$2:$AN$1501,1))</f>
        <v/>
      </c>
      <c r="L46">
        <f>IF($V46="","",Settings!$C$7)</f>
        <v/>
      </c>
      <c r="M46" s="7">
        <f>IF($V46="","",SUMIFS('Per Line'!$V$2:$V$1501,'Per Line'!$D$2:$D$1501,$B46,'Per Line'!$AM$2:$AM$1501,0,'Per Line'!$AN$2:$AN$1501,0))</f>
        <v/>
      </c>
      <c r="N46" s="7">
        <f>IF($V46="","",M46*L46)</f>
        <v/>
      </c>
      <c r="O46">
        <f>IF($V46="","",Settings!$C$6)</f>
        <v/>
      </c>
      <c r="P46" s="7">
        <f>IF($V46="","",SUMIFS('Per Line'!$V$2:$V$1501,'Per Line'!$D$2:$D$1501,$B46,'Per Line'!$AM$2:$AM$1501,1,'Per Line'!$AN$2:$AN$1501,0))</f>
        <v/>
      </c>
      <c r="Q46" s="7">
        <f>IF($V46="","",P46*O46)</f>
        <v/>
      </c>
      <c r="R46" s="7">
        <f>IF($V46="","",Q46+N46)</f>
        <v/>
      </c>
      <c r="S46" s="7">
        <f>IF($V46="","",T46-R46)</f>
        <v/>
      </c>
      <c r="T46" s="7">
        <f>IF($V46="","",M46+P46+K46)</f>
        <v/>
      </c>
      <c r="U46" s="7">
        <f>IF($V46="","",T46-R46-J46)</f>
        <v/>
      </c>
      <c r="V46" s="13">
        <f>IF(ROWS($V$2:$V46)&lt;=MAX('Per Line'!$AL$2:$AL$1501),MATCH(ROWS($V$2:$V46),'Per Line'!$AL$2:$AL$1501,0),"")</f>
        <v/>
      </c>
    </row>
    <row r="47">
      <c r="A47" s="12" t="n"/>
      <c r="B47">
        <f>IF($V47="","",INDEX('Per Line'!$D$2:$D$1501,$V47)&amp;"")</f>
        <v/>
      </c>
      <c r="C47">
        <f>IF($V47="","",INDEX('Per Line'!$A$2:$A$1501,$V47))</f>
        <v/>
      </c>
      <c r="D47">
        <f>IF($V47="","",INDEX('Per Line'!$Z$2:$Z$1501,$V47)&amp;"")</f>
        <v/>
      </c>
      <c r="E47" s="11">
        <f>IF($V47="","",INDEX('Per Line'!$F$2:$F$1501,$V47))</f>
        <v/>
      </c>
      <c r="F47">
        <f>IF($V47="","",INDEX('Per Line'!$I$2:$I$1501,$V47)&amp;"")</f>
        <v/>
      </c>
      <c r="G47">
        <f>IF($V47="","",INDEX('Per Line'!$J$2:$J$1501,$V47)&amp;"")</f>
        <v/>
      </c>
      <c r="H47">
        <f>IF($V47="","",INDEX('Per Line'!$K$2:$K$1501,$V47)&amp;"")</f>
        <v/>
      </c>
      <c r="I47">
        <f>IF($V47="","",INDEX('Per Line'!$M$2:$M$1501,$V47))</f>
        <v/>
      </c>
      <c r="J47" s="7">
        <f>IF($V47="","",I47*T47/100)</f>
        <v/>
      </c>
      <c r="K47" s="7">
        <f>IF($V47="","",SUMIFS('Per Line'!$V$2:$V$1501,'Per Line'!$D$2:$D$1501,$B47,'Per Line'!$AN$2:$AN$1501,1))</f>
        <v/>
      </c>
      <c r="L47">
        <f>IF($V47="","",Settings!$C$7)</f>
        <v/>
      </c>
      <c r="M47" s="7">
        <f>IF($V47="","",SUMIFS('Per Line'!$V$2:$V$1501,'Per Line'!$D$2:$D$1501,$B47,'Per Line'!$AM$2:$AM$1501,0,'Per Line'!$AN$2:$AN$1501,0))</f>
        <v/>
      </c>
      <c r="N47" s="7">
        <f>IF($V47="","",M47*L47)</f>
        <v/>
      </c>
      <c r="O47">
        <f>IF($V47="","",Settings!$C$6)</f>
        <v/>
      </c>
      <c r="P47" s="7">
        <f>IF($V47="","",SUMIFS('Per Line'!$V$2:$V$1501,'Per Line'!$D$2:$D$1501,$B47,'Per Line'!$AM$2:$AM$1501,1,'Per Line'!$AN$2:$AN$1501,0))</f>
        <v/>
      </c>
      <c r="Q47" s="7">
        <f>IF($V47="","",P47*O47)</f>
        <v/>
      </c>
      <c r="R47" s="7">
        <f>IF($V47="","",Q47+N47)</f>
        <v/>
      </c>
      <c r="S47" s="7">
        <f>IF($V47="","",T47-R47)</f>
        <v/>
      </c>
      <c r="T47" s="7">
        <f>IF($V47="","",M47+P47+K47)</f>
        <v/>
      </c>
      <c r="U47" s="7">
        <f>IF($V47="","",T47-R47-J47)</f>
        <v/>
      </c>
      <c r="V47" s="13">
        <f>IF(ROWS($V$2:$V47)&lt;=MAX('Per Line'!$AL$2:$AL$1501),MATCH(ROWS($V$2:$V47),'Per Line'!$AL$2:$AL$1501,0),"")</f>
        <v/>
      </c>
    </row>
    <row r="48">
      <c r="A48" s="12" t="n"/>
      <c r="B48">
        <f>IF($V48="","",INDEX('Per Line'!$D$2:$D$1501,$V48)&amp;"")</f>
        <v/>
      </c>
      <c r="C48">
        <f>IF($V48="","",INDEX('Per Line'!$A$2:$A$1501,$V48))</f>
        <v/>
      </c>
      <c r="D48">
        <f>IF($V48="","",INDEX('Per Line'!$Z$2:$Z$1501,$V48)&amp;"")</f>
        <v/>
      </c>
      <c r="E48" s="11">
        <f>IF($V48="","",INDEX('Per Line'!$F$2:$F$1501,$V48))</f>
        <v/>
      </c>
      <c r="F48">
        <f>IF($V48="","",INDEX('Per Line'!$I$2:$I$1501,$V48)&amp;"")</f>
        <v/>
      </c>
      <c r="G48">
        <f>IF($V48="","",INDEX('Per Line'!$J$2:$J$1501,$V48)&amp;"")</f>
        <v/>
      </c>
      <c r="H48">
        <f>IF($V48="","",INDEX('Per Line'!$K$2:$K$1501,$V48)&amp;"")</f>
        <v/>
      </c>
      <c r="I48">
        <f>IF($V48="","",INDEX('Per Line'!$M$2:$M$1501,$V48))</f>
        <v/>
      </c>
      <c r="J48" s="7">
        <f>IF($V48="","",I48*T48/100)</f>
        <v/>
      </c>
      <c r="K48" s="7">
        <f>IF($V48="","",SUMIFS('Per Line'!$V$2:$V$1501,'Per Line'!$D$2:$D$1501,$B48,'Per Line'!$AN$2:$AN$1501,1))</f>
        <v/>
      </c>
      <c r="L48">
        <f>IF($V48="","",Settings!$C$7)</f>
        <v/>
      </c>
      <c r="M48" s="7">
        <f>IF($V48="","",SUMIFS('Per Line'!$V$2:$V$1501,'Per Line'!$D$2:$D$1501,$B48,'Per Line'!$AM$2:$AM$1501,0,'Per Line'!$AN$2:$AN$1501,0))</f>
        <v/>
      </c>
      <c r="N48" s="7">
        <f>IF($V48="","",M48*L48)</f>
        <v/>
      </c>
      <c r="O48">
        <f>IF($V48="","",Settings!$C$6)</f>
        <v/>
      </c>
      <c r="P48" s="7">
        <f>IF($V48="","",SUMIFS('Per Line'!$V$2:$V$1501,'Per Line'!$D$2:$D$1501,$B48,'Per Line'!$AM$2:$AM$1501,1,'Per Line'!$AN$2:$AN$1501,0))</f>
        <v/>
      </c>
      <c r="Q48" s="7">
        <f>IF($V48="","",P48*O48)</f>
        <v/>
      </c>
      <c r="R48" s="7">
        <f>IF($V48="","",Q48+N48)</f>
        <v/>
      </c>
      <c r="S48" s="7">
        <f>IF($V48="","",T48-R48)</f>
        <v/>
      </c>
      <c r="T48" s="7">
        <f>IF($V48="","",M48+P48+K48)</f>
        <v/>
      </c>
      <c r="U48" s="7">
        <f>IF($V48="","",T48-R48-J48)</f>
        <v/>
      </c>
      <c r="V48" s="13">
        <f>IF(ROWS($V$2:$V48)&lt;=MAX('Per Line'!$AL$2:$AL$1501),MATCH(ROWS($V$2:$V48),'Per Line'!$AL$2:$AL$1501,0),"")</f>
        <v/>
      </c>
    </row>
    <row r="49">
      <c r="A49" s="12" t="n"/>
      <c r="B49">
        <f>IF($V49="","",INDEX('Per Line'!$D$2:$D$1501,$V49)&amp;"")</f>
        <v/>
      </c>
      <c r="C49">
        <f>IF($V49="","",INDEX('Per Line'!$A$2:$A$1501,$V49))</f>
        <v/>
      </c>
      <c r="D49">
        <f>IF($V49="","",INDEX('Per Line'!$Z$2:$Z$1501,$V49)&amp;"")</f>
        <v/>
      </c>
      <c r="E49" s="11">
        <f>IF($V49="","",INDEX('Per Line'!$F$2:$F$1501,$V49))</f>
        <v/>
      </c>
      <c r="F49">
        <f>IF($V49="","",INDEX('Per Line'!$I$2:$I$1501,$V49)&amp;"")</f>
        <v/>
      </c>
      <c r="G49">
        <f>IF($V49="","",INDEX('Per Line'!$J$2:$J$1501,$V49)&amp;"")</f>
        <v/>
      </c>
      <c r="H49">
        <f>IF($V49="","",INDEX('Per Line'!$K$2:$K$1501,$V49)&amp;"")</f>
        <v/>
      </c>
      <c r="I49">
        <f>IF($V49="","",INDEX('Per Line'!$M$2:$M$1501,$V49))</f>
        <v/>
      </c>
      <c r="J49" s="7">
        <f>IF($V49="","",I49*T49/100)</f>
        <v/>
      </c>
      <c r="K49" s="7">
        <f>IF($V49="","",SUMIFS('Per Line'!$V$2:$V$1501,'Per Line'!$D$2:$D$1501,$B49,'Per Line'!$AN$2:$AN$1501,1))</f>
        <v/>
      </c>
      <c r="L49">
        <f>IF($V49="","",Settings!$C$7)</f>
        <v/>
      </c>
      <c r="M49" s="7">
        <f>IF($V49="","",SUMIFS('Per Line'!$V$2:$V$1501,'Per Line'!$D$2:$D$1501,$B49,'Per Line'!$AM$2:$AM$1501,0,'Per Line'!$AN$2:$AN$1501,0))</f>
        <v/>
      </c>
      <c r="N49" s="7">
        <f>IF($V49="","",M49*L49)</f>
        <v/>
      </c>
      <c r="O49">
        <f>IF($V49="","",Settings!$C$6)</f>
        <v/>
      </c>
      <c r="P49" s="7">
        <f>IF($V49="","",SUMIFS('Per Line'!$V$2:$V$1501,'Per Line'!$D$2:$D$1501,$B49,'Per Line'!$AM$2:$AM$1501,1,'Per Line'!$AN$2:$AN$1501,0))</f>
        <v/>
      </c>
      <c r="Q49" s="7">
        <f>IF($V49="","",P49*O49)</f>
        <v/>
      </c>
      <c r="R49" s="7">
        <f>IF($V49="","",Q49+N49)</f>
        <v/>
      </c>
      <c r="S49" s="7">
        <f>IF($V49="","",T49-R49)</f>
        <v/>
      </c>
      <c r="T49" s="7">
        <f>IF($V49="","",M49+P49+K49)</f>
        <v/>
      </c>
      <c r="U49" s="7">
        <f>IF($V49="","",T49-R49-J49)</f>
        <v/>
      </c>
      <c r="V49" s="13">
        <f>IF(ROWS($V$2:$V49)&lt;=MAX('Per Line'!$AL$2:$AL$1501),MATCH(ROWS($V$2:$V49),'Per Line'!$AL$2:$AL$1501,0),"")</f>
        <v/>
      </c>
    </row>
    <row r="50">
      <c r="A50" s="12" t="n"/>
      <c r="B50">
        <f>IF($V50="","",INDEX('Per Line'!$D$2:$D$1501,$V50)&amp;"")</f>
        <v/>
      </c>
      <c r="C50">
        <f>IF($V50="","",INDEX('Per Line'!$A$2:$A$1501,$V50))</f>
        <v/>
      </c>
      <c r="D50">
        <f>IF($V50="","",INDEX('Per Line'!$Z$2:$Z$1501,$V50)&amp;"")</f>
        <v/>
      </c>
      <c r="E50" s="11">
        <f>IF($V50="","",INDEX('Per Line'!$F$2:$F$1501,$V50))</f>
        <v/>
      </c>
      <c r="F50">
        <f>IF($V50="","",INDEX('Per Line'!$I$2:$I$1501,$V50)&amp;"")</f>
        <v/>
      </c>
      <c r="G50">
        <f>IF($V50="","",INDEX('Per Line'!$J$2:$J$1501,$V50)&amp;"")</f>
        <v/>
      </c>
      <c r="H50">
        <f>IF($V50="","",INDEX('Per Line'!$K$2:$K$1501,$V50)&amp;"")</f>
        <v/>
      </c>
      <c r="I50">
        <f>IF($V50="","",INDEX('Per Line'!$M$2:$M$1501,$V50))</f>
        <v/>
      </c>
      <c r="J50" s="7">
        <f>IF($V50="","",I50*T50/100)</f>
        <v/>
      </c>
      <c r="K50" s="7">
        <f>IF($V50="","",SUMIFS('Per Line'!$V$2:$V$1501,'Per Line'!$D$2:$D$1501,$B50,'Per Line'!$AN$2:$AN$1501,1))</f>
        <v/>
      </c>
      <c r="L50">
        <f>IF($V50="","",Settings!$C$7)</f>
        <v/>
      </c>
      <c r="M50" s="7">
        <f>IF($V50="","",SUMIFS('Per Line'!$V$2:$V$1501,'Per Line'!$D$2:$D$1501,$B50,'Per Line'!$AM$2:$AM$1501,0,'Per Line'!$AN$2:$AN$1501,0))</f>
        <v/>
      </c>
      <c r="N50" s="7">
        <f>IF($V50="","",M50*L50)</f>
        <v/>
      </c>
      <c r="O50">
        <f>IF($V50="","",Settings!$C$6)</f>
        <v/>
      </c>
      <c r="P50" s="7">
        <f>IF($V50="","",SUMIFS('Per Line'!$V$2:$V$1501,'Per Line'!$D$2:$D$1501,$B50,'Per Line'!$AM$2:$AM$1501,1,'Per Line'!$AN$2:$AN$1501,0))</f>
        <v/>
      </c>
      <c r="Q50" s="7">
        <f>IF($V50="","",P50*O50)</f>
        <v/>
      </c>
      <c r="R50" s="7">
        <f>IF($V50="","",Q50+N50)</f>
        <v/>
      </c>
      <c r="S50" s="7">
        <f>IF($V50="","",T50-R50)</f>
        <v/>
      </c>
      <c r="T50" s="7">
        <f>IF($V50="","",M50+P50+K50)</f>
        <v/>
      </c>
      <c r="U50" s="7">
        <f>IF($V50="","",T50-R50-J50)</f>
        <v/>
      </c>
      <c r="V50" s="13">
        <f>IF(ROWS($V$2:$V50)&lt;=MAX('Per Line'!$AL$2:$AL$1501),MATCH(ROWS($V$2:$V50),'Per Line'!$AL$2:$AL$1501,0),"")</f>
        <v/>
      </c>
    </row>
    <row r="51">
      <c r="A51" s="12" t="n"/>
      <c r="B51">
        <f>IF($V51="","",INDEX('Per Line'!$D$2:$D$1501,$V51)&amp;"")</f>
        <v/>
      </c>
      <c r="C51">
        <f>IF($V51="","",INDEX('Per Line'!$A$2:$A$1501,$V51))</f>
        <v/>
      </c>
      <c r="D51">
        <f>IF($V51="","",INDEX('Per Line'!$Z$2:$Z$1501,$V51)&amp;"")</f>
        <v/>
      </c>
      <c r="E51" s="11">
        <f>IF($V51="","",INDEX('Per Line'!$F$2:$F$1501,$V51))</f>
        <v/>
      </c>
      <c r="F51">
        <f>IF($V51="","",INDEX('Per Line'!$I$2:$I$1501,$V51)&amp;"")</f>
        <v/>
      </c>
      <c r="G51">
        <f>IF($V51="","",INDEX('Per Line'!$J$2:$J$1501,$V51)&amp;"")</f>
        <v/>
      </c>
      <c r="H51">
        <f>IF($V51="","",INDEX('Per Line'!$K$2:$K$1501,$V51)&amp;"")</f>
        <v/>
      </c>
      <c r="I51">
        <f>IF($V51="","",INDEX('Per Line'!$M$2:$M$1501,$V51))</f>
        <v/>
      </c>
      <c r="J51" s="7">
        <f>IF($V51="","",I51*T51/100)</f>
        <v/>
      </c>
      <c r="K51" s="7">
        <f>IF($V51="","",SUMIFS('Per Line'!$V$2:$V$1501,'Per Line'!$D$2:$D$1501,$B51,'Per Line'!$AN$2:$AN$1501,1))</f>
        <v/>
      </c>
      <c r="L51">
        <f>IF($V51="","",Settings!$C$7)</f>
        <v/>
      </c>
      <c r="M51" s="7">
        <f>IF($V51="","",SUMIFS('Per Line'!$V$2:$V$1501,'Per Line'!$D$2:$D$1501,$B51,'Per Line'!$AM$2:$AM$1501,0,'Per Line'!$AN$2:$AN$1501,0))</f>
        <v/>
      </c>
      <c r="N51" s="7">
        <f>IF($V51="","",M51*L51)</f>
        <v/>
      </c>
      <c r="O51">
        <f>IF($V51="","",Settings!$C$6)</f>
        <v/>
      </c>
      <c r="P51" s="7">
        <f>IF($V51="","",SUMIFS('Per Line'!$V$2:$V$1501,'Per Line'!$D$2:$D$1501,$B51,'Per Line'!$AM$2:$AM$1501,1,'Per Line'!$AN$2:$AN$1501,0))</f>
        <v/>
      </c>
      <c r="Q51" s="7">
        <f>IF($V51="","",P51*O51)</f>
        <v/>
      </c>
      <c r="R51" s="7">
        <f>IF($V51="","",Q51+N51)</f>
        <v/>
      </c>
      <c r="S51" s="7">
        <f>IF($V51="","",T51-R51)</f>
        <v/>
      </c>
      <c r="T51" s="7">
        <f>IF($V51="","",M51+P51+K51)</f>
        <v/>
      </c>
      <c r="U51" s="7">
        <f>IF($V51="","",T51-R51-J51)</f>
        <v/>
      </c>
      <c r="V51" s="13">
        <f>IF(ROWS($V$2:$V51)&lt;=MAX('Per Line'!$AL$2:$AL$1501),MATCH(ROWS($V$2:$V51),'Per Line'!$AL$2:$AL$1501,0),"")</f>
        <v/>
      </c>
    </row>
    <row r="52">
      <c r="A52" s="12" t="n"/>
      <c r="B52">
        <f>IF($V52="","",INDEX('Per Line'!$D$2:$D$1501,$V52)&amp;"")</f>
        <v/>
      </c>
      <c r="C52">
        <f>IF($V52="","",INDEX('Per Line'!$A$2:$A$1501,$V52))</f>
        <v/>
      </c>
      <c r="D52">
        <f>IF($V52="","",INDEX('Per Line'!$Z$2:$Z$1501,$V52)&amp;"")</f>
        <v/>
      </c>
      <c r="E52" s="11">
        <f>IF($V52="","",INDEX('Per Line'!$F$2:$F$1501,$V52))</f>
        <v/>
      </c>
      <c r="F52">
        <f>IF($V52="","",INDEX('Per Line'!$I$2:$I$1501,$V52)&amp;"")</f>
        <v/>
      </c>
      <c r="G52">
        <f>IF($V52="","",INDEX('Per Line'!$J$2:$J$1501,$V52)&amp;"")</f>
        <v/>
      </c>
      <c r="H52">
        <f>IF($V52="","",INDEX('Per Line'!$K$2:$K$1501,$V52)&amp;"")</f>
        <v/>
      </c>
      <c r="I52">
        <f>IF($V52="","",INDEX('Per Line'!$M$2:$M$1501,$V52))</f>
        <v/>
      </c>
      <c r="J52" s="7">
        <f>IF($V52="","",I52*T52/100)</f>
        <v/>
      </c>
      <c r="K52" s="7">
        <f>IF($V52="","",SUMIFS('Per Line'!$V$2:$V$1501,'Per Line'!$D$2:$D$1501,$B52,'Per Line'!$AN$2:$AN$1501,1))</f>
        <v/>
      </c>
      <c r="L52">
        <f>IF($V52="","",Settings!$C$7)</f>
        <v/>
      </c>
      <c r="M52" s="7">
        <f>IF($V52="","",SUMIFS('Per Line'!$V$2:$V$1501,'Per Line'!$D$2:$D$1501,$B52,'Per Line'!$AM$2:$AM$1501,0,'Per Line'!$AN$2:$AN$1501,0))</f>
        <v/>
      </c>
      <c r="N52" s="7">
        <f>IF($V52="","",M52*L52)</f>
        <v/>
      </c>
      <c r="O52">
        <f>IF($V52="","",Settings!$C$6)</f>
        <v/>
      </c>
      <c r="P52" s="7">
        <f>IF($V52="","",SUMIFS('Per Line'!$V$2:$V$1501,'Per Line'!$D$2:$D$1501,$B52,'Per Line'!$AM$2:$AM$1501,1,'Per Line'!$AN$2:$AN$1501,0))</f>
        <v/>
      </c>
      <c r="Q52" s="7">
        <f>IF($V52="","",P52*O52)</f>
        <v/>
      </c>
      <c r="R52" s="7">
        <f>IF($V52="","",Q52+N52)</f>
        <v/>
      </c>
      <c r="S52" s="7">
        <f>IF($V52="","",T52-R52)</f>
        <v/>
      </c>
      <c r="T52" s="7">
        <f>IF($V52="","",M52+P52+K52)</f>
        <v/>
      </c>
      <c r="U52" s="7">
        <f>IF($V52="","",T52-R52-J52)</f>
        <v/>
      </c>
      <c r="V52" s="13">
        <f>IF(ROWS($V$2:$V52)&lt;=MAX('Per Line'!$AL$2:$AL$1501),MATCH(ROWS($V$2:$V52),'Per Line'!$AL$2:$AL$1501,0),"")</f>
        <v/>
      </c>
    </row>
    <row r="53">
      <c r="A53" s="12" t="n"/>
      <c r="B53">
        <f>IF($V53="","",INDEX('Per Line'!$D$2:$D$1501,$V53)&amp;"")</f>
        <v/>
      </c>
      <c r="C53">
        <f>IF($V53="","",INDEX('Per Line'!$A$2:$A$1501,$V53))</f>
        <v/>
      </c>
      <c r="D53">
        <f>IF($V53="","",INDEX('Per Line'!$Z$2:$Z$1501,$V53)&amp;"")</f>
        <v/>
      </c>
      <c r="E53" s="11">
        <f>IF($V53="","",INDEX('Per Line'!$F$2:$F$1501,$V53))</f>
        <v/>
      </c>
      <c r="F53">
        <f>IF($V53="","",INDEX('Per Line'!$I$2:$I$1501,$V53)&amp;"")</f>
        <v/>
      </c>
      <c r="G53">
        <f>IF($V53="","",INDEX('Per Line'!$J$2:$J$1501,$V53)&amp;"")</f>
        <v/>
      </c>
      <c r="H53">
        <f>IF($V53="","",INDEX('Per Line'!$K$2:$K$1501,$V53)&amp;"")</f>
        <v/>
      </c>
      <c r="I53">
        <f>IF($V53="","",INDEX('Per Line'!$M$2:$M$1501,$V53))</f>
        <v/>
      </c>
      <c r="J53" s="7">
        <f>IF($V53="","",I53*T53/100)</f>
        <v/>
      </c>
      <c r="K53" s="7">
        <f>IF($V53="","",SUMIFS('Per Line'!$V$2:$V$1501,'Per Line'!$D$2:$D$1501,$B53,'Per Line'!$AN$2:$AN$1501,1))</f>
        <v/>
      </c>
      <c r="L53">
        <f>IF($V53="","",Settings!$C$7)</f>
        <v/>
      </c>
      <c r="M53" s="7">
        <f>IF($V53="","",SUMIFS('Per Line'!$V$2:$V$1501,'Per Line'!$D$2:$D$1501,$B53,'Per Line'!$AM$2:$AM$1501,0,'Per Line'!$AN$2:$AN$1501,0))</f>
        <v/>
      </c>
      <c r="N53" s="7">
        <f>IF($V53="","",M53*L53)</f>
        <v/>
      </c>
      <c r="O53">
        <f>IF($V53="","",Settings!$C$6)</f>
        <v/>
      </c>
      <c r="P53" s="7">
        <f>IF($V53="","",SUMIFS('Per Line'!$V$2:$V$1501,'Per Line'!$D$2:$D$1501,$B53,'Per Line'!$AM$2:$AM$1501,1,'Per Line'!$AN$2:$AN$1501,0))</f>
        <v/>
      </c>
      <c r="Q53" s="7">
        <f>IF($V53="","",P53*O53)</f>
        <v/>
      </c>
      <c r="R53" s="7">
        <f>IF($V53="","",Q53+N53)</f>
        <v/>
      </c>
      <c r="S53" s="7">
        <f>IF($V53="","",T53-R53)</f>
        <v/>
      </c>
      <c r="T53" s="7">
        <f>IF($V53="","",M53+P53+K53)</f>
        <v/>
      </c>
      <c r="U53" s="7">
        <f>IF($V53="","",T53-R53-J53)</f>
        <v/>
      </c>
      <c r="V53" s="13">
        <f>IF(ROWS($V$2:$V53)&lt;=MAX('Per Line'!$AL$2:$AL$1501),MATCH(ROWS($V$2:$V53),'Per Line'!$AL$2:$AL$1501,0),"")</f>
        <v/>
      </c>
    </row>
    <row r="54">
      <c r="A54" s="12" t="n"/>
      <c r="B54">
        <f>IF($V54="","",INDEX('Per Line'!$D$2:$D$1501,$V54)&amp;"")</f>
        <v/>
      </c>
      <c r="C54">
        <f>IF($V54="","",INDEX('Per Line'!$A$2:$A$1501,$V54))</f>
        <v/>
      </c>
      <c r="D54">
        <f>IF($V54="","",INDEX('Per Line'!$Z$2:$Z$1501,$V54)&amp;"")</f>
        <v/>
      </c>
      <c r="E54" s="11">
        <f>IF($V54="","",INDEX('Per Line'!$F$2:$F$1501,$V54))</f>
        <v/>
      </c>
      <c r="F54">
        <f>IF($V54="","",INDEX('Per Line'!$I$2:$I$1501,$V54)&amp;"")</f>
        <v/>
      </c>
      <c r="G54">
        <f>IF($V54="","",INDEX('Per Line'!$J$2:$J$1501,$V54)&amp;"")</f>
        <v/>
      </c>
      <c r="H54">
        <f>IF($V54="","",INDEX('Per Line'!$K$2:$K$1501,$V54)&amp;"")</f>
        <v/>
      </c>
      <c r="I54">
        <f>IF($V54="","",INDEX('Per Line'!$M$2:$M$1501,$V54))</f>
        <v/>
      </c>
      <c r="J54" s="7">
        <f>IF($V54="","",I54*T54/100)</f>
        <v/>
      </c>
      <c r="K54" s="7">
        <f>IF($V54="","",SUMIFS('Per Line'!$V$2:$V$1501,'Per Line'!$D$2:$D$1501,$B54,'Per Line'!$AN$2:$AN$1501,1))</f>
        <v/>
      </c>
      <c r="L54">
        <f>IF($V54="","",Settings!$C$7)</f>
        <v/>
      </c>
      <c r="M54" s="7">
        <f>IF($V54="","",SUMIFS('Per Line'!$V$2:$V$1501,'Per Line'!$D$2:$D$1501,$B54,'Per Line'!$AM$2:$AM$1501,0,'Per Line'!$AN$2:$AN$1501,0))</f>
        <v/>
      </c>
      <c r="N54" s="7">
        <f>IF($V54="","",M54*L54)</f>
        <v/>
      </c>
      <c r="O54">
        <f>IF($V54="","",Settings!$C$6)</f>
        <v/>
      </c>
      <c r="P54" s="7">
        <f>IF($V54="","",SUMIFS('Per Line'!$V$2:$V$1501,'Per Line'!$D$2:$D$1501,$B54,'Per Line'!$AM$2:$AM$1501,1,'Per Line'!$AN$2:$AN$1501,0))</f>
        <v/>
      </c>
      <c r="Q54" s="7">
        <f>IF($V54="","",P54*O54)</f>
        <v/>
      </c>
      <c r="R54" s="7">
        <f>IF($V54="","",Q54+N54)</f>
        <v/>
      </c>
      <c r="S54" s="7">
        <f>IF($V54="","",T54-R54)</f>
        <v/>
      </c>
      <c r="T54" s="7">
        <f>IF($V54="","",M54+P54+K54)</f>
        <v/>
      </c>
      <c r="U54" s="7">
        <f>IF($V54="","",T54-R54-J54)</f>
        <v/>
      </c>
      <c r="V54" s="13">
        <f>IF(ROWS($V$2:$V54)&lt;=MAX('Per Line'!$AL$2:$AL$1501),MATCH(ROWS($V$2:$V54),'Per Line'!$AL$2:$AL$1501,0),"")</f>
        <v/>
      </c>
    </row>
    <row r="55">
      <c r="A55" s="12" t="n"/>
      <c r="B55">
        <f>IF($V55="","",INDEX('Per Line'!$D$2:$D$1501,$V55)&amp;"")</f>
        <v/>
      </c>
      <c r="C55">
        <f>IF($V55="","",INDEX('Per Line'!$A$2:$A$1501,$V55))</f>
        <v/>
      </c>
      <c r="D55">
        <f>IF($V55="","",INDEX('Per Line'!$Z$2:$Z$1501,$V55)&amp;"")</f>
        <v/>
      </c>
      <c r="E55" s="11">
        <f>IF($V55="","",INDEX('Per Line'!$F$2:$F$1501,$V55))</f>
        <v/>
      </c>
      <c r="F55">
        <f>IF($V55="","",INDEX('Per Line'!$I$2:$I$1501,$V55)&amp;"")</f>
        <v/>
      </c>
      <c r="G55">
        <f>IF($V55="","",INDEX('Per Line'!$J$2:$J$1501,$V55)&amp;"")</f>
        <v/>
      </c>
      <c r="H55">
        <f>IF($V55="","",INDEX('Per Line'!$K$2:$K$1501,$V55)&amp;"")</f>
        <v/>
      </c>
      <c r="I55">
        <f>IF($V55="","",INDEX('Per Line'!$M$2:$M$1501,$V55))</f>
        <v/>
      </c>
      <c r="J55" s="7">
        <f>IF($V55="","",I55*T55/100)</f>
        <v/>
      </c>
      <c r="K55" s="7">
        <f>IF($V55="","",SUMIFS('Per Line'!$V$2:$V$1501,'Per Line'!$D$2:$D$1501,$B55,'Per Line'!$AN$2:$AN$1501,1))</f>
        <v/>
      </c>
      <c r="L55">
        <f>IF($V55="","",Settings!$C$7)</f>
        <v/>
      </c>
      <c r="M55" s="7">
        <f>IF($V55="","",SUMIFS('Per Line'!$V$2:$V$1501,'Per Line'!$D$2:$D$1501,$B55,'Per Line'!$AM$2:$AM$1501,0,'Per Line'!$AN$2:$AN$1501,0))</f>
        <v/>
      </c>
      <c r="N55" s="7">
        <f>IF($V55="","",M55*L55)</f>
        <v/>
      </c>
      <c r="O55">
        <f>IF($V55="","",Settings!$C$6)</f>
        <v/>
      </c>
      <c r="P55" s="7">
        <f>IF($V55="","",SUMIFS('Per Line'!$V$2:$V$1501,'Per Line'!$D$2:$D$1501,$B55,'Per Line'!$AM$2:$AM$1501,1,'Per Line'!$AN$2:$AN$1501,0))</f>
        <v/>
      </c>
      <c r="Q55" s="7">
        <f>IF($V55="","",P55*O55)</f>
        <v/>
      </c>
      <c r="R55" s="7">
        <f>IF($V55="","",Q55+N55)</f>
        <v/>
      </c>
      <c r="S55" s="7">
        <f>IF($V55="","",T55-R55)</f>
        <v/>
      </c>
      <c r="T55" s="7">
        <f>IF($V55="","",M55+P55+K55)</f>
        <v/>
      </c>
      <c r="U55" s="7">
        <f>IF($V55="","",T55-R55-J55)</f>
        <v/>
      </c>
      <c r="V55" s="13">
        <f>IF(ROWS($V$2:$V55)&lt;=MAX('Per Line'!$AL$2:$AL$1501),MATCH(ROWS($V$2:$V55),'Per Line'!$AL$2:$AL$1501,0),"")</f>
        <v/>
      </c>
    </row>
    <row r="56">
      <c r="A56" s="12" t="n"/>
      <c r="B56">
        <f>IF($V56="","",INDEX('Per Line'!$D$2:$D$1501,$V56)&amp;"")</f>
        <v/>
      </c>
      <c r="C56">
        <f>IF($V56="","",INDEX('Per Line'!$A$2:$A$1501,$V56))</f>
        <v/>
      </c>
      <c r="D56">
        <f>IF($V56="","",INDEX('Per Line'!$Z$2:$Z$1501,$V56)&amp;"")</f>
        <v/>
      </c>
      <c r="E56" s="11">
        <f>IF($V56="","",INDEX('Per Line'!$F$2:$F$1501,$V56))</f>
        <v/>
      </c>
      <c r="F56">
        <f>IF($V56="","",INDEX('Per Line'!$I$2:$I$1501,$V56)&amp;"")</f>
        <v/>
      </c>
      <c r="G56">
        <f>IF($V56="","",INDEX('Per Line'!$J$2:$J$1501,$V56)&amp;"")</f>
        <v/>
      </c>
      <c r="H56">
        <f>IF($V56="","",INDEX('Per Line'!$K$2:$K$1501,$V56)&amp;"")</f>
        <v/>
      </c>
      <c r="I56">
        <f>IF($V56="","",INDEX('Per Line'!$M$2:$M$1501,$V56))</f>
        <v/>
      </c>
      <c r="J56" s="7">
        <f>IF($V56="","",I56*T56/100)</f>
        <v/>
      </c>
      <c r="K56" s="7">
        <f>IF($V56="","",SUMIFS('Per Line'!$V$2:$V$1501,'Per Line'!$D$2:$D$1501,$B56,'Per Line'!$AN$2:$AN$1501,1))</f>
        <v/>
      </c>
      <c r="L56">
        <f>IF($V56="","",Settings!$C$7)</f>
        <v/>
      </c>
      <c r="M56" s="7">
        <f>IF($V56="","",SUMIFS('Per Line'!$V$2:$V$1501,'Per Line'!$D$2:$D$1501,$B56,'Per Line'!$AM$2:$AM$1501,0,'Per Line'!$AN$2:$AN$1501,0))</f>
        <v/>
      </c>
      <c r="N56" s="7">
        <f>IF($V56="","",M56*L56)</f>
        <v/>
      </c>
      <c r="O56">
        <f>IF($V56="","",Settings!$C$6)</f>
        <v/>
      </c>
      <c r="P56" s="7">
        <f>IF($V56="","",SUMIFS('Per Line'!$V$2:$V$1501,'Per Line'!$D$2:$D$1501,$B56,'Per Line'!$AM$2:$AM$1501,1,'Per Line'!$AN$2:$AN$1501,0))</f>
        <v/>
      </c>
      <c r="Q56" s="7">
        <f>IF($V56="","",P56*O56)</f>
        <v/>
      </c>
      <c r="R56" s="7">
        <f>IF($V56="","",Q56+N56)</f>
        <v/>
      </c>
      <c r="S56" s="7">
        <f>IF($V56="","",T56-R56)</f>
        <v/>
      </c>
      <c r="T56" s="7">
        <f>IF($V56="","",M56+P56+K56)</f>
        <v/>
      </c>
      <c r="U56" s="7">
        <f>IF($V56="","",T56-R56-J56)</f>
        <v/>
      </c>
      <c r="V56" s="13">
        <f>IF(ROWS($V$2:$V56)&lt;=MAX('Per Line'!$AL$2:$AL$1501),MATCH(ROWS($V$2:$V56),'Per Line'!$AL$2:$AL$1501,0),"")</f>
        <v/>
      </c>
    </row>
    <row r="57">
      <c r="A57" s="12" t="n"/>
      <c r="B57">
        <f>IF($V57="","",INDEX('Per Line'!$D$2:$D$1501,$V57)&amp;"")</f>
        <v/>
      </c>
      <c r="C57">
        <f>IF($V57="","",INDEX('Per Line'!$A$2:$A$1501,$V57))</f>
        <v/>
      </c>
      <c r="D57">
        <f>IF($V57="","",INDEX('Per Line'!$Z$2:$Z$1501,$V57)&amp;"")</f>
        <v/>
      </c>
      <c r="E57" s="11">
        <f>IF($V57="","",INDEX('Per Line'!$F$2:$F$1501,$V57))</f>
        <v/>
      </c>
      <c r="F57">
        <f>IF($V57="","",INDEX('Per Line'!$I$2:$I$1501,$V57)&amp;"")</f>
        <v/>
      </c>
      <c r="G57">
        <f>IF($V57="","",INDEX('Per Line'!$J$2:$J$1501,$V57)&amp;"")</f>
        <v/>
      </c>
      <c r="H57">
        <f>IF($V57="","",INDEX('Per Line'!$K$2:$K$1501,$V57)&amp;"")</f>
        <v/>
      </c>
      <c r="I57">
        <f>IF($V57="","",INDEX('Per Line'!$M$2:$M$1501,$V57))</f>
        <v/>
      </c>
      <c r="J57" s="7">
        <f>IF($V57="","",I57*T57/100)</f>
        <v/>
      </c>
      <c r="K57" s="7">
        <f>IF($V57="","",SUMIFS('Per Line'!$V$2:$V$1501,'Per Line'!$D$2:$D$1501,$B57,'Per Line'!$AN$2:$AN$1501,1))</f>
        <v/>
      </c>
      <c r="L57">
        <f>IF($V57="","",Settings!$C$7)</f>
        <v/>
      </c>
      <c r="M57" s="7">
        <f>IF($V57="","",SUMIFS('Per Line'!$V$2:$V$1501,'Per Line'!$D$2:$D$1501,$B57,'Per Line'!$AM$2:$AM$1501,0,'Per Line'!$AN$2:$AN$1501,0))</f>
        <v/>
      </c>
      <c r="N57" s="7">
        <f>IF($V57="","",M57*L57)</f>
        <v/>
      </c>
      <c r="O57">
        <f>IF($V57="","",Settings!$C$6)</f>
        <v/>
      </c>
      <c r="P57" s="7">
        <f>IF($V57="","",SUMIFS('Per Line'!$V$2:$V$1501,'Per Line'!$D$2:$D$1501,$B57,'Per Line'!$AM$2:$AM$1501,1,'Per Line'!$AN$2:$AN$1501,0))</f>
        <v/>
      </c>
      <c r="Q57" s="7">
        <f>IF($V57="","",P57*O57)</f>
        <v/>
      </c>
      <c r="R57" s="7">
        <f>IF($V57="","",Q57+N57)</f>
        <v/>
      </c>
      <c r="S57" s="7">
        <f>IF($V57="","",T57-R57)</f>
        <v/>
      </c>
      <c r="T57" s="7">
        <f>IF($V57="","",M57+P57+K57)</f>
        <v/>
      </c>
      <c r="U57" s="7">
        <f>IF($V57="","",T57-R57-J57)</f>
        <v/>
      </c>
      <c r="V57" s="13">
        <f>IF(ROWS($V$2:$V57)&lt;=MAX('Per Line'!$AL$2:$AL$1501),MATCH(ROWS($V$2:$V57),'Per Line'!$AL$2:$AL$1501,0),"")</f>
        <v/>
      </c>
    </row>
    <row r="58">
      <c r="A58" s="12" t="n"/>
      <c r="B58">
        <f>IF($V58="","",INDEX('Per Line'!$D$2:$D$1501,$V58)&amp;"")</f>
        <v/>
      </c>
      <c r="C58">
        <f>IF($V58="","",INDEX('Per Line'!$A$2:$A$1501,$V58))</f>
        <v/>
      </c>
      <c r="D58">
        <f>IF($V58="","",INDEX('Per Line'!$Z$2:$Z$1501,$V58)&amp;"")</f>
        <v/>
      </c>
      <c r="E58" s="11">
        <f>IF($V58="","",INDEX('Per Line'!$F$2:$F$1501,$V58))</f>
        <v/>
      </c>
      <c r="F58">
        <f>IF($V58="","",INDEX('Per Line'!$I$2:$I$1501,$V58)&amp;"")</f>
        <v/>
      </c>
      <c r="G58">
        <f>IF($V58="","",INDEX('Per Line'!$J$2:$J$1501,$V58)&amp;"")</f>
        <v/>
      </c>
      <c r="H58">
        <f>IF($V58="","",INDEX('Per Line'!$K$2:$K$1501,$V58)&amp;"")</f>
        <v/>
      </c>
      <c r="I58">
        <f>IF($V58="","",INDEX('Per Line'!$M$2:$M$1501,$V58))</f>
        <v/>
      </c>
      <c r="J58" s="7">
        <f>IF($V58="","",I58*T58/100)</f>
        <v/>
      </c>
      <c r="K58" s="7">
        <f>IF($V58="","",SUMIFS('Per Line'!$V$2:$V$1501,'Per Line'!$D$2:$D$1501,$B58,'Per Line'!$AN$2:$AN$1501,1))</f>
        <v/>
      </c>
      <c r="L58">
        <f>IF($V58="","",Settings!$C$7)</f>
        <v/>
      </c>
      <c r="M58" s="7">
        <f>IF($V58="","",SUMIFS('Per Line'!$V$2:$V$1501,'Per Line'!$D$2:$D$1501,$B58,'Per Line'!$AM$2:$AM$1501,0,'Per Line'!$AN$2:$AN$1501,0))</f>
        <v/>
      </c>
      <c r="N58" s="7">
        <f>IF($V58="","",M58*L58)</f>
        <v/>
      </c>
      <c r="O58">
        <f>IF($V58="","",Settings!$C$6)</f>
        <v/>
      </c>
      <c r="P58" s="7">
        <f>IF($V58="","",SUMIFS('Per Line'!$V$2:$V$1501,'Per Line'!$D$2:$D$1501,$B58,'Per Line'!$AM$2:$AM$1501,1,'Per Line'!$AN$2:$AN$1501,0))</f>
        <v/>
      </c>
      <c r="Q58" s="7">
        <f>IF($V58="","",P58*O58)</f>
        <v/>
      </c>
      <c r="R58" s="7">
        <f>IF($V58="","",Q58+N58)</f>
        <v/>
      </c>
      <c r="S58" s="7">
        <f>IF($V58="","",T58-R58)</f>
        <v/>
      </c>
      <c r="T58" s="7">
        <f>IF($V58="","",M58+P58+K58)</f>
        <v/>
      </c>
      <c r="U58" s="7">
        <f>IF($V58="","",T58-R58-J58)</f>
        <v/>
      </c>
      <c r="V58" s="13">
        <f>IF(ROWS($V$2:$V58)&lt;=MAX('Per Line'!$AL$2:$AL$1501),MATCH(ROWS($V$2:$V58),'Per Line'!$AL$2:$AL$1501,0),"")</f>
        <v/>
      </c>
    </row>
    <row r="59">
      <c r="A59" s="12" t="n"/>
      <c r="B59">
        <f>IF($V59="","",INDEX('Per Line'!$D$2:$D$1501,$V59)&amp;"")</f>
        <v/>
      </c>
      <c r="C59">
        <f>IF($V59="","",INDEX('Per Line'!$A$2:$A$1501,$V59))</f>
        <v/>
      </c>
      <c r="D59">
        <f>IF($V59="","",INDEX('Per Line'!$Z$2:$Z$1501,$V59)&amp;"")</f>
        <v/>
      </c>
      <c r="E59" s="11">
        <f>IF($V59="","",INDEX('Per Line'!$F$2:$F$1501,$V59))</f>
        <v/>
      </c>
      <c r="F59">
        <f>IF($V59="","",INDEX('Per Line'!$I$2:$I$1501,$V59)&amp;"")</f>
        <v/>
      </c>
      <c r="G59">
        <f>IF($V59="","",INDEX('Per Line'!$J$2:$J$1501,$V59)&amp;"")</f>
        <v/>
      </c>
      <c r="H59">
        <f>IF($V59="","",INDEX('Per Line'!$K$2:$K$1501,$V59)&amp;"")</f>
        <v/>
      </c>
      <c r="I59">
        <f>IF($V59="","",INDEX('Per Line'!$M$2:$M$1501,$V59))</f>
        <v/>
      </c>
      <c r="J59" s="7">
        <f>IF($V59="","",I59*T59/100)</f>
        <v/>
      </c>
      <c r="K59" s="7">
        <f>IF($V59="","",SUMIFS('Per Line'!$V$2:$V$1501,'Per Line'!$D$2:$D$1501,$B59,'Per Line'!$AN$2:$AN$1501,1))</f>
        <v/>
      </c>
      <c r="L59">
        <f>IF($V59="","",Settings!$C$7)</f>
        <v/>
      </c>
      <c r="M59" s="7">
        <f>IF($V59="","",SUMIFS('Per Line'!$V$2:$V$1501,'Per Line'!$D$2:$D$1501,$B59,'Per Line'!$AM$2:$AM$1501,0,'Per Line'!$AN$2:$AN$1501,0))</f>
        <v/>
      </c>
      <c r="N59" s="7">
        <f>IF($V59="","",M59*L59)</f>
        <v/>
      </c>
      <c r="O59">
        <f>IF($V59="","",Settings!$C$6)</f>
        <v/>
      </c>
      <c r="P59" s="7">
        <f>IF($V59="","",SUMIFS('Per Line'!$V$2:$V$1501,'Per Line'!$D$2:$D$1501,$B59,'Per Line'!$AM$2:$AM$1501,1,'Per Line'!$AN$2:$AN$1501,0))</f>
        <v/>
      </c>
      <c r="Q59" s="7">
        <f>IF($V59="","",P59*O59)</f>
        <v/>
      </c>
      <c r="R59" s="7">
        <f>IF($V59="","",Q59+N59)</f>
        <v/>
      </c>
      <c r="S59" s="7">
        <f>IF($V59="","",T59-R59)</f>
        <v/>
      </c>
      <c r="T59" s="7">
        <f>IF($V59="","",M59+P59+K59)</f>
        <v/>
      </c>
      <c r="U59" s="7">
        <f>IF($V59="","",T59-R59-J59)</f>
        <v/>
      </c>
      <c r="V59" s="13">
        <f>IF(ROWS($V$2:$V59)&lt;=MAX('Per Line'!$AL$2:$AL$1501),MATCH(ROWS($V$2:$V59),'Per Line'!$AL$2:$AL$1501,0),"")</f>
        <v/>
      </c>
    </row>
    <row r="60">
      <c r="A60" s="12" t="n"/>
      <c r="B60">
        <f>IF($V60="","",INDEX('Per Line'!$D$2:$D$1501,$V60)&amp;"")</f>
        <v/>
      </c>
      <c r="C60">
        <f>IF($V60="","",INDEX('Per Line'!$A$2:$A$1501,$V60))</f>
        <v/>
      </c>
      <c r="D60">
        <f>IF($V60="","",INDEX('Per Line'!$Z$2:$Z$1501,$V60)&amp;"")</f>
        <v/>
      </c>
      <c r="E60" s="11">
        <f>IF($V60="","",INDEX('Per Line'!$F$2:$F$1501,$V60))</f>
        <v/>
      </c>
      <c r="F60">
        <f>IF($V60="","",INDEX('Per Line'!$I$2:$I$1501,$V60)&amp;"")</f>
        <v/>
      </c>
      <c r="G60">
        <f>IF($V60="","",INDEX('Per Line'!$J$2:$J$1501,$V60)&amp;"")</f>
        <v/>
      </c>
      <c r="H60">
        <f>IF($V60="","",INDEX('Per Line'!$K$2:$K$1501,$V60)&amp;"")</f>
        <v/>
      </c>
      <c r="I60">
        <f>IF($V60="","",INDEX('Per Line'!$M$2:$M$1501,$V60))</f>
        <v/>
      </c>
      <c r="J60" s="7">
        <f>IF($V60="","",I60*T60/100)</f>
        <v/>
      </c>
      <c r="K60" s="7">
        <f>IF($V60="","",SUMIFS('Per Line'!$V$2:$V$1501,'Per Line'!$D$2:$D$1501,$B60,'Per Line'!$AN$2:$AN$1501,1))</f>
        <v/>
      </c>
      <c r="L60">
        <f>IF($V60="","",Settings!$C$7)</f>
        <v/>
      </c>
      <c r="M60" s="7">
        <f>IF($V60="","",SUMIFS('Per Line'!$V$2:$V$1501,'Per Line'!$D$2:$D$1501,$B60,'Per Line'!$AM$2:$AM$1501,0,'Per Line'!$AN$2:$AN$1501,0))</f>
        <v/>
      </c>
      <c r="N60" s="7">
        <f>IF($V60="","",M60*L60)</f>
        <v/>
      </c>
      <c r="O60">
        <f>IF($V60="","",Settings!$C$6)</f>
        <v/>
      </c>
      <c r="P60" s="7">
        <f>IF($V60="","",SUMIFS('Per Line'!$V$2:$V$1501,'Per Line'!$D$2:$D$1501,$B60,'Per Line'!$AM$2:$AM$1501,1,'Per Line'!$AN$2:$AN$1501,0))</f>
        <v/>
      </c>
      <c r="Q60" s="7">
        <f>IF($V60="","",P60*O60)</f>
        <v/>
      </c>
      <c r="R60" s="7">
        <f>IF($V60="","",Q60+N60)</f>
        <v/>
      </c>
      <c r="S60" s="7">
        <f>IF($V60="","",T60-R60)</f>
        <v/>
      </c>
      <c r="T60" s="7">
        <f>IF($V60="","",M60+P60+K60)</f>
        <v/>
      </c>
      <c r="U60" s="7">
        <f>IF($V60="","",T60-R60-J60)</f>
        <v/>
      </c>
      <c r="V60" s="13">
        <f>IF(ROWS($V$2:$V60)&lt;=MAX('Per Line'!$AL$2:$AL$1501),MATCH(ROWS($V$2:$V60),'Per Line'!$AL$2:$AL$1501,0),"")</f>
        <v/>
      </c>
    </row>
    <row r="61">
      <c r="A61" s="12" t="n"/>
      <c r="B61">
        <f>IF($V61="","",INDEX('Per Line'!$D$2:$D$1501,$V61)&amp;"")</f>
        <v/>
      </c>
      <c r="C61">
        <f>IF($V61="","",INDEX('Per Line'!$A$2:$A$1501,$V61))</f>
        <v/>
      </c>
      <c r="D61">
        <f>IF($V61="","",INDEX('Per Line'!$Z$2:$Z$1501,$V61)&amp;"")</f>
        <v/>
      </c>
      <c r="E61" s="11">
        <f>IF($V61="","",INDEX('Per Line'!$F$2:$F$1501,$V61))</f>
        <v/>
      </c>
      <c r="F61">
        <f>IF($V61="","",INDEX('Per Line'!$I$2:$I$1501,$V61)&amp;"")</f>
        <v/>
      </c>
      <c r="G61">
        <f>IF($V61="","",INDEX('Per Line'!$J$2:$J$1501,$V61)&amp;"")</f>
        <v/>
      </c>
      <c r="H61">
        <f>IF($V61="","",INDEX('Per Line'!$K$2:$K$1501,$V61)&amp;"")</f>
        <v/>
      </c>
      <c r="I61">
        <f>IF($V61="","",INDEX('Per Line'!$M$2:$M$1501,$V61))</f>
        <v/>
      </c>
      <c r="J61" s="7">
        <f>IF($V61="","",I61*T61/100)</f>
        <v/>
      </c>
      <c r="K61" s="7">
        <f>IF($V61="","",SUMIFS('Per Line'!$V$2:$V$1501,'Per Line'!$D$2:$D$1501,$B61,'Per Line'!$AN$2:$AN$1501,1))</f>
        <v/>
      </c>
      <c r="L61">
        <f>IF($V61="","",Settings!$C$7)</f>
        <v/>
      </c>
      <c r="M61" s="7">
        <f>IF($V61="","",SUMIFS('Per Line'!$V$2:$V$1501,'Per Line'!$D$2:$D$1501,$B61,'Per Line'!$AM$2:$AM$1501,0,'Per Line'!$AN$2:$AN$1501,0))</f>
        <v/>
      </c>
      <c r="N61" s="7">
        <f>IF($V61="","",M61*L61)</f>
        <v/>
      </c>
      <c r="O61">
        <f>IF($V61="","",Settings!$C$6)</f>
        <v/>
      </c>
      <c r="P61" s="7">
        <f>IF($V61="","",SUMIFS('Per Line'!$V$2:$V$1501,'Per Line'!$D$2:$D$1501,$B61,'Per Line'!$AM$2:$AM$1501,1,'Per Line'!$AN$2:$AN$1501,0))</f>
        <v/>
      </c>
      <c r="Q61" s="7">
        <f>IF($V61="","",P61*O61)</f>
        <v/>
      </c>
      <c r="R61" s="7">
        <f>IF($V61="","",Q61+N61)</f>
        <v/>
      </c>
      <c r="S61" s="7">
        <f>IF($V61="","",T61-R61)</f>
        <v/>
      </c>
      <c r="T61" s="7">
        <f>IF($V61="","",M61+P61+K61)</f>
        <v/>
      </c>
      <c r="U61" s="7">
        <f>IF($V61="","",T61-R61-J61)</f>
        <v/>
      </c>
      <c r="V61" s="13">
        <f>IF(ROWS($V$2:$V61)&lt;=MAX('Per Line'!$AL$2:$AL$1501),MATCH(ROWS($V$2:$V61),'Per Line'!$AL$2:$AL$1501,0),"")</f>
        <v/>
      </c>
    </row>
    <row r="62">
      <c r="A62" s="12" t="n"/>
      <c r="B62">
        <f>IF($V62="","",INDEX('Per Line'!$D$2:$D$1501,$V62)&amp;"")</f>
        <v/>
      </c>
      <c r="C62">
        <f>IF($V62="","",INDEX('Per Line'!$A$2:$A$1501,$V62))</f>
        <v/>
      </c>
      <c r="D62">
        <f>IF($V62="","",INDEX('Per Line'!$Z$2:$Z$1501,$V62)&amp;"")</f>
        <v/>
      </c>
      <c r="E62" s="11">
        <f>IF($V62="","",INDEX('Per Line'!$F$2:$F$1501,$V62))</f>
        <v/>
      </c>
      <c r="F62">
        <f>IF($V62="","",INDEX('Per Line'!$I$2:$I$1501,$V62)&amp;"")</f>
        <v/>
      </c>
      <c r="G62">
        <f>IF($V62="","",INDEX('Per Line'!$J$2:$J$1501,$V62)&amp;"")</f>
        <v/>
      </c>
      <c r="H62">
        <f>IF($V62="","",INDEX('Per Line'!$K$2:$K$1501,$V62)&amp;"")</f>
        <v/>
      </c>
      <c r="I62">
        <f>IF($V62="","",INDEX('Per Line'!$M$2:$M$1501,$V62))</f>
        <v/>
      </c>
      <c r="J62" s="7">
        <f>IF($V62="","",I62*T62/100)</f>
        <v/>
      </c>
      <c r="K62" s="7">
        <f>IF($V62="","",SUMIFS('Per Line'!$V$2:$V$1501,'Per Line'!$D$2:$D$1501,$B62,'Per Line'!$AN$2:$AN$1501,1))</f>
        <v/>
      </c>
      <c r="L62">
        <f>IF($V62="","",Settings!$C$7)</f>
        <v/>
      </c>
      <c r="M62" s="7">
        <f>IF($V62="","",SUMIFS('Per Line'!$V$2:$V$1501,'Per Line'!$D$2:$D$1501,$B62,'Per Line'!$AM$2:$AM$1501,0,'Per Line'!$AN$2:$AN$1501,0))</f>
        <v/>
      </c>
      <c r="N62" s="7">
        <f>IF($V62="","",M62*L62)</f>
        <v/>
      </c>
      <c r="O62">
        <f>IF($V62="","",Settings!$C$6)</f>
        <v/>
      </c>
      <c r="P62" s="7">
        <f>IF($V62="","",SUMIFS('Per Line'!$V$2:$V$1501,'Per Line'!$D$2:$D$1501,$B62,'Per Line'!$AM$2:$AM$1501,1,'Per Line'!$AN$2:$AN$1501,0))</f>
        <v/>
      </c>
      <c r="Q62" s="7">
        <f>IF($V62="","",P62*O62)</f>
        <v/>
      </c>
      <c r="R62" s="7">
        <f>IF($V62="","",Q62+N62)</f>
        <v/>
      </c>
      <c r="S62" s="7">
        <f>IF($V62="","",T62-R62)</f>
        <v/>
      </c>
      <c r="T62" s="7">
        <f>IF($V62="","",M62+P62+K62)</f>
        <v/>
      </c>
      <c r="U62" s="7">
        <f>IF($V62="","",T62-R62-J62)</f>
        <v/>
      </c>
      <c r="V62" s="13">
        <f>IF(ROWS($V$2:$V62)&lt;=MAX('Per Line'!$AL$2:$AL$1501),MATCH(ROWS($V$2:$V62),'Per Line'!$AL$2:$AL$1501,0),"")</f>
        <v/>
      </c>
    </row>
    <row r="63">
      <c r="A63" s="12" t="n"/>
      <c r="B63">
        <f>IF($V63="","",INDEX('Per Line'!$D$2:$D$1501,$V63)&amp;"")</f>
        <v/>
      </c>
      <c r="C63">
        <f>IF($V63="","",INDEX('Per Line'!$A$2:$A$1501,$V63))</f>
        <v/>
      </c>
      <c r="D63">
        <f>IF($V63="","",INDEX('Per Line'!$Z$2:$Z$1501,$V63)&amp;"")</f>
        <v/>
      </c>
      <c r="E63" s="11">
        <f>IF($V63="","",INDEX('Per Line'!$F$2:$F$1501,$V63))</f>
        <v/>
      </c>
      <c r="F63">
        <f>IF($V63="","",INDEX('Per Line'!$I$2:$I$1501,$V63)&amp;"")</f>
        <v/>
      </c>
      <c r="G63">
        <f>IF($V63="","",INDEX('Per Line'!$J$2:$J$1501,$V63)&amp;"")</f>
        <v/>
      </c>
      <c r="H63">
        <f>IF($V63="","",INDEX('Per Line'!$K$2:$K$1501,$V63)&amp;"")</f>
        <v/>
      </c>
      <c r="I63">
        <f>IF($V63="","",INDEX('Per Line'!$M$2:$M$1501,$V63))</f>
        <v/>
      </c>
      <c r="J63" s="7">
        <f>IF($V63="","",I63*T63/100)</f>
        <v/>
      </c>
      <c r="K63" s="7">
        <f>IF($V63="","",SUMIFS('Per Line'!$V$2:$V$1501,'Per Line'!$D$2:$D$1501,$B63,'Per Line'!$AN$2:$AN$1501,1))</f>
        <v/>
      </c>
      <c r="L63">
        <f>IF($V63="","",Settings!$C$7)</f>
        <v/>
      </c>
      <c r="M63" s="7">
        <f>IF($V63="","",SUMIFS('Per Line'!$V$2:$V$1501,'Per Line'!$D$2:$D$1501,$B63,'Per Line'!$AM$2:$AM$1501,0,'Per Line'!$AN$2:$AN$1501,0))</f>
        <v/>
      </c>
      <c r="N63" s="7">
        <f>IF($V63="","",M63*L63)</f>
        <v/>
      </c>
      <c r="O63">
        <f>IF($V63="","",Settings!$C$6)</f>
        <v/>
      </c>
      <c r="P63" s="7">
        <f>IF($V63="","",SUMIFS('Per Line'!$V$2:$V$1501,'Per Line'!$D$2:$D$1501,$B63,'Per Line'!$AM$2:$AM$1501,1,'Per Line'!$AN$2:$AN$1501,0))</f>
        <v/>
      </c>
      <c r="Q63" s="7">
        <f>IF($V63="","",P63*O63)</f>
        <v/>
      </c>
      <c r="R63" s="7">
        <f>IF($V63="","",Q63+N63)</f>
        <v/>
      </c>
      <c r="S63" s="7">
        <f>IF($V63="","",T63-R63)</f>
        <v/>
      </c>
      <c r="T63" s="7">
        <f>IF($V63="","",M63+P63+K63)</f>
        <v/>
      </c>
      <c r="U63" s="7">
        <f>IF($V63="","",T63-R63-J63)</f>
        <v/>
      </c>
      <c r="V63" s="13">
        <f>IF(ROWS($V$2:$V63)&lt;=MAX('Per Line'!$AL$2:$AL$1501),MATCH(ROWS($V$2:$V63),'Per Line'!$AL$2:$AL$1501,0),"")</f>
        <v/>
      </c>
    </row>
    <row r="64">
      <c r="A64" s="12" t="n"/>
      <c r="B64">
        <f>IF($V64="","",INDEX('Per Line'!$D$2:$D$1501,$V64)&amp;"")</f>
        <v/>
      </c>
      <c r="C64">
        <f>IF($V64="","",INDEX('Per Line'!$A$2:$A$1501,$V64))</f>
        <v/>
      </c>
      <c r="D64">
        <f>IF($V64="","",INDEX('Per Line'!$Z$2:$Z$1501,$V64)&amp;"")</f>
        <v/>
      </c>
      <c r="E64" s="11">
        <f>IF($V64="","",INDEX('Per Line'!$F$2:$F$1501,$V64))</f>
        <v/>
      </c>
      <c r="F64">
        <f>IF($V64="","",INDEX('Per Line'!$I$2:$I$1501,$V64)&amp;"")</f>
        <v/>
      </c>
      <c r="G64">
        <f>IF($V64="","",INDEX('Per Line'!$J$2:$J$1501,$V64)&amp;"")</f>
        <v/>
      </c>
      <c r="H64">
        <f>IF($V64="","",INDEX('Per Line'!$K$2:$K$1501,$V64)&amp;"")</f>
        <v/>
      </c>
      <c r="I64">
        <f>IF($V64="","",INDEX('Per Line'!$M$2:$M$1501,$V64))</f>
        <v/>
      </c>
      <c r="J64" s="7">
        <f>IF($V64="","",I64*T64/100)</f>
        <v/>
      </c>
      <c r="K64" s="7">
        <f>IF($V64="","",SUMIFS('Per Line'!$V$2:$V$1501,'Per Line'!$D$2:$D$1501,$B64,'Per Line'!$AN$2:$AN$1501,1))</f>
        <v/>
      </c>
      <c r="L64">
        <f>IF($V64="","",Settings!$C$7)</f>
        <v/>
      </c>
      <c r="M64" s="7">
        <f>IF($V64="","",SUMIFS('Per Line'!$V$2:$V$1501,'Per Line'!$D$2:$D$1501,$B64,'Per Line'!$AM$2:$AM$1501,0,'Per Line'!$AN$2:$AN$1501,0))</f>
        <v/>
      </c>
      <c r="N64" s="7">
        <f>IF($V64="","",M64*L64)</f>
        <v/>
      </c>
      <c r="O64">
        <f>IF($V64="","",Settings!$C$6)</f>
        <v/>
      </c>
      <c r="P64" s="7">
        <f>IF($V64="","",SUMIFS('Per Line'!$V$2:$V$1501,'Per Line'!$D$2:$D$1501,$B64,'Per Line'!$AM$2:$AM$1501,1,'Per Line'!$AN$2:$AN$1501,0))</f>
        <v/>
      </c>
      <c r="Q64" s="7">
        <f>IF($V64="","",P64*O64)</f>
        <v/>
      </c>
      <c r="R64" s="7">
        <f>IF($V64="","",Q64+N64)</f>
        <v/>
      </c>
      <c r="S64" s="7">
        <f>IF($V64="","",T64-R64)</f>
        <v/>
      </c>
      <c r="T64" s="7">
        <f>IF($V64="","",M64+P64+K64)</f>
        <v/>
      </c>
      <c r="U64" s="7">
        <f>IF($V64="","",T64-R64-J64)</f>
        <v/>
      </c>
      <c r="V64" s="13">
        <f>IF(ROWS($V$2:$V64)&lt;=MAX('Per Line'!$AL$2:$AL$1501),MATCH(ROWS($V$2:$V64),'Per Line'!$AL$2:$AL$1501,0),"")</f>
        <v/>
      </c>
    </row>
    <row r="65">
      <c r="A65" s="12" t="n"/>
      <c r="B65">
        <f>IF($V65="","",INDEX('Per Line'!$D$2:$D$1501,$V65)&amp;"")</f>
        <v/>
      </c>
      <c r="C65">
        <f>IF($V65="","",INDEX('Per Line'!$A$2:$A$1501,$V65))</f>
        <v/>
      </c>
      <c r="D65">
        <f>IF($V65="","",INDEX('Per Line'!$Z$2:$Z$1501,$V65)&amp;"")</f>
        <v/>
      </c>
      <c r="E65" s="11">
        <f>IF($V65="","",INDEX('Per Line'!$F$2:$F$1501,$V65))</f>
        <v/>
      </c>
      <c r="F65">
        <f>IF($V65="","",INDEX('Per Line'!$I$2:$I$1501,$V65)&amp;"")</f>
        <v/>
      </c>
      <c r="G65">
        <f>IF($V65="","",INDEX('Per Line'!$J$2:$J$1501,$V65)&amp;"")</f>
        <v/>
      </c>
      <c r="H65">
        <f>IF($V65="","",INDEX('Per Line'!$K$2:$K$1501,$V65)&amp;"")</f>
        <v/>
      </c>
      <c r="I65">
        <f>IF($V65="","",INDEX('Per Line'!$M$2:$M$1501,$V65))</f>
        <v/>
      </c>
      <c r="J65" s="7">
        <f>IF($V65="","",I65*T65/100)</f>
        <v/>
      </c>
      <c r="K65" s="7">
        <f>IF($V65="","",SUMIFS('Per Line'!$V$2:$V$1501,'Per Line'!$D$2:$D$1501,$B65,'Per Line'!$AN$2:$AN$1501,1))</f>
        <v/>
      </c>
      <c r="L65">
        <f>IF($V65="","",Settings!$C$7)</f>
        <v/>
      </c>
      <c r="M65" s="7">
        <f>IF($V65="","",SUMIFS('Per Line'!$V$2:$V$1501,'Per Line'!$D$2:$D$1501,$B65,'Per Line'!$AM$2:$AM$1501,0,'Per Line'!$AN$2:$AN$1501,0))</f>
        <v/>
      </c>
      <c r="N65" s="7">
        <f>IF($V65="","",M65*L65)</f>
        <v/>
      </c>
      <c r="O65">
        <f>IF($V65="","",Settings!$C$6)</f>
        <v/>
      </c>
      <c r="P65" s="7">
        <f>IF($V65="","",SUMIFS('Per Line'!$V$2:$V$1501,'Per Line'!$D$2:$D$1501,$B65,'Per Line'!$AM$2:$AM$1501,1,'Per Line'!$AN$2:$AN$1501,0))</f>
        <v/>
      </c>
      <c r="Q65" s="7">
        <f>IF($V65="","",P65*O65)</f>
        <v/>
      </c>
      <c r="R65" s="7">
        <f>IF($V65="","",Q65+N65)</f>
        <v/>
      </c>
      <c r="S65" s="7">
        <f>IF($V65="","",T65-R65)</f>
        <v/>
      </c>
      <c r="T65" s="7">
        <f>IF($V65="","",M65+P65+K65)</f>
        <v/>
      </c>
      <c r="U65" s="7">
        <f>IF($V65="","",T65-R65-J65)</f>
        <v/>
      </c>
      <c r="V65" s="13">
        <f>IF(ROWS($V$2:$V65)&lt;=MAX('Per Line'!$AL$2:$AL$1501),MATCH(ROWS($V$2:$V65),'Per Line'!$AL$2:$AL$1501,0),"")</f>
        <v/>
      </c>
    </row>
    <row r="66">
      <c r="A66" s="12" t="n"/>
      <c r="B66">
        <f>IF($V66="","",INDEX('Per Line'!$D$2:$D$1501,$V66)&amp;"")</f>
        <v/>
      </c>
      <c r="C66">
        <f>IF($V66="","",INDEX('Per Line'!$A$2:$A$1501,$V66))</f>
        <v/>
      </c>
      <c r="D66">
        <f>IF($V66="","",INDEX('Per Line'!$Z$2:$Z$1501,$V66)&amp;"")</f>
        <v/>
      </c>
      <c r="E66" s="11">
        <f>IF($V66="","",INDEX('Per Line'!$F$2:$F$1501,$V66))</f>
        <v/>
      </c>
      <c r="F66">
        <f>IF($V66="","",INDEX('Per Line'!$I$2:$I$1501,$V66)&amp;"")</f>
        <v/>
      </c>
      <c r="G66">
        <f>IF($V66="","",INDEX('Per Line'!$J$2:$J$1501,$V66)&amp;"")</f>
        <v/>
      </c>
      <c r="H66">
        <f>IF($V66="","",INDEX('Per Line'!$K$2:$K$1501,$V66)&amp;"")</f>
        <v/>
      </c>
      <c r="I66">
        <f>IF($V66="","",INDEX('Per Line'!$M$2:$M$1501,$V66))</f>
        <v/>
      </c>
      <c r="J66" s="7">
        <f>IF($V66="","",I66*T66/100)</f>
        <v/>
      </c>
      <c r="K66" s="7">
        <f>IF($V66="","",SUMIFS('Per Line'!$V$2:$V$1501,'Per Line'!$D$2:$D$1501,$B66,'Per Line'!$AN$2:$AN$1501,1))</f>
        <v/>
      </c>
      <c r="L66">
        <f>IF($V66="","",Settings!$C$7)</f>
        <v/>
      </c>
      <c r="M66" s="7">
        <f>IF($V66="","",SUMIFS('Per Line'!$V$2:$V$1501,'Per Line'!$D$2:$D$1501,$B66,'Per Line'!$AM$2:$AM$1501,0,'Per Line'!$AN$2:$AN$1501,0))</f>
        <v/>
      </c>
      <c r="N66" s="7">
        <f>IF($V66="","",M66*L66)</f>
        <v/>
      </c>
      <c r="O66">
        <f>IF($V66="","",Settings!$C$6)</f>
        <v/>
      </c>
      <c r="P66" s="7">
        <f>IF($V66="","",SUMIFS('Per Line'!$V$2:$V$1501,'Per Line'!$D$2:$D$1501,$B66,'Per Line'!$AM$2:$AM$1501,1,'Per Line'!$AN$2:$AN$1501,0))</f>
        <v/>
      </c>
      <c r="Q66" s="7">
        <f>IF($V66="","",P66*O66)</f>
        <v/>
      </c>
      <c r="R66" s="7">
        <f>IF($V66="","",Q66+N66)</f>
        <v/>
      </c>
      <c r="S66" s="7">
        <f>IF($V66="","",T66-R66)</f>
        <v/>
      </c>
      <c r="T66" s="7">
        <f>IF($V66="","",M66+P66+K66)</f>
        <v/>
      </c>
      <c r="U66" s="7">
        <f>IF($V66="","",T66-R66-J66)</f>
        <v/>
      </c>
      <c r="V66" s="13">
        <f>IF(ROWS($V$2:$V66)&lt;=MAX('Per Line'!$AL$2:$AL$1501),MATCH(ROWS($V$2:$V66),'Per Line'!$AL$2:$AL$1501,0),"")</f>
        <v/>
      </c>
    </row>
    <row r="67">
      <c r="A67" s="12" t="n"/>
      <c r="B67">
        <f>IF($V67="","",INDEX('Per Line'!$D$2:$D$1501,$V67)&amp;"")</f>
        <v/>
      </c>
      <c r="C67">
        <f>IF($V67="","",INDEX('Per Line'!$A$2:$A$1501,$V67))</f>
        <v/>
      </c>
      <c r="D67">
        <f>IF($V67="","",INDEX('Per Line'!$Z$2:$Z$1501,$V67)&amp;"")</f>
        <v/>
      </c>
      <c r="E67" s="11">
        <f>IF($V67="","",INDEX('Per Line'!$F$2:$F$1501,$V67))</f>
        <v/>
      </c>
      <c r="F67">
        <f>IF($V67="","",INDEX('Per Line'!$I$2:$I$1501,$V67)&amp;"")</f>
        <v/>
      </c>
      <c r="G67">
        <f>IF($V67="","",INDEX('Per Line'!$J$2:$J$1501,$V67)&amp;"")</f>
        <v/>
      </c>
      <c r="H67">
        <f>IF($V67="","",INDEX('Per Line'!$K$2:$K$1501,$V67)&amp;"")</f>
        <v/>
      </c>
      <c r="I67">
        <f>IF($V67="","",INDEX('Per Line'!$M$2:$M$1501,$V67))</f>
        <v/>
      </c>
      <c r="J67" s="7">
        <f>IF($V67="","",I67*T67/100)</f>
        <v/>
      </c>
      <c r="K67" s="7">
        <f>IF($V67="","",SUMIFS('Per Line'!$V$2:$V$1501,'Per Line'!$D$2:$D$1501,$B67,'Per Line'!$AN$2:$AN$1501,1))</f>
        <v/>
      </c>
      <c r="L67">
        <f>IF($V67="","",Settings!$C$7)</f>
        <v/>
      </c>
      <c r="M67" s="7">
        <f>IF($V67="","",SUMIFS('Per Line'!$V$2:$V$1501,'Per Line'!$D$2:$D$1501,$B67,'Per Line'!$AM$2:$AM$1501,0,'Per Line'!$AN$2:$AN$1501,0))</f>
        <v/>
      </c>
      <c r="N67" s="7">
        <f>IF($V67="","",M67*L67)</f>
        <v/>
      </c>
      <c r="O67">
        <f>IF($V67="","",Settings!$C$6)</f>
        <v/>
      </c>
      <c r="P67" s="7">
        <f>IF($V67="","",SUMIFS('Per Line'!$V$2:$V$1501,'Per Line'!$D$2:$D$1501,$B67,'Per Line'!$AM$2:$AM$1501,1,'Per Line'!$AN$2:$AN$1501,0))</f>
        <v/>
      </c>
      <c r="Q67" s="7">
        <f>IF($V67="","",P67*O67)</f>
        <v/>
      </c>
      <c r="R67" s="7">
        <f>IF($V67="","",Q67+N67)</f>
        <v/>
      </c>
      <c r="S67" s="7">
        <f>IF($V67="","",T67-R67)</f>
        <v/>
      </c>
      <c r="T67" s="7">
        <f>IF($V67="","",M67+P67+K67)</f>
        <v/>
      </c>
      <c r="U67" s="7">
        <f>IF($V67="","",T67-R67-J67)</f>
        <v/>
      </c>
      <c r="V67" s="13">
        <f>IF(ROWS($V$2:$V67)&lt;=MAX('Per Line'!$AL$2:$AL$1501),MATCH(ROWS($V$2:$V67),'Per Line'!$AL$2:$AL$1501,0),"")</f>
        <v/>
      </c>
    </row>
    <row r="68">
      <c r="A68" s="12" t="n"/>
      <c r="B68">
        <f>IF($V68="","",INDEX('Per Line'!$D$2:$D$1501,$V68)&amp;"")</f>
        <v/>
      </c>
      <c r="C68">
        <f>IF($V68="","",INDEX('Per Line'!$A$2:$A$1501,$V68))</f>
        <v/>
      </c>
      <c r="D68">
        <f>IF($V68="","",INDEX('Per Line'!$Z$2:$Z$1501,$V68)&amp;"")</f>
        <v/>
      </c>
      <c r="E68" s="11">
        <f>IF($V68="","",INDEX('Per Line'!$F$2:$F$1501,$V68))</f>
        <v/>
      </c>
      <c r="F68">
        <f>IF($V68="","",INDEX('Per Line'!$I$2:$I$1501,$V68)&amp;"")</f>
        <v/>
      </c>
      <c r="G68">
        <f>IF($V68="","",INDEX('Per Line'!$J$2:$J$1501,$V68)&amp;"")</f>
        <v/>
      </c>
      <c r="H68">
        <f>IF($V68="","",INDEX('Per Line'!$K$2:$K$1501,$V68)&amp;"")</f>
        <v/>
      </c>
      <c r="I68">
        <f>IF($V68="","",INDEX('Per Line'!$M$2:$M$1501,$V68))</f>
        <v/>
      </c>
      <c r="J68" s="7">
        <f>IF($V68="","",I68*T68/100)</f>
        <v/>
      </c>
      <c r="K68" s="7">
        <f>IF($V68="","",SUMIFS('Per Line'!$V$2:$V$1501,'Per Line'!$D$2:$D$1501,$B68,'Per Line'!$AN$2:$AN$1501,1))</f>
        <v/>
      </c>
      <c r="L68">
        <f>IF($V68="","",Settings!$C$7)</f>
        <v/>
      </c>
      <c r="M68" s="7">
        <f>IF($V68="","",SUMIFS('Per Line'!$V$2:$V$1501,'Per Line'!$D$2:$D$1501,$B68,'Per Line'!$AM$2:$AM$1501,0,'Per Line'!$AN$2:$AN$1501,0))</f>
        <v/>
      </c>
      <c r="N68" s="7">
        <f>IF($V68="","",M68*L68)</f>
        <v/>
      </c>
      <c r="O68">
        <f>IF($V68="","",Settings!$C$6)</f>
        <v/>
      </c>
      <c r="P68" s="7">
        <f>IF($V68="","",SUMIFS('Per Line'!$V$2:$V$1501,'Per Line'!$D$2:$D$1501,$B68,'Per Line'!$AM$2:$AM$1501,1,'Per Line'!$AN$2:$AN$1501,0))</f>
        <v/>
      </c>
      <c r="Q68" s="7">
        <f>IF($V68="","",P68*O68)</f>
        <v/>
      </c>
      <c r="R68" s="7">
        <f>IF($V68="","",Q68+N68)</f>
        <v/>
      </c>
      <c r="S68" s="7">
        <f>IF($V68="","",T68-R68)</f>
        <v/>
      </c>
      <c r="T68" s="7">
        <f>IF($V68="","",M68+P68+K68)</f>
        <v/>
      </c>
      <c r="U68" s="7">
        <f>IF($V68="","",T68-R68-J68)</f>
        <v/>
      </c>
      <c r="V68" s="13">
        <f>IF(ROWS($V$2:$V68)&lt;=MAX('Per Line'!$AL$2:$AL$1501),MATCH(ROWS($V$2:$V68),'Per Line'!$AL$2:$AL$1501,0),"")</f>
        <v/>
      </c>
    </row>
    <row r="69">
      <c r="A69" s="12" t="n"/>
      <c r="B69">
        <f>IF($V69="","",INDEX('Per Line'!$D$2:$D$1501,$V69)&amp;"")</f>
        <v/>
      </c>
      <c r="C69">
        <f>IF($V69="","",INDEX('Per Line'!$A$2:$A$1501,$V69))</f>
        <v/>
      </c>
      <c r="D69">
        <f>IF($V69="","",INDEX('Per Line'!$Z$2:$Z$1501,$V69)&amp;"")</f>
        <v/>
      </c>
      <c r="E69" s="11">
        <f>IF($V69="","",INDEX('Per Line'!$F$2:$F$1501,$V69))</f>
        <v/>
      </c>
      <c r="F69">
        <f>IF($V69="","",INDEX('Per Line'!$I$2:$I$1501,$V69)&amp;"")</f>
        <v/>
      </c>
      <c r="G69">
        <f>IF($V69="","",INDEX('Per Line'!$J$2:$J$1501,$V69)&amp;"")</f>
        <v/>
      </c>
      <c r="H69">
        <f>IF($V69="","",INDEX('Per Line'!$K$2:$K$1501,$V69)&amp;"")</f>
        <v/>
      </c>
      <c r="I69">
        <f>IF($V69="","",INDEX('Per Line'!$M$2:$M$1501,$V69))</f>
        <v/>
      </c>
      <c r="J69" s="7">
        <f>IF($V69="","",I69*T69/100)</f>
        <v/>
      </c>
      <c r="K69" s="7">
        <f>IF($V69="","",SUMIFS('Per Line'!$V$2:$V$1501,'Per Line'!$D$2:$D$1501,$B69,'Per Line'!$AN$2:$AN$1501,1))</f>
        <v/>
      </c>
      <c r="L69">
        <f>IF($V69="","",Settings!$C$7)</f>
        <v/>
      </c>
      <c r="M69" s="7">
        <f>IF($V69="","",SUMIFS('Per Line'!$V$2:$V$1501,'Per Line'!$D$2:$D$1501,$B69,'Per Line'!$AM$2:$AM$1501,0,'Per Line'!$AN$2:$AN$1501,0))</f>
        <v/>
      </c>
      <c r="N69" s="7">
        <f>IF($V69="","",M69*L69)</f>
        <v/>
      </c>
      <c r="O69">
        <f>IF($V69="","",Settings!$C$6)</f>
        <v/>
      </c>
      <c r="P69" s="7">
        <f>IF($V69="","",SUMIFS('Per Line'!$V$2:$V$1501,'Per Line'!$D$2:$D$1501,$B69,'Per Line'!$AM$2:$AM$1501,1,'Per Line'!$AN$2:$AN$1501,0))</f>
        <v/>
      </c>
      <c r="Q69" s="7">
        <f>IF($V69="","",P69*O69)</f>
        <v/>
      </c>
      <c r="R69" s="7">
        <f>IF($V69="","",Q69+N69)</f>
        <v/>
      </c>
      <c r="S69" s="7">
        <f>IF($V69="","",T69-R69)</f>
        <v/>
      </c>
      <c r="T69" s="7">
        <f>IF($V69="","",M69+P69+K69)</f>
        <v/>
      </c>
      <c r="U69" s="7">
        <f>IF($V69="","",T69-R69-J69)</f>
        <v/>
      </c>
      <c r="V69" s="13">
        <f>IF(ROWS($V$2:$V69)&lt;=MAX('Per Line'!$AL$2:$AL$1501),MATCH(ROWS($V$2:$V69),'Per Line'!$AL$2:$AL$1501,0),"")</f>
        <v/>
      </c>
    </row>
    <row r="70">
      <c r="A70" s="12" t="n"/>
      <c r="B70">
        <f>IF($V70="","",INDEX('Per Line'!$D$2:$D$1501,$V70)&amp;"")</f>
        <v/>
      </c>
      <c r="C70">
        <f>IF($V70="","",INDEX('Per Line'!$A$2:$A$1501,$V70))</f>
        <v/>
      </c>
      <c r="D70">
        <f>IF($V70="","",INDEX('Per Line'!$Z$2:$Z$1501,$V70)&amp;"")</f>
        <v/>
      </c>
      <c r="E70" s="11">
        <f>IF($V70="","",INDEX('Per Line'!$F$2:$F$1501,$V70))</f>
        <v/>
      </c>
      <c r="F70">
        <f>IF($V70="","",INDEX('Per Line'!$I$2:$I$1501,$V70)&amp;"")</f>
        <v/>
      </c>
      <c r="G70">
        <f>IF($V70="","",INDEX('Per Line'!$J$2:$J$1501,$V70)&amp;"")</f>
        <v/>
      </c>
      <c r="H70">
        <f>IF($V70="","",INDEX('Per Line'!$K$2:$K$1501,$V70)&amp;"")</f>
        <v/>
      </c>
      <c r="I70">
        <f>IF($V70="","",INDEX('Per Line'!$M$2:$M$1501,$V70))</f>
        <v/>
      </c>
      <c r="J70" s="7">
        <f>IF($V70="","",I70*T70/100)</f>
        <v/>
      </c>
      <c r="K70" s="7">
        <f>IF($V70="","",SUMIFS('Per Line'!$V$2:$V$1501,'Per Line'!$D$2:$D$1501,$B70,'Per Line'!$AN$2:$AN$1501,1))</f>
        <v/>
      </c>
      <c r="L70">
        <f>IF($V70="","",Settings!$C$7)</f>
        <v/>
      </c>
      <c r="M70" s="7">
        <f>IF($V70="","",SUMIFS('Per Line'!$V$2:$V$1501,'Per Line'!$D$2:$D$1501,$B70,'Per Line'!$AM$2:$AM$1501,0,'Per Line'!$AN$2:$AN$1501,0))</f>
        <v/>
      </c>
      <c r="N70" s="7">
        <f>IF($V70="","",M70*L70)</f>
        <v/>
      </c>
      <c r="O70">
        <f>IF($V70="","",Settings!$C$6)</f>
        <v/>
      </c>
      <c r="P70" s="7">
        <f>IF($V70="","",SUMIFS('Per Line'!$V$2:$V$1501,'Per Line'!$D$2:$D$1501,$B70,'Per Line'!$AM$2:$AM$1501,1,'Per Line'!$AN$2:$AN$1501,0))</f>
        <v/>
      </c>
      <c r="Q70" s="7">
        <f>IF($V70="","",P70*O70)</f>
        <v/>
      </c>
      <c r="R70" s="7">
        <f>IF($V70="","",Q70+N70)</f>
        <v/>
      </c>
      <c r="S70" s="7">
        <f>IF($V70="","",T70-R70)</f>
        <v/>
      </c>
      <c r="T70" s="7">
        <f>IF($V70="","",M70+P70+K70)</f>
        <v/>
      </c>
      <c r="U70" s="7">
        <f>IF($V70="","",T70-R70-J70)</f>
        <v/>
      </c>
      <c r="V70" s="13">
        <f>IF(ROWS($V$2:$V70)&lt;=MAX('Per Line'!$AL$2:$AL$1501),MATCH(ROWS($V$2:$V70),'Per Line'!$AL$2:$AL$1501,0),"")</f>
        <v/>
      </c>
    </row>
    <row r="71">
      <c r="A71" s="12" t="n"/>
      <c r="B71">
        <f>IF($V71="","",INDEX('Per Line'!$D$2:$D$1501,$V71)&amp;"")</f>
        <v/>
      </c>
      <c r="C71">
        <f>IF($V71="","",INDEX('Per Line'!$A$2:$A$1501,$V71))</f>
        <v/>
      </c>
      <c r="D71">
        <f>IF($V71="","",INDEX('Per Line'!$Z$2:$Z$1501,$V71)&amp;"")</f>
        <v/>
      </c>
      <c r="E71" s="11">
        <f>IF($V71="","",INDEX('Per Line'!$F$2:$F$1501,$V71))</f>
        <v/>
      </c>
      <c r="F71">
        <f>IF($V71="","",INDEX('Per Line'!$I$2:$I$1501,$V71)&amp;"")</f>
        <v/>
      </c>
      <c r="G71">
        <f>IF($V71="","",INDEX('Per Line'!$J$2:$J$1501,$V71)&amp;"")</f>
        <v/>
      </c>
      <c r="H71">
        <f>IF($V71="","",INDEX('Per Line'!$K$2:$K$1501,$V71)&amp;"")</f>
        <v/>
      </c>
      <c r="I71">
        <f>IF($V71="","",INDEX('Per Line'!$M$2:$M$1501,$V71))</f>
        <v/>
      </c>
      <c r="J71" s="7">
        <f>IF($V71="","",I71*T71/100)</f>
        <v/>
      </c>
      <c r="K71" s="7">
        <f>IF($V71="","",SUMIFS('Per Line'!$V$2:$V$1501,'Per Line'!$D$2:$D$1501,$B71,'Per Line'!$AN$2:$AN$1501,1))</f>
        <v/>
      </c>
      <c r="L71">
        <f>IF($V71="","",Settings!$C$7)</f>
        <v/>
      </c>
      <c r="M71" s="7">
        <f>IF($V71="","",SUMIFS('Per Line'!$V$2:$V$1501,'Per Line'!$D$2:$D$1501,$B71,'Per Line'!$AM$2:$AM$1501,0,'Per Line'!$AN$2:$AN$1501,0))</f>
        <v/>
      </c>
      <c r="N71" s="7">
        <f>IF($V71="","",M71*L71)</f>
        <v/>
      </c>
      <c r="O71">
        <f>IF($V71="","",Settings!$C$6)</f>
        <v/>
      </c>
      <c r="P71" s="7">
        <f>IF($V71="","",SUMIFS('Per Line'!$V$2:$V$1501,'Per Line'!$D$2:$D$1501,$B71,'Per Line'!$AM$2:$AM$1501,1,'Per Line'!$AN$2:$AN$1501,0))</f>
        <v/>
      </c>
      <c r="Q71" s="7">
        <f>IF($V71="","",P71*O71)</f>
        <v/>
      </c>
      <c r="R71" s="7">
        <f>IF($V71="","",Q71+N71)</f>
        <v/>
      </c>
      <c r="S71" s="7">
        <f>IF($V71="","",T71-R71)</f>
        <v/>
      </c>
      <c r="T71" s="7">
        <f>IF($V71="","",M71+P71+K71)</f>
        <v/>
      </c>
      <c r="U71" s="7">
        <f>IF($V71="","",T71-R71-J71)</f>
        <v/>
      </c>
      <c r="V71" s="13">
        <f>IF(ROWS($V$2:$V71)&lt;=MAX('Per Line'!$AL$2:$AL$1501),MATCH(ROWS($V$2:$V71),'Per Line'!$AL$2:$AL$1501,0),"")</f>
        <v/>
      </c>
    </row>
    <row r="72">
      <c r="A72" s="12" t="n"/>
      <c r="B72">
        <f>IF($V72="","",INDEX('Per Line'!$D$2:$D$1501,$V72)&amp;"")</f>
        <v/>
      </c>
      <c r="C72">
        <f>IF($V72="","",INDEX('Per Line'!$A$2:$A$1501,$V72))</f>
        <v/>
      </c>
      <c r="D72">
        <f>IF($V72="","",INDEX('Per Line'!$Z$2:$Z$1501,$V72)&amp;"")</f>
        <v/>
      </c>
      <c r="E72" s="11">
        <f>IF($V72="","",INDEX('Per Line'!$F$2:$F$1501,$V72))</f>
        <v/>
      </c>
      <c r="F72">
        <f>IF($V72="","",INDEX('Per Line'!$I$2:$I$1501,$V72)&amp;"")</f>
        <v/>
      </c>
      <c r="G72">
        <f>IF($V72="","",INDEX('Per Line'!$J$2:$J$1501,$V72)&amp;"")</f>
        <v/>
      </c>
      <c r="H72">
        <f>IF($V72="","",INDEX('Per Line'!$K$2:$K$1501,$V72)&amp;"")</f>
        <v/>
      </c>
      <c r="I72">
        <f>IF($V72="","",INDEX('Per Line'!$M$2:$M$1501,$V72))</f>
        <v/>
      </c>
      <c r="J72" s="7">
        <f>IF($V72="","",I72*T72/100)</f>
        <v/>
      </c>
      <c r="K72" s="7">
        <f>IF($V72="","",SUMIFS('Per Line'!$V$2:$V$1501,'Per Line'!$D$2:$D$1501,$B72,'Per Line'!$AN$2:$AN$1501,1))</f>
        <v/>
      </c>
      <c r="L72">
        <f>IF($V72="","",Settings!$C$7)</f>
        <v/>
      </c>
      <c r="M72" s="7">
        <f>IF($V72="","",SUMIFS('Per Line'!$V$2:$V$1501,'Per Line'!$D$2:$D$1501,$B72,'Per Line'!$AM$2:$AM$1501,0,'Per Line'!$AN$2:$AN$1501,0))</f>
        <v/>
      </c>
      <c r="N72" s="7">
        <f>IF($V72="","",M72*L72)</f>
        <v/>
      </c>
      <c r="O72">
        <f>IF($V72="","",Settings!$C$6)</f>
        <v/>
      </c>
      <c r="P72" s="7">
        <f>IF($V72="","",SUMIFS('Per Line'!$V$2:$V$1501,'Per Line'!$D$2:$D$1501,$B72,'Per Line'!$AM$2:$AM$1501,1,'Per Line'!$AN$2:$AN$1501,0))</f>
        <v/>
      </c>
      <c r="Q72" s="7">
        <f>IF($V72="","",P72*O72)</f>
        <v/>
      </c>
      <c r="R72" s="7">
        <f>IF($V72="","",Q72+N72)</f>
        <v/>
      </c>
      <c r="S72" s="7">
        <f>IF($V72="","",T72-R72)</f>
        <v/>
      </c>
      <c r="T72" s="7">
        <f>IF($V72="","",M72+P72+K72)</f>
        <v/>
      </c>
      <c r="U72" s="7">
        <f>IF($V72="","",T72-R72-J72)</f>
        <v/>
      </c>
      <c r="V72" s="13">
        <f>IF(ROWS($V$2:$V72)&lt;=MAX('Per Line'!$AL$2:$AL$1501),MATCH(ROWS($V$2:$V72),'Per Line'!$AL$2:$AL$1501,0),"")</f>
        <v/>
      </c>
    </row>
    <row r="73">
      <c r="A73" s="12" t="n"/>
      <c r="B73">
        <f>IF($V73="","",INDEX('Per Line'!$D$2:$D$1501,$V73)&amp;"")</f>
        <v/>
      </c>
      <c r="C73">
        <f>IF($V73="","",INDEX('Per Line'!$A$2:$A$1501,$V73))</f>
        <v/>
      </c>
      <c r="D73">
        <f>IF($V73="","",INDEX('Per Line'!$Z$2:$Z$1501,$V73)&amp;"")</f>
        <v/>
      </c>
      <c r="E73" s="11">
        <f>IF($V73="","",INDEX('Per Line'!$F$2:$F$1501,$V73))</f>
        <v/>
      </c>
      <c r="F73">
        <f>IF($V73="","",INDEX('Per Line'!$I$2:$I$1501,$V73)&amp;"")</f>
        <v/>
      </c>
      <c r="G73">
        <f>IF($V73="","",INDEX('Per Line'!$J$2:$J$1501,$V73)&amp;"")</f>
        <v/>
      </c>
      <c r="H73">
        <f>IF($V73="","",INDEX('Per Line'!$K$2:$K$1501,$V73)&amp;"")</f>
        <v/>
      </c>
      <c r="I73">
        <f>IF($V73="","",INDEX('Per Line'!$M$2:$M$1501,$V73))</f>
        <v/>
      </c>
      <c r="J73" s="7">
        <f>IF($V73="","",I73*T73/100)</f>
        <v/>
      </c>
      <c r="K73" s="7">
        <f>IF($V73="","",SUMIFS('Per Line'!$V$2:$V$1501,'Per Line'!$D$2:$D$1501,$B73,'Per Line'!$AN$2:$AN$1501,1))</f>
        <v/>
      </c>
      <c r="L73">
        <f>IF($V73="","",Settings!$C$7)</f>
        <v/>
      </c>
      <c r="M73" s="7">
        <f>IF($V73="","",SUMIFS('Per Line'!$V$2:$V$1501,'Per Line'!$D$2:$D$1501,$B73,'Per Line'!$AM$2:$AM$1501,0,'Per Line'!$AN$2:$AN$1501,0))</f>
        <v/>
      </c>
      <c r="N73" s="7">
        <f>IF($V73="","",M73*L73)</f>
        <v/>
      </c>
      <c r="O73">
        <f>IF($V73="","",Settings!$C$6)</f>
        <v/>
      </c>
      <c r="P73" s="7">
        <f>IF($V73="","",SUMIFS('Per Line'!$V$2:$V$1501,'Per Line'!$D$2:$D$1501,$B73,'Per Line'!$AM$2:$AM$1501,1,'Per Line'!$AN$2:$AN$1501,0))</f>
        <v/>
      </c>
      <c r="Q73" s="7">
        <f>IF($V73="","",P73*O73)</f>
        <v/>
      </c>
      <c r="R73" s="7">
        <f>IF($V73="","",Q73+N73)</f>
        <v/>
      </c>
      <c r="S73" s="7">
        <f>IF($V73="","",T73-R73)</f>
        <v/>
      </c>
      <c r="T73" s="7">
        <f>IF($V73="","",M73+P73+K73)</f>
        <v/>
      </c>
      <c r="U73" s="7">
        <f>IF($V73="","",T73-R73-J73)</f>
        <v/>
      </c>
      <c r="V73" s="13">
        <f>IF(ROWS($V$2:$V73)&lt;=MAX('Per Line'!$AL$2:$AL$1501),MATCH(ROWS($V$2:$V73),'Per Line'!$AL$2:$AL$1501,0),"")</f>
        <v/>
      </c>
    </row>
    <row r="74">
      <c r="A74" s="12" t="n"/>
      <c r="B74">
        <f>IF($V74="","",INDEX('Per Line'!$D$2:$D$1501,$V74)&amp;"")</f>
        <v/>
      </c>
      <c r="C74">
        <f>IF($V74="","",INDEX('Per Line'!$A$2:$A$1501,$V74))</f>
        <v/>
      </c>
      <c r="D74">
        <f>IF($V74="","",INDEX('Per Line'!$Z$2:$Z$1501,$V74)&amp;"")</f>
        <v/>
      </c>
      <c r="E74" s="11">
        <f>IF($V74="","",INDEX('Per Line'!$F$2:$F$1501,$V74))</f>
        <v/>
      </c>
      <c r="F74">
        <f>IF($V74="","",INDEX('Per Line'!$I$2:$I$1501,$V74)&amp;"")</f>
        <v/>
      </c>
      <c r="G74">
        <f>IF($V74="","",INDEX('Per Line'!$J$2:$J$1501,$V74)&amp;"")</f>
        <v/>
      </c>
      <c r="H74">
        <f>IF($V74="","",INDEX('Per Line'!$K$2:$K$1501,$V74)&amp;"")</f>
        <v/>
      </c>
      <c r="I74">
        <f>IF($V74="","",INDEX('Per Line'!$M$2:$M$1501,$V74))</f>
        <v/>
      </c>
      <c r="J74" s="7">
        <f>IF($V74="","",I74*T74/100)</f>
        <v/>
      </c>
      <c r="K74" s="7">
        <f>IF($V74="","",SUMIFS('Per Line'!$V$2:$V$1501,'Per Line'!$D$2:$D$1501,$B74,'Per Line'!$AN$2:$AN$1501,1))</f>
        <v/>
      </c>
      <c r="L74">
        <f>IF($V74="","",Settings!$C$7)</f>
        <v/>
      </c>
      <c r="M74" s="7">
        <f>IF($V74="","",SUMIFS('Per Line'!$V$2:$V$1501,'Per Line'!$D$2:$D$1501,$B74,'Per Line'!$AM$2:$AM$1501,0,'Per Line'!$AN$2:$AN$1501,0))</f>
        <v/>
      </c>
      <c r="N74" s="7">
        <f>IF($V74="","",M74*L74)</f>
        <v/>
      </c>
      <c r="O74">
        <f>IF($V74="","",Settings!$C$6)</f>
        <v/>
      </c>
      <c r="P74" s="7">
        <f>IF($V74="","",SUMIFS('Per Line'!$V$2:$V$1501,'Per Line'!$D$2:$D$1501,$B74,'Per Line'!$AM$2:$AM$1501,1,'Per Line'!$AN$2:$AN$1501,0))</f>
        <v/>
      </c>
      <c r="Q74" s="7">
        <f>IF($V74="","",P74*O74)</f>
        <v/>
      </c>
      <c r="R74" s="7">
        <f>IF($V74="","",Q74+N74)</f>
        <v/>
      </c>
      <c r="S74" s="7">
        <f>IF($V74="","",T74-R74)</f>
        <v/>
      </c>
      <c r="T74" s="7">
        <f>IF($V74="","",M74+P74+K74)</f>
        <v/>
      </c>
      <c r="U74" s="7">
        <f>IF($V74="","",T74-R74-J74)</f>
        <v/>
      </c>
      <c r="V74" s="13">
        <f>IF(ROWS($V$2:$V74)&lt;=MAX('Per Line'!$AL$2:$AL$1501),MATCH(ROWS($V$2:$V74),'Per Line'!$AL$2:$AL$1501,0),"")</f>
        <v/>
      </c>
    </row>
    <row r="75">
      <c r="A75" s="12" t="n"/>
      <c r="B75">
        <f>IF($V75="","",INDEX('Per Line'!$D$2:$D$1501,$V75)&amp;"")</f>
        <v/>
      </c>
      <c r="C75">
        <f>IF($V75="","",INDEX('Per Line'!$A$2:$A$1501,$V75))</f>
        <v/>
      </c>
      <c r="D75">
        <f>IF($V75="","",INDEX('Per Line'!$Z$2:$Z$1501,$V75)&amp;"")</f>
        <v/>
      </c>
      <c r="E75" s="11">
        <f>IF($V75="","",INDEX('Per Line'!$F$2:$F$1501,$V75))</f>
        <v/>
      </c>
      <c r="F75">
        <f>IF($V75="","",INDEX('Per Line'!$I$2:$I$1501,$V75)&amp;"")</f>
        <v/>
      </c>
      <c r="G75">
        <f>IF($V75="","",INDEX('Per Line'!$J$2:$J$1501,$V75)&amp;"")</f>
        <v/>
      </c>
      <c r="H75">
        <f>IF($V75="","",INDEX('Per Line'!$K$2:$K$1501,$V75)&amp;"")</f>
        <v/>
      </c>
      <c r="I75">
        <f>IF($V75="","",INDEX('Per Line'!$M$2:$M$1501,$V75))</f>
        <v/>
      </c>
      <c r="J75" s="7">
        <f>IF($V75="","",I75*T75/100)</f>
        <v/>
      </c>
      <c r="K75" s="7">
        <f>IF($V75="","",SUMIFS('Per Line'!$V$2:$V$1501,'Per Line'!$D$2:$D$1501,$B75,'Per Line'!$AN$2:$AN$1501,1))</f>
        <v/>
      </c>
      <c r="L75">
        <f>IF($V75="","",Settings!$C$7)</f>
        <v/>
      </c>
      <c r="M75" s="7">
        <f>IF($V75="","",SUMIFS('Per Line'!$V$2:$V$1501,'Per Line'!$D$2:$D$1501,$B75,'Per Line'!$AM$2:$AM$1501,0,'Per Line'!$AN$2:$AN$1501,0))</f>
        <v/>
      </c>
      <c r="N75" s="7">
        <f>IF($V75="","",M75*L75)</f>
        <v/>
      </c>
      <c r="O75">
        <f>IF($V75="","",Settings!$C$6)</f>
        <v/>
      </c>
      <c r="P75" s="7">
        <f>IF($V75="","",SUMIFS('Per Line'!$V$2:$V$1501,'Per Line'!$D$2:$D$1501,$B75,'Per Line'!$AM$2:$AM$1501,1,'Per Line'!$AN$2:$AN$1501,0))</f>
        <v/>
      </c>
      <c r="Q75" s="7">
        <f>IF($V75="","",P75*O75)</f>
        <v/>
      </c>
      <c r="R75" s="7">
        <f>IF($V75="","",Q75+N75)</f>
        <v/>
      </c>
      <c r="S75" s="7">
        <f>IF($V75="","",T75-R75)</f>
        <v/>
      </c>
      <c r="T75" s="7">
        <f>IF($V75="","",M75+P75+K75)</f>
        <v/>
      </c>
      <c r="U75" s="7">
        <f>IF($V75="","",T75-R75-J75)</f>
        <v/>
      </c>
      <c r="V75" s="13">
        <f>IF(ROWS($V$2:$V75)&lt;=MAX('Per Line'!$AL$2:$AL$1501),MATCH(ROWS($V$2:$V75),'Per Line'!$AL$2:$AL$1501,0),"")</f>
        <v/>
      </c>
    </row>
    <row r="76">
      <c r="A76" s="12" t="n"/>
      <c r="B76">
        <f>IF($V76="","",INDEX('Per Line'!$D$2:$D$1501,$V76)&amp;"")</f>
        <v/>
      </c>
      <c r="C76">
        <f>IF($V76="","",INDEX('Per Line'!$A$2:$A$1501,$V76))</f>
        <v/>
      </c>
      <c r="D76">
        <f>IF($V76="","",INDEX('Per Line'!$Z$2:$Z$1501,$V76)&amp;"")</f>
        <v/>
      </c>
      <c r="E76" s="11">
        <f>IF($V76="","",INDEX('Per Line'!$F$2:$F$1501,$V76))</f>
        <v/>
      </c>
      <c r="F76">
        <f>IF($V76="","",INDEX('Per Line'!$I$2:$I$1501,$V76)&amp;"")</f>
        <v/>
      </c>
      <c r="G76">
        <f>IF($V76="","",INDEX('Per Line'!$J$2:$J$1501,$V76)&amp;"")</f>
        <v/>
      </c>
      <c r="H76">
        <f>IF($V76="","",INDEX('Per Line'!$K$2:$K$1501,$V76)&amp;"")</f>
        <v/>
      </c>
      <c r="I76">
        <f>IF($V76="","",INDEX('Per Line'!$M$2:$M$1501,$V76))</f>
        <v/>
      </c>
      <c r="J76" s="7">
        <f>IF($V76="","",I76*T76/100)</f>
        <v/>
      </c>
      <c r="K76" s="7">
        <f>IF($V76="","",SUMIFS('Per Line'!$V$2:$V$1501,'Per Line'!$D$2:$D$1501,$B76,'Per Line'!$AN$2:$AN$1501,1))</f>
        <v/>
      </c>
      <c r="L76">
        <f>IF($V76="","",Settings!$C$7)</f>
        <v/>
      </c>
      <c r="M76" s="7">
        <f>IF($V76="","",SUMIFS('Per Line'!$V$2:$V$1501,'Per Line'!$D$2:$D$1501,$B76,'Per Line'!$AM$2:$AM$1501,0,'Per Line'!$AN$2:$AN$1501,0))</f>
        <v/>
      </c>
      <c r="N76" s="7">
        <f>IF($V76="","",M76*L76)</f>
        <v/>
      </c>
      <c r="O76">
        <f>IF($V76="","",Settings!$C$6)</f>
        <v/>
      </c>
      <c r="P76" s="7">
        <f>IF($V76="","",SUMIFS('Per Line'!$V$2:$V$1501,'Per Line'!$D$2:$D$1501,$B76,'Per Line'!$AM$2:$AM$1501,1,'Per Line'!$AN$2:$AN$1501,0))</f>
        <v/>
      </c>
      <c r="Q76" s="7">
        <f>IF($V76="","",P76*O76)</f>
        <v/>
      </c>
      <c r="R76" s="7">
        <f>IF($V76="","",Q76+N76)</f>
        <v/>
      </c>
      <c r="S76" s="7">
        <f>IF($V76="","",T76-R76)</f>
        <v/>
      </c>
      <c r="T76" s="7">
        <f>IF($V76="","",M76+P76+K76)</f>
        <v/>
      </c>
      <c r="U76" s="7">
        <f>IF($V76="","",T76-R76-J76)</f>
        <v/>
      </c>
      <c r="V76" s="13">
        <f>IF(ROWS($V$2:$V76)&lt;=MAX('Per Line'!$AL$2:$AL$1501),MATCH(ROWS($V$2:$V76),'Per Line'!$AL$2:$AL$1501,0),"")</f>
        <v/>
      </c>
    </row>
    <row r="77">
      <c r="A77" s="12" t="n"/>
      <c r="B77">
        <f>IF($V77="","",INDEX('Per Line'!$D$2:$D$1501,$V77)&amp;"")</f>
        <v/>
      </c>
      <c r="C77">
        <f>IF($V77="","",INDEX('Per Line'!$A$2:$A$1501,$V77))</f>
        <v/>
      </c>
      <c r="D77">
        <f>IF($V77="","",INDEX('Per Line'!$Z$2:$Z$1501,$V77)&amp;"")</f>
        <v/>
      </c>
      <c r="E77" s="11">
        <f>IF($V77="","",INDEX('Per Line'!$F$2:$F$1501,$V77))</f>
        <v/>
      </c>
      <c r="F77">
        <f>IF($V77="","",INDEX('Per Line'!$I$2:$I$1501,$V77)&amp;"")</f>
        <v/>
      </c>
      <c r="G77">
        <f>IF($V77="","",INDEX('Per Line'!$J$2:$J$1501,$V77)&amp;"")</f>
        <v/>
      </c>
      <c r="H77">
        <f>IF($V77="","",INDEX('Per Line'!$K$2:$K$1501,$V77)&amp;"")</f>
        <v/>
      </c>
      <c r="I77">
        <f>IF($V77="","",INDEX('Per Line'!$M$2:$M$1501,$V77))</f>
        <v/>
      </c>
      <c r="J77" s="7">
        <f>IF($V77="","",I77*T77/100)</f>
        <v/>
      </c>
      <c r="K77" s="7">
        <f>IF($V77="","",SUMIFS('Per Line'!$V$2:$V$1501,'Per Line'!$D$2:$D$1501,$B77,'Per Line'!$AN$2:$AN$1501,1))</f>
        <v/>
      </c>
      <c r="L77">
        <f>IF($V77="","",Settings!$C$7)</f>
        <v/>
      </c>
      <c r="M77" s="7">
        <f>IF($V77="","",SUMIFS('Per Line'!$V$2:$V$1501,'Per Line'!$D$2:$D$1501,$B77,'Per Line'!$AM$2:$AM$1501,0,'Per Line'!$AN$2:$AN$1501,0))</f>
        <v/>
      </c>
      <c r="N77" s="7">
        <f>IF($V77="","",M77*L77)</f>
        <v/>
      </c>
      <c r="O77">
        <f>IF($V77="","",Settings!$C$6)</f>
        <v/>
      </c>
      <c r="P77" s="7">
        <f>IF($V77="","",SUMIFS('Per Line'!$V$2:$V$1501,'Per Line'!$D$2:$D$1501,$B77,'Per Line'!$AM$2:$AM$1501,1,'Per Line'!$AN$2:$AN$1501,0))</f>
        <v/>
      </c>
      <c r="Q77" s="7">
        <f>IF($V77="","",P77*O77)</f>
        <v/>
      </c>
      <c r="R77" s="7">
        <f>IF($V77="","",Q77+N77)</f>
        <v/>
      </c>
      <c r="S77" s="7">
        <f>IF($V77="","",T77-R77)</f>
        <v/>
      </c>
      <c r="T77" s="7">
        <f>IF($V77="","",M77+P77+K77)</f>
        <v/>
      </c>
      <c r="U77" s="7">
        <f>IF($V77="","",T77-R77-J77)</f>
        <v/>
      </c>
      <c r="V77" s="13">
        <f>IF(ROWS($V$2:$V77)&lt;=MAX('Per Line'!$AL$2:$AL$1501),MATCH(ROWS($V$2:$V77),'Per Line'!$AL$2:$AL$1501,0),"")</f>
        <v/>
      </c>
    </row>
    <row r="78">
      <c r="A78" s="12" t="n"/>
      <c r="B78">
        <f>IF($V78="","",INDEX('Per Line'!$D$2:$D$1501,$V78)&amp;"")</f>
        <v/>
      </c>
      <c r="C78">
        <f>IF($V78="","",INDEX('Per Line'!$A$2:$A$1501,$V78))</f>
        <v/>
      </c>
      <c r="D78">
        <f>IF($V78="","",INDEX('Per Line'!$Z$2:$Z$1501,$V78)&amp;"")</f>
        <v/>
      </c>
      <c r="E78" s="11">
        <f>IF($V78="","",INDEX('Per Line'!$F$2:$F$1501,$V78))</f>
        <v/>
      </c>
      <c r="F78">
        <f>IF($V78="","",INDEX('Per Line'!$I$2:$I$1501,$V78)&amp;"")</f>
        <v/>
      </c>
      <c r="G78">
        <f>IF($V78="","",INDEX('Per Line'!$J$2:$J$1501,$V78)&amp;"")</f>
        <v/>
      </c>
      <c r="H78">
        <f>IF($V78="","",INDEX('Per Line'!$K$2:$K$1501,$V78)&amp;"")</f>
        <v/>
      </c>
      <c r="I78">
        <f>IF($V78="","",INDEX('Per Line'!$M$2:$M$1501,$V78))</f>
        <v/>
      </c>
      <c r="J78" s="7">
        <f>IF($V78="","",I78*T78/100)</f>
        <v/>
      </c>
      <c r="K78" s="7">
        <f>IF($V78="","",SUMIFS('Per Line'!$V$2:$V$1501,'Per Line'!$D$2:$D$1501,$B78,'Per Line'!$AN$2:$AN$1501,1))</f>
        <v/>
      </c>
      <c r="L78">
        <f>IF($V78="","",Settings!$C$7)</f>
        <v/>
      </c>
      <c r="M78" s="7">
        <f>IF($V78="","",SUMIFS('Per Line'!$V$2:$V$1501,'Per Line'!$D$2:$D$1501,$B78,'Per Line'!$AM$2:$AM$1501,0,'Per Line'!$AN$2:$AN$1501,0))</f>
        <v/>
      </c>
      <c r="N78" s="7">
        <f>IF($V78="","",M78*L78)</f>
        <v/>
      </c>
      <c r="O78">
        <f>IF($V78="","",Settings!$C$6)</f>
        <v/>
      </c>
      <c r="P78" s="7">
        <f>IF($V78="","",SUMIFS('Per Line'!$V$2:$V$1501,'Per Line'!$D$2:$D$1501,$B78,'Per Line'!$AM$2:$AM$1501,1,'Per Line'!$AN$2:$AN$1501,0))</f>
        <v/>
      </c>
      <c r="Q78" s="7">
        <f>IF($V78="","",P78*O78)</f>
        <v/>
      </c>
      <c r="R78" s="7">
        <f>IF($V78="","",Q78+N78)</f>
        <v/>
      </c>
      <c r="S78" s="7">
        <f>IF($V78="","",T78-R78)</f>
        <v/>
      </c>
      <c r="T78" s="7">
        <f>IF($V78="","",M78+P78+K78)</f>
        <v/>
      </c>
      <c r="U78" s="7">
        <f>IF($V78="","",T78-R78-J78)</f>
        <v/>
      </c>
      <c r="V78" s="13">
        <f>IF(ROWS($V$2:$V78)&lt;=MAX('Per Line'!$AL$2:$AL$1501),MATCH(ROWS($V$2:$V78),'Per Line'!$AL$2:$AL$1501,0),"")</f>
        <v/>
      </c>
    </row>
    <row r="79">
      <c r="A79" s="12" t="n"/>
      <c r="B79">
        <f>IF($V79="","",INDEX('Per Line'!$D$2:$D$1501,$V79)&amp;"")</f>
        <v/>
      </c>
      <c r="C79">
        <f>IF($V79="","",INDEX('Per Line'!$A$2:$A$1501,$V79))</f>
        <v/>
      </c>
      <c r="D79">
        <f>IF($V79="","",INDEX('Per Line'!$Z$2:$Z$1501,$V79)&amp;"")</f>
        <v/>
      </c>
      <c r="E79" s="11">
        <f>IF($V79="","",INDEX('Per Line'!$F$2:$F$1501,$V79))</f>
        <v/>
      </c>
      <c r="F79">
        <f>IF($V79="","",INDEX('Per Line'!$I$2:$I$1501,$V79)&amp;"")</f>
        <v/>
      </c>
      <c r="G79">
        <f>IF($V79="","",INDEX('Per Line'!$J$2:$J$1501,$V79)&amp;"")</f>
        <v/>
      </c>
      <c r="H79">
        <f>IF($V79="","",INDEX('Per Line'!$K$2:$K$1501,$V79)&amp;"")</f>
        <v/>
      </c>
      <c r="I79">
        <f>IF($V79="","",INDEX('Per Line'!$M$2:$M$1501,$V79))</f>
        <v/>
      </c>
      <c r="J79" s="7">
        <f>IF($V79="","",I79*T79/100)</f>
        <v/>
      </c>
      <c r="K79" s="7">
        <f>IF($V79="","",SUMIFS('Per Line'!$V$2:$V$1501,'Per Line'!$D$2:$D$1501,$B79,'Per Line'!$AN$2:$AN$1501,1))</f>
        <v/>
      </c>
      <c r="L79">
        <f>IF($V79="","",Settings!$C$7)</f>
        <v/>
      </c>
      <c r="M79" s="7">
        <f>IF($V79="","",SUMIFS('Per Line'!$V$2:$V$1501,'Per Line'!$D$2:$D$1501,$B79,'Per Line'!$AM$2:$AM$1501,0,'Per Line'!$AN$2:$AN$1501,0))</f>
        <v/>
      </c>
      <c r="N79" s="7">
        <f>IF($V79="","",M79*L79)</f>
        <v/>
      </c>
      <c r="O79">
        <f>IF($V79="","",Settings!$C$6)</f>
        <v/>
      </c>
      <c r="P79" s="7">
        <f>IF($V79="","",SUMIFS('Per Line'!$V$2:$V$1501,'Per Line'!$D$2:$D$1501,$B79,'Per Line'!$AM$2:$AM$1501,1,'Per Line'!$AN$2:$AN$1501,0))</f>
        <v/>
      </c>
      <c r="Q79" s="7">
        <f>IF($V79="","",P79*O79)</f>
        <v/>
      </c>
      <c r="R79" s="7">
        <f>IF($V79="","",Q79+N79)</f>
        <v/>
      </c>
      <c r="S79" s="7">
        <f>IF($V79="","",T79-R79)</f>
        <v/>
      </c>
      <c r="T79" s="7">
        <f>IF($V79="","",M79+P79+K79)</f>
        <v/>
      </c>
      <c r="U79" s="7">
        <f>IF($V79="","",T79-R79-J79)</f>
        <v/>
      </c>
      <c r="V79" s="13">
        <f>IF(ROWS($V$2:$V79)&lt;=MAX('Per Line'!$AL$2:$AL$1501),MATCH(ROWS($V$2:$V79),'Per Line'!$AL$2:$AL$1501,0),"")</f>
        <v/>
      </c>
    </row>
    <row r="80">
      <c r="A80" s="12" t="n"/>
      <c r="B80">
        <f>IF($V80="","",INDEX('Per Line'!$D$2:$D$1501,$V80)&amp;"")</f>
        <v/>
      </c>
      <c r="C80">
        <f>IF($V80="","",INDEX('Per Line'!$A$2:$A$1501,$V80))</f>
        <v/>
      </c>
      <c r="D80">
        <f>IF($V80="","",INDEX('Per Line'!$Z$2:$Z$1501,$V80)&amp;"")</f>
        <v/>
      </c>
      <c r="E80" s="11">
        <f>IF($V80="","",INDEX('Per Line'!$F$2:$F$1501,$V80))</f>
        <v/>
      </c>
      <c r="F80">
        <f>IF($V80="","",INDEX('Per Line'!$I$2:$I$1501,$V80)&amp;"")</f>
        <v/>
      </c>
      <c r="G80">
        <f>IF($V80="","",INDEX('Per Line'!$J$2:$J$1501,$V80)&amp;"")</f>
        <v/>
      </c>
      <c r="H80">
        <f>IF($V80="","",INDEX('Per Line'!$K$2:$K$1501,$V80)&amp;"")</f>
        <v/>
      </c>
      <c r="I80">
        <f>IF($V80="","",INDEX('Per Line'!$M$2:$M$1501,$V80))</f>
        <v/>
      </c>
      <c r="J80" s="7">
        <f>IF($V80="","",I80*T80/100)</f>
        <v/>
      </c>
      <c r="K80" s="7">
        <f>IF($V80="","",SUMIFS('Per Line'!$V$2:$V$1501,'Per Line'!$D$2:$D$1501,$B80,'Per Line'!$AN$2:$AN$1501,1))</f>
        <v/>
      </c>
      <c r="L80">
        <f>IF($V80="","",Settings!$C$7)</f>
        <v/>
      </c>
      <c r="M80" s="7">
        <f>IF($V80="","",SUMIFS('Per Line'!$V$2:$V$1501,'Per Line'!$D$2:$D$1501,$B80,'Per Line'!$AM$2:$AM$1501,0,'Per Line'!$AN$2:$AN$1501,0))</f>
        <v/>
      </c>
      <c r="N80" s="7">
        <f>IF($V80="","",M80*L80)</f>
        <v/>
      </c>
      <c r="O80">
        <f>IF($V80="","",Settings!$C$6)</f>
        <v/>
      </c>
      <c r="P80" s="7">
        <f>IF($V80="","",SUMIFS('Per Line'!$V$2:$V$1501,'Per Line'!$D$2:$D$1501,$B80,'Per Line'!$AM$2:$AM$1501,1,'Per Line'!$AN$2:$AN$1501,0))</f>
        <v/>
      </c>
      <c r="Q80" s="7">
        <f>IF($V80="","",P80*O80)</f>
        <v/>
      </c>
      <c r="R80" s="7">
        <f>IF($V80="","",Q80+N80)</f>
        <v/>
      </c>
      <c r="S80" s="7">
        <f>IF($V80="","",T80-R80)</f>
        <v/>
      </c>
      <c r="T80" s="7">
        <f>IF($V80="","",M80+P80+K80)</f>
        <v/>
      </c>
      <c r="U80" s="7">
        <f>IF($V80="","",T80-R80-J80)</f>
        <v/>
      </c>
      <c r="V80" s="13">
        <f>IF(ROWS($V$2:$V80)&lt;=MAX('Per Line'!$AL$2:$AL$1501),MATCH(ROWS($V$2:$V80),'Per Line'!$AL$2:$AL$1501,0),"")</f>
        <v/>
      </c>
    </row>
    <row r="81">
      <c r="A81" s="12" t="n"/>
      <c r="B81">
        <f>IF($V81="","",INDEX('Per Line'!$D$2:$D$1501,$V81)&amp;"")</f>
        <v/>
      </c>
      <c r="C81">
        <f>IF($V81="","",INDEX('Per Line'!$A$2:$A$1501,$V81))</f>
        <v/>
      </c>
      <c r="D81">
        <f>IF($V81="","",INDEX('Per Line'!$Z$2:$Z$1501,$V81)&amp;"")</f>
        <v/>
      </c>
      <c r="E81" s="11">
        <f>IF($V81="","",INDEX('Per Line'!$F$2:$F$1501,$V81))</f>
        <v/>
      </c>
      <c r="F81">
        <f>IF($V81="","",INDEX('Per Line'!$I$2:$I$1501,$V81)&amp;"")</f>
        <v/>
      </c>
      <c r="G81">
        <f>IF($V81="","",INDEX('Per Line'!$J$2:$J$1501,$V81)&amp;"")</f>
        <v/>
      </c>
      <c r="H81">
        <f>IF($V81="","",INDEX('Per Line'!$K$2:$K$1501,$V81)&amp;"")</f>
        <v/>
      </c>
      <c r="I81">
        <f>IF($V81="","",INDEX('Per Line'!$M$2:$M$1501,$V81))</f>
        <v/>
      </c>
      <c r="J81" s="7">
        <f>IF($V81="","",I81*T81/100)</f>
        <v/>
      </c>
      <c r="K81" s="7">
        <f>IF($V81="","",SUMIFS('Per Line'!$V$2:$V$1501,'Per Line'!$D$2:$D$1501,$B81,'Per Line'!$AN$2:$AN$1501,1))</f>
        <v/>
      </c>
      <c r="L81">
        <f>IF($V81="","",Settings!$C$7)</f>
        <v/>
      </c>
      <c r="M81" s="7">
        <f>IF($V81="","",SUMIFS('Per Line'!$V$2:$V$1501,'Per Line'!$D$2:$D$1501,$B81,'Per Line'!$AM$2:$AM$1501,0,'Per Line'!$AN$2:$AN$1501,0))</f>
        <v/>
      </c>
      <c r="N81" s="7">
        <f>IF($V81="","",M81*L81)</f>
        <v/>
      </c>
      <c r="O81">
        <f>IF($V81="","",Settings!$C$6)</f>
        <v/>
      </c>
      <c r="P81" s="7">
        <f>IF($V81="","",SUMIFS('Per Line'!$V$2:$V$1501,'Per Line'!$D$2:$D$1501,$B81,'Per Line'!$AM$2:$AM$1501,1,'Per Line'!$AN$2:$AN$1501,0))</f>
        <v/>
      </c>
      <c r="Q81" s="7">
        <f>IF($V81="","",P81*O81)</f>
        <v/>
      </c>
      <c r="R81" s="7">
        <f>IF($V81="","",Q81+N81)</f>
        <v/>
      </c>
      <c r="S81" s="7">
        <f>IF($V81="","",T81-R81)</f>
        <v/>
      </c>
      <c r="T81" s="7">
        <f>IF($V81="","",M81+P81+K81)</f>
        <v/>
      </c>
      <c r="U81" s="7">
        <f>IF($V81="","",T81-R81-J81)</f>
        <v/>
      </c>
      <c r="V81" s="13">
        <f>IF(ROWS($V$2:$V81)&lt;=MAX('Per Line'!$AL$2:$AL$1501),MATCH(ROWS($V$2:$V81),'Per Line'!$AL$2:$AL$1501,0),"")</f>
        <v/>
      </c>
    </row>
    <row r="82">
      <c r="A82" s="12" t="n"/>
      <c r="B82">
        <f>IF($V82="","",INDEX('Per Line'!$D$2:$D$1501,$V82)&amp;"")</f>
        <v/>
      </c>
      <c r="C82">
        <f>IF($V82="","",INDEX('Per Line'!$A$2:$A$1501,$V82))</f>
        <v/>
      </c>
      <c r="D82">
        <f>IF($V82="","",INDEX('Per Line'!$Z$2:$Z$1501,$V82)&amp;"")</f>
        <v/>
      </c>
      <c r="E82" s="11">
        <f>IF($V82="","",INDEX('Per Line'!$F$2:$F$1501,$V82))</f>
        <v/>
      </c>
      <c r="F82">
        <f>IF($V82="","",INDEX('Per Line'!$I$2:$I$1501,$V82)&amp;"")</f>
        <v/>
      </c>
      <c r="G82">
        <f>IF($V82="","",INDEX('Per Line'!$J$2:$J$1501,$V82)&amp;"")</f>
        <v/>
      </c>
      <c r="H82">
        <f>IF($V82="","",INDEX('Per Line'!$K$2:$K$1501,$V82)&amp;"")</f>
        <v/>
      </c>
      <c r="I82">
        <f>IF($V82="","",INDEX('Per Line'!$M$2:$M$1501,$V82))</f>
        <v/>
      </c>
      <c r="J82" s="7">
        <f>IF($V82="","",I82*T82/100)</f>
        <v/>
      </c>
      <c r="K82" s="7">
        <f>IF($V82="","",SUMIFS('Per Line'!$V$2:$V$1501,'Per Line'!$D$2:$D$1501,$B82,'Per Line'!$AN$2:$AN$1501,1))</f>
        <v/>
      </c>
      <c r="L82">
        <f>IF($V82="","",Settings!$C$7)</f>
        <v/>
      </c>
      <c r="M82" s="7">
        <f>IF($V82="","",SUMIFS('Per Line'!$V$2:$V$1501,'Per Line'!$D$2:$D$1501,$B82,'Per Line'!$AM$2:$AM$1501,0,'Per Line'!$AN$2:$AN$1501,0))</f>
        <v/>
      </c>
      <c r="N82" s="7">
        <f>IF($V82="","",M82*L82)</f>
        <v/>
      </c>
      <c r="O82">
        <f>IF($V82="","",Settings!$C$6)</f>
        <v/>
      </c>
      <c r="P82" s="7">
        <f>IF($V82="","",SUMIFS('Per Line'!$V$2:$V$1501,'Per Line'!$D$2:$D$1501,$B82,'Per Line'!$AM$2:$AM$1501,1,'Per Line'!$AN$2:$AN$1501,0))</f>
        <v/>
      </c>
      <c r="Q82" s="7">
        <f>IF($V82="","",P82*O82)</f>
        <v/>
      </c>
      <c r="R82" s="7">
        <f>IF($V82="","",Q82+N82)</f>
        <v/>
      </c>
      <c r="S82" s="7">
        <f>IF($V82="","",T82-R82)</f>
        <v/>
      </c>
      <c r="T82" s="7">
        <f>IF($V82="","",M82+P82+K82)</f>
        <v/>
      </c>
      <c r="U82" s="7">
        <f>IF($V82="","",T82-R82-J82)</f>
        <v/>
      </c>
      <c r="V82" s="13">
        <f>IF(ROWS($V$2:$V82)&lt;=MAX('Per Line'!$AL$2:$AL$1501),MATCH(ROWS($V$2:$V82),'Per Line'!$AL$2:$AL$1501,0),"")</f>
        <v/>
      </c>
    </row>
    <row r="83">
      <c r="A83" s="12" t="n"/>
      <c r="B83">
        <f>IF($V83="","",INDEX('Per Line'!$D$2:$D$1501,$V83)&amp;"")</f>
        <v/>
      </c>
      <c r="C83">
        <f>IF($V83="","",INDEX('Per Line'!$A$2:$A$1501,$V83))</f>
        <v/>
      </c>
      <c r="D83">
        <f>IF($V83="","",INDEX('Per Line'!$Z$2:$Z$1501,$V83)&amp;"")</f>
        <v/>
      </c>
      <c r="E83" s="11">
        <f>IF($V83="","",INDEX('Per Line'!$F$2:$F$1501,$V83))</f>
        <v/>
      </c>
      <c r="F83">
        <f>IF($V83="","",INDEX('Per Line'!$I$2:$I$1501,$V83)&amp;"")</f>
        <v/>
      </c>
      <c r="G83">
        <f>IF($V83="","",INDEX('Per Line'!$J$2:$J$1501,$V83)&amp;"")</f>
        <v/>
      </c>
      <c r="H83">
        <f>IF($V83="","",INDEX('Per Line'!$K$2:$K$1501,$V83)&amp;"")</f>
        <v/>
      </c>
      <c r="I83">
        <f>IF($V83="","",INDEX('Per Line'!$M$2:$M$1501,$V83))</f>
        <v/>
      </c>
      <c r="J83" s="7">
        <f>IF($V83="","",I83*T83/100)</f>
        <v/>
      </c>
      <c r="K83" s="7">
        <f>IF($V83="","",SUMIFS('Per Line'!$V$2:$V$1501,'Per Line'!$D$2:$D$1501,$B83,'Per Line'!$AN$2:$AN$1501,1))</f>
        <v/>
      </c>
      <c r="L83">
        <f>IF($V83="","",Settings!$C$7)</f>
        <v/>
      </c>
      <c r="M83" s="7">
        <f>IF($V83="","",SUMIFS('Per Line'!$V$2:$V$1501,'Per Line'!$D$2:$D$1501,$B83,'Per Line'!$AM$2:$AM$1501,0,'Per Line'!$AN$2:$AN$1501,0))</f>
        <v/>
      </c>
      <c r="N83" s="7">
        <f>IF($V83="","",M83*L83)</f>
        <v/>
      </c>
      <c r="O83">
        <f>IF($V83="","",Settings!$C$6)</f>
        <v/>
      </c>
      <c r="P83" s="7">
        <f>IF($V83="","",SUMIFS('Per Line'!$V$2:$V$1501,'Per Line'!$D$2:$D$1501,$B83,'Per Line'!$AM$2:$AM$1501,1,'Per Line'!$AN$2:$AN$1501,0))</f>
        <v/>
      </c>
      <c r="Q83" s="7">
        <f>IF($V83="","",P83*O83)</f>
        <v/>
      </c>
      <c r="R83" s="7">
        <f>IF($V83="","",Q83+N83)</f>
        <v/>
      </c>
      <c r="S83" s="7">
        <f>IF($V83="","",T83-R83)</f>
        <v/>
      </c>
      <c r="T83" s="7">
        <f>IF($V83="","",M83+P83+K83)</f>
        <v/>
      </c>
      <c r="U83" s="7">
        <f>IF($V83="","",T83-R83-J83)</f>
        <v/>
      </c>
      <c r="V83" s="13">
        <f>IF(ROWS($V$2:$V83)&lt;=MAX('Per Line'!$AL$2:$AL$1501),MATCH(ROWS($V$2:$V83),'Per Line'!$AL$2:$AL$1501,0),"")</f>
        <v/>
      </c>
    </row>
    <row r="84">
      <c r="A84" s="12" t="n"/>
      <c r="B84">
        <f>IF($V84="","",INDEX('Per Line'!$D$2:$D$1501,$V84)&amp;"")</f>
        <v/>
      </c>
      <c r="C84">
        <f>IF($V84="","",INDEX('Per Line'!$A$2:$A$1501,$V84))</f>
        <v/>
      </c>
      <c r="D84">
        <f>IF($V84="","",INDEX('Per Line'!$Z$2:$Z$1501,$V84)&amp;"")</f>
        <v/>
      </c>
      <c r="E84" s="11">
        <f>IF($V84="","",INDEX('Per Line'!$F$2:$F$1501,$V84))</f>
        <v/>
      </c>
      <c r="F84">
        <f>IF($V84="","",INDEX('Per Line'!$I$2:$I$1501,$V84)&amp;"")</f>
        <v/>
      </c>
      <c r="G84">
        <f>IF($V84="","",INDEX('Per Line'!$J$2:$J$1501,$V84)&amp;"")</f>
        <v/>
      </c>
      <c r="H84">
        <f>IF($V84="","",INDEX('Per Line'!$K$2:$K$1501,$V84)&amp;"")</f>
        <v/>
      </c>
      <c r="I84">
        <f>IF($V84="","",INDEX('Per Line'!$M$2:$M$1501,$V84))</f>
        <v/>
      </c>
      <c r="J84" s="7">
        <f>IF($V84="","",I84*T84/100)</f>
        <v/>
      </c>
      <c r="K84" s="7">
        <f>IF($V84="","",SUMIFS('Per Line'!$V$2:$V$1501,'Per Line'!$D$2:$D$1501,$B84,'Per Line'!$AN$2:$AN$1501,1))</f>
        <v/>
      </c>
      <c r="L84">
        <f>IF($V84="","",Settings!$C$7)</f>
        <v/>
      </c>
      <c r="M84" s="7">
        <f>IF($V84="","",SUMIFS('Per Line'!$V$2:$V$1501,'Per Line'!$D$2:$D$1501,$B84,'Per Line'!$AM$2:$AM$1501,0,'Per Line'!$AN$2:$AN$1501,0))</f>
        <v/>
      </c>
      <c r="N84" s="7">
        <f>IF($V84="","",M84*L84)</f>
        <v/>
      </c>
      <c r="O84">
        <f>IF($V84="","",Settings!$C$6)</f>
        <v/>
      </c>
      <c r="P84" s="7">
        <f>IF($V84="","",SUMIFS('Per Line'!$V$2:$V$1501,'Per Line'!$D$2:$D$1501,$B84,'Per Line'!$AM$2:$AM$1501,1,'Per Line'!$AN$2:$AN$1501,0))</f>
        <v/>
      </c>
      <c r="Q84" s="7">
        <f>IF($V84="","",P84*O84)</f>
        <v/>
      </c>
      <c r="R84" s="7">
        <f>IF($V84="","",Q84+N84)</f>
        <v/>
      </c>
      <c r="S84" s="7">
        <f>IF($V84="","",T84-R84)</f>
        <v/>
      </c>
      <c r="T84" s="7">
        <f>IF($V84="","",M84+P84+K84)</f>
        <v/>
      </c>
      <c r="U84" s="7">
        <f>IF($V84="","",T84-R84-J84)</f>
        <v/>
      </c>
      <c r="V84" s="13">
        <f>IF(ROWS($V$2:$V84)&lt;=MAX('Per Line'!$AL$2:$AL$1501),MATCH(ROWS($V$2:$V84),'Per Line'!$AL$2:$AL$1501,0),"")</f>
        <v/>
      </c>
    </row>
    <row r="85">
      <c r="A85" s="12" t="n"/>
      <c r="B85">
        <f>IF($V85="","",INDEX('Per Line'!$D$2:$D$1501,$V85)&amp;"")</f>
        <v/>
      </c>
      <c r="C85">
        <f>IF($V85="","",INDEX('Per Line'!$A$2:$A$1501,$V85))</f>
        <v/>
      </c>
      <c r="D85">
        <f>IF($V85="","",INDEX('Per Line'!$Z$2:$Z$1501,$V85)&amp;"")</f>
        <v/>
      </c>
      <c r="E85" s="11">
        <f>IF($V85="","",INDEX('Per Line'!$F$2:$F$1501,$V85))</f>
        <v/>
      </c>
      <c r="F85">
        <f>IF($V85="","",INDEX('Per Line'!$I$2:$I$1501,$V85)&amp;"")</f>
        <v/>
      </c>
      <c r="G85">
        <f>IF($V85="","",INDEX('Per Line'!$J$2:$J$1501,$V85)&amp;"")</f>
        <v/>
      </c>
      <c r="H85">
        <f>IF($V85="","",INDEX('Per Line'!$K$2:$K$1501,$V85)&amp;"")</f>
        <v/>
      </c>
      <c r="I85">
        <f>IF($V85="","",INDEX('Per Line'!$M$2:$M$1501,$V85))</f>
        <v/>
      </c>
      <c r="J85" s="7">
        <f>IF($V85="","",I85*T85/100)</f>
        <v/>
      </c>
      <c r="K85" s="7">
        <f>IF($V85="","",SUMIFS('Per Line'!$V$2:$V$1501,'Per Line'!$D$2:$D$1501,$B85,'Per Line'!$AN$2:$AN$1501,1))</f>
        <v/>
      </c>
      <c r="L85">
        <f>IF($V85="","",Settings!$C$7)</f>
        <v/>
      </c>
      <c r="M85" s="7">
        <f>IF($V85="","",SUMIFS('Per Line'!$V$2:$V$1501,'Per Line'!$D$2:$D$1501,$B85,'Per Line'!$AM$2:$AM$1501,0,'Per Line'!$AN$2:$AN$1501,0))</f>
        <v/>
      </c>
      <c r="N85" s="7">
        <f>IF($V85="","",M85*L85)</f>
        <v/>
      </c>
      <c r="O85">
        <f>IF($V85="","",Settings!$C$6)</f>
        <v/>
      </c>
      <c r="P85" s="7">
        <f>IF($V85="","",SUMIFS('Per Line'!$V$2:$V$1501,'Per Line'!$D$2:$D$1501,$B85,'Per Line'!$AM$2:$AM$1501,1,'Per Line'!$AN$2:$AN$1501,0))</f>
        <v/>
      </c>
      <c r="Q85" s="7">
        <f>IF($V85="","",P85*O85)</f>
        <v/>
      </c>
      <c r="R85" s="7">
        <f>IF($V85="","",Q85+N85)</f>
        <v/>
      </c>
      <c r="S85" s="7">
        <f>IF($V85="","",T85-R85)</f>
        <v/>
      </c>
      <c r="T85" s="7">
        <f>IF($V85="","",M85+P85+K85)</f>
        <v/>
      </c>
      <c r="U85" s="7">
        <f>IF($V85="","",T85-R85-J85)</f>
        <v/>
      </c>
      <c r="V85" s="13">
        <f>IF(ROWS($V$2:$V85)&lt;=MAX('Per Line'!$AL$2:$AL$1501),MATCH(ROWS($V$2:$V85),'Per Line'!$AL$2:$AL$1501,0),"")</f>
        <v/>
      </c>
    </row>
    <row r="86">
      <c r="A86" s="12" t="n"/>
      <c r="B86">
        <f>IF($V86="","",INDEX('Per Line'!$D$2:$D$1501,$V86)&amp;"")</f>
        <v/>
      </c>
      <c r="C86">
        <f>IF($V86="","",INDEX('Per Line'!$A$2:$A$1501,$V86))</f>
        <v/>
      </c>
      <c r="D86">
        <f>IF($V86="","",INDEX('Per Line'!$Z$2:$Z$1501,$V86)&amp;"")</f>
        <v/>
      </c>
      <c r="E86" s="11">
        <f>IF($V86="","",INDEX('Per Line'!$F$2:$F$1501,$V86))</f>
        <v/>
      </c>
      <c r="F86">
        <f>IF($V86="","",INDEX('Per Line'!$I$2:$I$1501,$V86)&amp;"")</f>
        <v/>
      </c>
      <c r="G86">
        <f>IF($V86="","",INDEX('Per Line'!$J$2:$J$1501,$V86)&amp;"")</f>
        <v/>
      </c>
      <c r="H86">
        <f>IF($V86="","",INDEX('Per Line'!$K$2:$K$1501,$V86)&amp;"")</f>
        <v/>
      </c>
      <c r="I86">
        <f>IF($V86="","",INDEX('Per Line'!$M$2:$M$1501,$V86))</f>
        <v/>
      </c>
      <c r="J86" s="7">
        <f>IF($V86="","",I86*T86/100)</f>
        <v/>
      </c>
      <c r="K86" s="7">
        <f>IF($V86="","",SUMIFS('Per Line'!$V$2:$V$1501,'Per Line'!$D$2:$D$1501,$B86,'Per Line'!$AN$2:$AN$1501,1))</f>
        <v/>
      </c>
      <c r="L86">
        <f>IF($V86="","",Settings!$C$7)</f>
        <v/>
      </c>
      <c r="M86" s="7">
        <f>IF($V86="","",SUMIFS('Per Line'!$V$2:$V$1501,'Per Line'!$D$2:$D$1501,$B86,'Per Line'!$AM$2:$AM$1501,0,'Per Line'!$AN$2:$AN$1501,0))</f>
        <v/>
      </c>
      <c r="N86" s="7">
        <f>IF($V86="","",M86*L86)</f>
        <v/>
      </c>
      <c r="O86">
        <f>IF($V86="","",Settings!$C$6)</f>
        <v/>
      </c>
      <c r="P86" s="7">
        <f>IF($V86="","",SUMIFS('Per Line'!$V$2:$V$1501,'Per Line'!$D$2:$D$1501,$B86,'Per Line'!$AM$2:$AM$1501,1,'Per Line'!$AN$2:$AN$1501,0))</f>
        <v/>
      </c>
      <c r="Q86" s="7">
        <f>IF($V86="","",P86*O86)</f>
        <v/>
      </c>
      <c r="R86" s="7">
        <f>IF($V86="","",Q86+N86)</f>
        <v/>
      </c>
      <c r="S86" s="7">
        <f>IF($V86="","",T86-R86)</f>
        <v/>
      </c>
      <c r="T86" s="7">
        <f>IF($V86="","",M86+P86+K86)</f>
        <v/>
      </c>
      <c r="U86" s="7">
        <f>IF($V86="","",T86-R86-J86)</f>
        <v/>
      </c>
      <c r="V86" s="13">
        <f>IF(ROWS($V$2:$V86)&lt;=MAX('Per Line'!$AL$2:$AL$1501),MATCH(ROWS($V$2:$V86),'Per Line'!$AL$2:$AL$1501,0),"")</f>
        <v/>
      </c>
    </row>
    <row r="87">
      <c r="A87" s="12" t="n"/>
      <c r="B87">
        <f>IF($V87="","",INDEX('Per Line'!$D$2:$D$1501,$V87)&amp;"")</f>
        <v/>
      </c>
      <c r="C87">
        <f>IF($V87="","",INDEX('Per Line'!$A$2:$A$1501,$V87))</f>
        <v/>
      </c>
      <c r="D87">
        <f>IF($V87="","",INDEX('Per Line'!$Z$2:$Z$1501,$V87)&amp;"")</f>
        <v/>
      </c>
      <c r="E87" s="11">
        <f>IF($V87="","",INDEX('Per Line'!$F$2:$F$1501,$V87))</f>
        <v/>
      </c>
      <c r="F87">
        <f>IF($V87="","",INDEX('Per Line'!$I$2:$I$1501,$V87)&amp;"")</f>
        <v/>
      </c>
      <c r="G87">
        <f>IF($V87="","",INDEX('Per Line'!$J$2:$J$1501,$V87)&amp;"")</f>
        <v/>
      </c>
      <c r="H87">
        <f>IF($V87="","",INDEX('Per Line'!$K$2:$K$1501,$V87)&amp;"")</f>
        <v/>
      </c>
      <c r="I87">
        <f>IF($V87="","",INDEX('Per Line'!$M$2:$M$1501,$V87))</f>
        <v/>
      </c>
      <c r="J87" s="7">
        <f>IF($V87="","",I87*T87/100)</f>
        <v/>
      </c>
      <c r="K87" s="7">
        <f>IF($V87="","",SUMIFS('Per Line'!$V$2:$V$1501,'Per Line'!$D$2:$D$1501,$B87,'Per Line'!$AN$2:$AN$1501,1))</f>
        <v/>
      </c>
      <c r="L87">
        <f>IF($V87="","",Settings!$C$7)</f>
        <v/>
      </c>
      <c r="M87" s="7">
        <f>IF($V87="","",SUMIFS('Per Line'!$V$2:$V$1501,'Per Line'!$D$2:$D$1501,$B87,'Per Line'!$AM$2:$AM$1501,0,'Per Line'!$AN$2:$AN$1501,0))</f>
        <v/>
      </c>
      <c r="N87" s="7">
        <f>IF($V87="","",M87*L87)</f>
        <v/>
      </c>
      <c r="O87">
        <f>IF($V87="","",Settings!$C$6)</f>
        <v/>
      </c>
      <c r="P87" s="7">
        <f>IF($V87="","",SUMIFS('Per Line'!$V$2:$V$1501,'Per Line'!$D$2:$D$1501,$B87,'Per Line'!$AM$2:$AM$1501,1,'Per Line'!$AN$2:$AN$1501,0))</f>
        <v/>
      </c>
      <c r="Q87" s="7">
        <f>IF($V87="","",P87*O87)</f>
        <v/>
      </c>
      <c r="R87" s="7">
        <f>IF($V87="","",Q87+N87)</f>
        <v/>
      </c>
      <c r="S87" s="7">
        <f>IF($V87="","",T87-R87)</f>
        <v/>
      </c>
      <c r="T87" s="7">
        <f>IF($V87="","",M87+P87+K87)</f>
        <v/>
      </c>
      <c r="U87" s="7">
        <f>IF($V87="","",T87-R87-J87)</f>
        <v/>
      </c>
      <c r="V87" s="13">
        <f>IF(ROWS($V$2:$V87)&lt;=MAX('Per Line'!$AL$2:$AL$1501),MATCH(ROWS($V$2:$V87),'Per Line'!$AL$2:$AL$1501,0),"")</f>
        <v/>
      </c>
    </row>
    <row r="88">
      <c r="A88" s="12" t="n"/>
      <c r="B88">
        <f>IF($V88="","",INDEX('Per Line'!$D$2:$D$1501,$V88)&amp;"")</f>
        <v/>
      </c>
      <c r="C88">
        <f>IF($V88="","",INDEX('Per Line'!$A$2:$A$1501,$V88))</f>
        <v/>
      </c>
      <c r="D88">
        <f>IF($V88="","",INDEX('Per Line'!$Z$2:$Z$1501,$V88)&amp;"")</f>
        <v/>
      </c>
      <c r="E88" s="11">
        <f>IF($V88="","",INDEX('Per Line'!$F$2:$F$1501,$V88))</f>
        <v/>
      </c>
      <c r="F88">
        <f>IF($V88="","",INDEX('Per Line'!$I$2:$I$1501,$V88)&amp;"")</f>
        <v/>
      </c>
      <c r="G88">
        <f>IF($V88="","",INDEX('Per Line'!$J$2:$J$1501,$V88)&amp;"")</f>
        <v/>
      </c>
      <c r="H88">
        <f>IF($V88="","",INDEX('Per Line'!$K$2:$K$1501,$V88)&amp;"")</f>
        <v/>
      </c>
      <c r="I88">
        <f>IF($V88="","",INDEX('Per Line'!$M$2:$M$1501,$V88))</f>
        <v/>
      </c>
      <c r="J88" s="7">
        <f>IF($V88="","",I88*T88/100)</f>
        <v/>
      </c>
      <c r="K88" s="7">
        <f>IF($V88="","",SUMIFS('Per Line'!$V$2:$V$1501,'Per Line'!$D$2:$D$1501,$B88,'Per Line'!$AN$2:$AN$1501,1))</f>
        <v/>
      </c>
      <c r="L88">
        <f>IF($V88="","",Settings!$C$7)</f>
        <v/>
      </c>
      <c r="M88" s="7">
        <f>IF($V88="","",SUMIFS('Per Line'!$V$2:$V$1501,'Per Line'!$D$2:$D$1501,$B88,'Per Line'!$AM$2:$AM$1501,0,'Per Line'!$AN$2:$AN$1501,0))</f>
        <v/>
      </c>
      <c r="N88" s="7">
        <f>IF($V88="","",M88*L88)</f>
        <v/>
      </c>
      <c r="O88">
        <f>IF($V88="","",Settings!$C$6)</f>
        <v/>
      </c>
      <c r="P88" s="7">
        <f>IF($V88="","",SUMIFS('Per Line'!$V$2:$V$1501,'Per Line'!$D$2:$D$1501,$B88,'Per Line'!$AM$2:$AM$1501,1,'Per Line'!$AN$2:$AN$1501,0))</f>
        <v/>
      </c>
      <c r="Q88" s="7">
        <f>IF($V88="","",P88*O88)</f>
        <v/>
      </c>
      <c r="R88" s="7">
        <f>IF($V88="","",Q88+N88)</f>
        <v/>
      </c>
      <c r="S88" s="7">
        <f>IF($V88="","",T88-R88)</f>
        <v/>
      </c>
      <c r="T88" s="7">
        <f>IF($V88="","",M88+P88+K88)</f>
        <v/>
      </c>
      <c r="U88" s="7">
        <f>IF($V88="","",T88-R88-J88)</f>
        <v/>
      </c>
      <c r="V88" s="13">
        <f>IF(ROWS($V$2:$V88)&lt;=MAX('Per Line'!$AL$2:$AL$1501),MATCH(ROWS($V$2:$V88),'Per Line'!$AL$2:$AL$1501,0),"")</f>
        <v/>
      </c>
    </row>
    <row r="89">
      <c r="A89" s="12" t="n"/>
      <c r="B89">
        <f>IF($V89="","",INDEX('Per Line'!$D$2:$D$1501,$V89)&amp;"")</f>
        <v/>
      </c>
      <c r="C89">
        <f>IF($V89="","",INDEX('Per Line'!$A$2:$A$1501,$V89))</f>
        <v/>
      </c>
      <c r="D89">
        <f>IF($V89="","",INDEX('Per Line'!$Z$2:$Z$1501,$V89)&amp;"")</f>
        <v/>
      </c>
      <c r="E89" s="11">
        <f>IF($V89="","",INDEX('Per Line'!$F$2:$F$1501,$V89))</f>
        <v/>
      </c>
      <c r="F89">
        <f>IF($V89="","",INDEX('Per Line'!$I$2:$I$1501,$V89)&amp;"")</f>
        <v/>
      </c>
      <c r="G89">
        <f>IF($V89="","",INDEX('Per Line'!$J$2:$J$1501,$V89)&amp;"")</f>
        <v/>
      </c>
      <c r="H89">
        <f>IF($V89="","",INDEX('Per Line'!$K$2:$K$1501,$V89)&amp;"")</f>
        <v/>
      </c>
      <c r="I89">
        <f>IF($V89="","",INDEX('Per Line'!$M$2:$M$1501,$V89))</f>
        <v/>
      </c>
      <c r="J89" s="7">
        <f>IF($V89="","",I89*T89/100)</f>
        <v/>
      </c>
      <c r="K89" s="7">
        <f>IF($V89="","",SUMIFS('Per Line'!$V$2:$V$1501,'Per Line'!$D$2:$D$1501,$B89,'Per Line'!$AN$2:$AN$1501,1))</f>
        <v/>
      </c>
      <c r="L89">
        <f>IF($V89="","",Settings!$C$7)</f>
        <v/>
      </c>
      <c r="M89" s="7">
        <f>IF($V89="","",SUMIFS('Per Line'!$V$2:$V$1501,'Per Line'!$D$2:$D$1501,$B89,'Per Line'!$AM$2:$AM$1501,0,'Per Line'!$AN$2:$AN$1501,0))</f>
        <v/>
      </c>
      <c r="N89" s="7">
        <f>IF($V89="","",M89*L89)</f>
        <v/>
      </c>
      <c r="O89">
        <f>IF($V89="","",Settings!$C$6)</f>
        <v/>
      </c>
      <c r="P89" s="7">
        <f>IF($V89="","",SUMIFS('Per Line'!$V$2:$V$1501,'Per Line'!$D$2:$D$1501,$B89,'Per Line'!$AM$2:$AM$1501,1,'Per Line'!$AN$2:$AN$1501,0))</f>
        <v/>
      </c>
      <c r="Q89" s="7">
        <f>IF($V89="","",P89*O89)</f>
        <v/>
      </c>
      <c r="R89" s="7">
        <f>IF($V89="","",Q89+N89)</f>
        <v/>
      </c>
      <c r="S89" s="7">
        <f>IF($V89="","",T89-R89)</f>
        <v/>
      </c>
      <c r="T89" s="7">
        <f>IF($V89="","",M89+P89+K89)</f>
        <v/>
      </c>
      <c r="U89" s="7">
        <f>IF($V89="","",T89-R89-J89)</f>
        <v/>
      </c>
      <c r="V89" s="13">
        <f>IF(ROWS($V$2:$V89)&lt;=MAX('Per Line'!$AL$2:$AL$1501),MATCH(ROWS($V$2:$V89),'Per Line'!$AL$2:$AL$1501,0),"")</f>
        <v/>
      </c>
    </row>
    <row r="90">
      <c r="A90" s="12" t="n"/>
      <c r="B90">
        <f>IF($V90="","",INDEX('Per Line'!$D$2:$D$1501,$V90)&amp;"")</f>
        <v/>
      </c>
      <c r="C90">
        <f>IF($V90="","",INDEX('Per Line'!$A$2:$A$1501,$V90))</f>
        <v/>
      </c>
      <c r="D90">
        <f>IF($V90="","",INDEX('Per Line'!$Z$2:$Z$1501,$V90)&amp;"")</f>
        <v/>
      </c>
      <c r="E90" s="11">
        <f>IF($V90="","",INDEX('Per Line'!$F$2:$F$1501,$V90))</f>
        <v/>
      </c>
      <c r="F90">
        <f>IF($V90="","",INDEX('Per Line'!$I$2:$I$1501,$V90)&amp;"")</f>
        <v/>
      </c>
      <c r="G90">
        <f>IF($V90="","",INDEX('Per Line'!$J$2:$J$1501,$V90)&amp;"")</f>
        <v/>
      </c>
      <c r="H90">
        <f>IF($V90="","",INDEX('Per Line'!$K$2:$K$1501,$V90)&amp;"")</f>
        <v/>
      </c>
      <c r="I90">
        <f>IF($V90="","",INDEX('Per Line'!$M$2:$M$1501,$V90))</f>
        <v/>
      </c>
      <c r="J90" s="7">
        <f>IF($V90="","",I90*T90/100)</f>
        <v/>
      </c>
      <c r="K90" s="7">
        <f>IF($V90="","",SUMIFS('Per Line'!$V$2:$V$1501,'Per Line'!$D$2:$D$1501,$B90,'Per Line'!$AN$2:$AN$1501,1))</f>
        <v/>
      </c>
      <c r="L90">
        <f>IF($V90="","",Settings!$C$7)</f>
        <v/>
      </c>
      <c r="M90" s="7">
        <f>IF($V90="","",SUMIFS('Per Line'!$V$2:$V$1501,'Per Line'!$D$2:$D$1501,$B90,'Per Line'!$AM$2:$AM$1501,0,'Per Line'!$AN$2:$AN$1501,0))</f>
        <v/>
      </c>
      <c r="N90" s="7">
        <f>IF($V90="","",M90*L90)</f>
        <v/>
      </c>
      <c r="O90">
        <f>IF($V90="","",Settings!$C$6)</f>
        <v/>
      </c>
      <c r="P90" s="7">
        <f>IF($V90="","",SUMIFS('Per Line'!$V$2:$V$1501,'Per Line'!$D$2:$D$1501,$B90,'Per Line'!$AM$2:$AM$1501,1,'Per Line'!$AN$2:$AN$1501,0))</f>
        <v/>
      </c>
      <c r="Q90" s="7">
        <f>IF($V90="","",P90*O90)</f>
        <v/>
      </c>
      <c r="R90" s="7">
        <f>IF($V90="","",Q90+N90)</f>
        <v/>
      </c>
      <c r="S90" s="7">
        <f>IF($V90="","",T90-R90)</f>
        <v/>
      </c>
      <c r="T90" s="7">
        <f>IF($V90="","",M90+P90+K90)</f>
        <v/>
      </c>
      <c r="U90" s="7">
        <f>IF($V90="","",T90-R90-J90)</f>
        <v/>
      </c>
      <c r="V90" s="13">
        <f>IF(ROWS($V$2:$V90)&lt;=MAX('Per Line'!$AL$2:$AL$1501),MATCH(ROWS($V$2:$V90),'Per Line'!$AL$2:$AL$1501,0),"")</f>
        <v/>
      </c>
    </row>
    <row r="91">
      <c r="A91" s="12" t="n"/>
      <c r="B91">
        <f>IF($V91="","",INDEX('Per Line'!$D$2:$D$1501,$V91)&amp;"")</f>
        <v/>
      </c>
      <c r="C91">
        <f>IF($V91="","",INDEX('Per Line'!$A$2:$A$1501,$V91))</f>
        <v/>
      </c>
      <c r="D91">
        <f>IF($V91="","",INDEX('Per Line'!$Z$2:$Z$1501,$V91)&amp;"")</f>
        <v/>
      </c>
      <c r="E91" s="11">
        <f>IF($V91="","",INDEX('Per Line'!$F$2:$F$1501,$V91))</f>
        <v/>
      </c>
      <c r="F91">
        <f>IF($V91="","",INDEX('Per Line'!$I$2:$I$1501,$V91)&amp;"")</f>
        <v/>
      </c>
      <c r="G91">
        <f>IF($V91="","",INDEX('Per Line'!$J$2:$J$1501,$V91)&amp;"")</f>
        <v/>
      </c>
      <c r="H91">
        <f>IF($V91="","",INDEX('Per Line'!$K$2:$K$1501,$V91)&amp;"")</f>
        <v/>
      </c>
      <c r="I91">
        <f>IF($V91="","",INDEX('Per Line'!$M$2:$M$1501,$V91))</f>
        <v/>
      </c>
      <c r="J91" s="7">
        <f>IF($V91="","",I91*T91/100)</f>
        <v/>
      </c>
      <c r="K91" s="7">
        <f>IF($V91="","",SUMIFS('Per Line'!$V$2:$V$1501,'Per Line'!$D$2:$D$1501,$B91,'Per Line'!$AN$2:$AN$1501,1))</f>
        <v/>
      </c>
      <c r="L91">
        <f>IF($V91="","",Settings!$C$7)</f>
        <v/>
      </c>
      <c r="M91" s="7">
        <f>IF($V91="","",SUMIFS('Per Line'!$V$2:$V$1501,'Per Line'!$D$2:$D$1501,$B91,'Per Line'!$AM$2:$AM$1501,0,'Per Line'!$AN$2:$AN$1501,0))</f>
        <v/>
      </c>
      <c r="N91" s="7">
        <f>IF($V91="","",M91*L91)</f>
        <v/>
      </c>
      <c r="O91">
        <f>IF($V91="","",Settings!$C$6)</f>
        <v/>
      </c>
      <c r="P91" s="7">
        <f>IF($V91="","",SUMIFS('Per Line'!$V$2:$V$1501,'Per Line'!$D$2:$D$1501,$B91,'Per Line'!$AM$2:$AM$1501,1,'Per Line'!$AN$2:$AN$1501,0))</f>
        <v/>
      </c>
      <c r="Q91" s="7">
        <f>IF($V91="","",P91*O91)</f>
        <v/>
      </c>
      <c r="R91" s="7">
        <f>IF($V91="","",Q91+N91)</f>
        <v/>
      </c>
      <c r="S91" s="7">
        <f>IF($V91="","",T91-R91)</f>
        <v/>
      </c>
      <c r="T91" s="7">
        <f>IF($V91="","",M91+P91+K91)</f>
        <v/>
      </c>
      <c r="U91" s="7">
        <f>IF($V91="","",T91-R91-J91)</f>
        <v/>
      </c>
      <c r="V91" s="13">
        <f>IF(ROWS($V$2:$V91)&lt;=MAX('Per Line'!$AL$2:$AL$1501),MATCH(ROWS($V$2:$V91),'Per Line'!$AL$2:$AL$1501,0),"")</f>
        <v/>
      </c>
    </row>
    <row r="92">
      <c r="A92" s="12" t="n"/>
      <c r="B92">
        <f>IF($V92="","",INDEX('Per Line'!$D$2:$D$1501,$V92)&amp;"")</f>
        <v/>
      </c>
      <c r="C92">
        <f>IF($V92="","",INDEX('Per Line'!$A$2:$A$1501,$V92))</f>
        <v/>
      </c>
      <c r="D92">
        <f>IF($V92="","",INDEX('Per Line'!$Z$2:$Z$1501,$V92)&amp;"")</f>
        <v/>
      </c>
      <c r="E92" s="11">
        <f>IF($V92="","",INDEX('Per Line'!$F$2:$F$1501,$V92))</f>
        <v/>
      </c>
      <c r="F92">
        <f>IF($V92="","",INDEX('Per Line'!$I$2:$I$1501,$V92)&amp;"")</f>
        <v/>
      </c>
      <c r="G92">
        <f>IF($V92="","",INDEX('Per Line'!$J$2:$J$1501,$V92)&amp;"")</f>
        <v/>
      </c>
      <c r="H92">
        <f>IF($V92="","",INDEX('Per Line'!$K$2:$K$1501,$V92)&amp;"")</f>
        <v/>
      </c>
      <c r="I92">
        <f>IF($V92="","",INDEX('Per Line'!$M$2:$M$1501,$V92))</f>
        <v/>
      </c>
      <c r="J92" s="7">
        <f>IF($V92="","",I92*T92/100)</f>
        <v/>
      </c>
      <c r="K92" s="7">
        <f>IF($V92="","",SUMIFS('Per Line'!$V$2:$V$1501,'Per Line'!$D$2:$D$1501,$B92,'Per Line'!$AN$2:$AN$1501,1))</f>
        <v/>
      </c>
      <c r="L92">
        <f>IF($V92="","",Settings!$C$7)</f>
        <v/>
      </c>
      <c r="M92" s="7">
        <f>IF($V92="","",SUMIFS('Per Line'!$V$2:$V$1501,'Per Line'!$D$2:$D$1501,$B92,'Per Line'!$AM$2:$AM$1501,0,'Per Line'!$AN$2:$AN$1501,0))</f>
        <v/>
      </c>
      <c r="N92" s="7">
        <f>IF($V92="","",M92*L92)</f>
        <v/>
      </c>
      <c r="O92">
        <f>IF($V92="","",Settings!$C$6)</f>
        <v/>
      </c>
      <c r="P92" s="7">
        <f>IF($V92="","",SUMIFS('Per Line'!$V$2:$V$1501,'Per Line'!$D$2:$D$1501,$B92,'Per Line'!$AM$2:$AM$1501,1,'Per Line'!$AN$2:$AN$1501,0))</f>
        <v/>
      </c>
      <c r="Q92" s="7">
        <f>IF($V92="","",P92*O92)</f>
        <v/>
      </c>
      <c r="R92" s="7">
        <f>IF($V92="","",Q92+N92)</f>
        <v/>
      </c>
      <c r="S92" s="7">
        <f>IF($V92="","",T92-R92)</f>
        <v/>
      </c>
      <c r="T92" s="7">
        <f>IF($V92="","",M92+P92+K92)</f>
        <v/>
      </c>
      <c r="U92" s="7">
        <f>IF($V92="","",T92-R92-J92)</f>
        <v/>
      </c>
      <c r="V92" s="13">
        <f>IF(ROWS($V$2:$V92)&lt;=MAX('Per Line'!$AL$2:$AL$1501),MATCH(ROWS($V$2:$V92),'Per Line'!$AL$2:$AL$1501,0),"")</f>
        <v/>
      </c>
    </row>
    <row r="93">
      <c r="A93" s="12" t="n"/>
      <c r="B93">
        <f>IF($V93="","",INDEX('Per Line'!$D$2:$D$1501,$V93)&amp;"")</f>
        <v/>
      </c>
      <c r="C93">
        <f>IF($V93="","",INDEX('Per Line'!$A$2:$A$1501,$V93))</f>
        <v/>
      </c>
      <c r="D93">
        <f>IF($V93="","",INDEX('Per Line'!$Z$2:$Z$1501,$V93)&amp;"")</f>
        <v/>
      </c>
      <c r="E93" s="11">
        <f>IF($V93="","",INDEX('Per Line'!$F$2:$F$1501,$V93))</f>
        <v/>
      </c>
      <c r="F93">
        <f>IF($V93="","",INDEX('Per Line'!$I$2:$I$1501,$V93)&amp;"")</f>
        <v/>
      </c>
      <c r="G93">
        <f>IF($V93="","",INDEX('Per Line'!$J$2:$J$1501,$V93)&amp;"")</f>
        <v/>
      </c>
      <c r="H93">
        <f>IF($V93="","",INDEX('Per Line'!$K$2:$K$1501,$V93)&amp;"")</f>
        <v/>
      </c>
      <c r="I93">
        <f>IF($V93="","",INDEX('Per Line'!$M$2:$M$1501,$V93))</f>
        <v/>
      </c>
      <c r="J93" s="7">
        <f>IF($V93="","",I93*T93/100)</f>
        <v/>
      </c>
      <c r="K93" s="7">
        <f>IF($V93="","",SUMIFS('Per Line'!$V$2:$V$1501,'Per Line'!$D$2:$D$1501,$B93,'Per Line'!$AN$2:$AN$1501,1))</f>
        <v/>
      </c>
      <c r="L93">
        <f>IF($V93="","",Settings!$C$7)</f>
        <v/>
      </c>
      <c r="M93" s="7">
        <f>IF($V93="","",SUMIFS('Per Line'!$V$2:$V$1501,'Per Line'!$D$2:$D$1501,$B93,'Per Line'!$AM$2:$AM$1501,0,'Per Line'!$AN$2:$AN$1501,0))</f>
        <v/>
      </c>
      <c r="N93" s="7">
        <f>IF($V93="","",M93*L93)</f>
        <v/>
      </c>
      <c r="O93">
        <f>IF($V93="","",Settings!$C$6)</f>
        <v/>
      </c>
      <c r="P93" s="7">
        <f>IF($V93="","",SUMIFS('Per Line'!$V$2:$V$1501,'Per Line'!$D$2:$D$1501,$B93,'Per Line'!$AM$2:$AM$1501,1,'Per Line'!$AN$2:$AN$1501,0))</f>
        <v/>
      </c>
      <c r="Q93" s="7">
        <f>IF($V93="","",P93*O93)</f>
        <v/>
      </c>
      <c r="R93" s="7">
        <f>IF($V93="","",Q93+N93)</f>
        <v/>
      </c>
      <c r="S93" s="7">
        <f>IF($V93="","",T93-R93)</f>
        <v/>
      </c>
      <c r="T93" s="7">
        <f>IF($V93="","",M93+P93+K93)</f>
        <v/>
      </c>
      <c r="U93" s="7">
        <f>IF($V93="","",T93-R93-J93)</f>
        <v/>
      </c>
      <c r="V93" s="13">
        <f>IF(ROWS($V$2:$V93)&lt;=MAX('Per Line'!$AL$2:$AL$1501),MATCH(ROWS($V$2:$V93),'Per Line'!$AL$2:$AL$1501,0),"")</f>
        <v/>
      </c>
    </row>
    <row r="94">
      <c r="A94" s="12" t="n"/>
      <c r="B94">
        <f>IF($V94="","",INDEX('Per Line'!$D$2:$D$1501,$V94)&amp;"")</f>
        <v/>
      </c>
      <c r="C94">
        <f>IF($V94="","",INDEX('Per Line'!$A$2:$A$1501,$V94))</f>
        <v/>
      </c>
      <c r="D94">
        <f>IF($V94="","",INDEX('Per Line'!$Z$2:$Z$1501,$V94)&amp;"")</f>
        <v/>
      </c>
      <c r="E94" s="11">
        <f>IF($V94="","",INDEX('Per Line'!$F$2:$F$1501,$V94))</f>
        <v/>
      </c>
      <c r="F94">
        <f>IF($V94="","",INDEX('Per Line'!$I$2:$I$1501,$V94)&amp;"")</f>
        <v/>
      </c>
      <c r="G94">
        <f>IF($V94="","",INDEX('Per Line'!$J$2:$J$1501,$V94)&amp;"")</f>
        <v/>
      </c>
      <c r="H94">
        <f>IF($V94="","",INDEX('Per Line'!$K$2:$K$1501,$V94)&amp;"")</f>
        <v/>
      </c>
      <c r="I94">
        <f>IF($V94="","",INDEX('Per Line'!$M$2:$M$1501,$V94))</f>
        <v/>
      </c>
      <c r="J94" s="7">
        <f>IF($V94="","",I94*T94/100)</f>
        <v/>
      </c>
      <c r="K94" s="7">
        <f>IF($V94="","",SUMIFS('Per Line'!$V$2:$V$1501,'Per Line'!$D$2:$D$1501,$B94,'Per Line'!$AN$2:$AN$1501,1))</f>
        <v/>
      </c>
      <c r="L94">
        <f>IF($V94="","",Settings!$C$7)</f>
        <v/>
      </c>
      <c r="M94" s="7">
        <f>IF($V94="","",SUMIFS('Per Line'!$V$2:$V$1501,'Per Line'!$D$2:$D$1501,$B94,'Per Line'!$AM$2:$AM$1501,0,'Per Line'!$AN$2:$AN$1501,0))</f>
        <v/>
      </c>
      <c r="N94" s="7">
        <f>IF($V94="","",M94*L94)</f>
        <v/>
      </c>
      <c r="O94">
        <f>IF($V94="","",Settings!$C$6)</f>
        <v/>
      </c>
      <c r="P94" s="7">
        <f>IF($V94="","",SUMIFS('Per Line'!$V$2:$V$1501,'Per Line'!$D$2:$D$1501,$B94,'Per Line'!$AM$2:$AM$1501,1,'Per Line'!$AN$2:$AN$1501,0))</f>
        <v/>
      </c>
      <c r="Q94" s="7">
        <f>IF($V94="","",P94*O94)</f>
        <v/>
      </c>
      <c r="R94" s="7">
        <f>IF($V94="","",Q94+N94)</f>
        <v/>
      </c>
      <c r="S94" s="7">
        <f>IF($V94="","",T94-R94)</f>
        <v/>
      </c>
      <c r="T94" s="7">
        <f>IF($V94="","",M94+P94+K94)</f>
        <v/>
      </c>
      <c r="U94" s="7">
        <f>IF($V94="","",T94-R94-J94)</f>
        <v/>
      </c>
      <c r="V94" s="13">
        <f>IF(ROWS($V$2:$V94)&lt;=MAX('Per Line'!$AL$2:$AL$1501),MATCH(ROWS($V$2:$V94),'Per Line'!$AL$2:$AL$1501,0),"")</f>
        <v/>
      </c>
    </row>
    <row r="95">
      <c r="A95" s="12" t="n"/>
      <c r="B95">
        <f>IF($V95="","",INDEX('Per Line'!$D$2:$D$1501,$V95)&amp;"")</f>
        <v/>
      </c>
      <c r="C95">
        <f>IF($V95="","",INDEX('Per Line'!$A$2:$A$1501,$V95))</f>
        <v/>
      </c>
      <c r="D95">
        <f>IF($V95="","",INDEX('Per Line'!$Z$2:$Z$1501,$V95)&amp;"")</f>
        <v/>
      </c>
      <c r="E95" s="11">
        <f>IF($V95="","",INDEX('Per Line'!$F$2:$F$1501,$V95))</f>
        <v/>
      </c>
      <c r="F95">
        <f>IF($V95="","",INDEX('Per Line'!$I$2:$I$1501,$V95)&amp;"")</f>
        <v/>
      </c>
      <c r="G95">
        <f>IF($V95="","",INDEX('Per Line'!$J$2:$J$1501,$V95)&amp;"")</f>
        <v/>
      </c>
      <c r="H95">
        <f>IF($V95="","",INDEX('Per Line'!$K$2:$K$1501,$V95)&amp;"")</f>
        <v/>
      </c>
      <c r="I95">
        <f>IF($V95="","",INDEX('Per Line'!$M$2:$M$1501,$V95))</f>
        <v/>
      </c>
      <c r="J95" s="7">
        <f>IF($V95="","",I95*T95/100)</f>
        <v/>
      </c>
      <c r="K95" s="7">
        <f>IF($V95="","",SUMIFS('Per Line'!$V$2:$V$1501,'Per Line'!$D$2:$D$1501,$B95,'Per Line'!$AN$2:$AN$1501,1))</f>
        <v/>
      </c>
      <c r="L95">
        <f>IF($V95="","",Settings!$C$7)</f>
        <v/>
      </c>
      <c r="M95" s="7">
        <f>IF($V95="","",SUMIFS('Per Line'!$V$2:$V$1501,'Per Line'!$D$2:$D$1501,$B95,'Per Line'!$AM$2:$AM$1501,0,'Per Line'!$AN$2:$AN$1501,0))</f>
        <v/>
      </c>
      <c r="N95" s="7">
        <f>IF($V95="","",M95*L95)</f>
        <v/>
      </c>
      <c r="O95">
        <f>IF($V95="","",Settings!$C$6)</f>
        <v/>
      </c>
      <c r="P95" s="7">
        <f>IF($V95="","",SUMIFS('Per Line'!$V$2:$V$1501,'Per Line'!$D$2:$D$1501,$B95,'Per Line'!$AM$2:$AM$1501,1,'Per Line'!$AN$2:$AN$1501,0))</f>
        <v/>
      </c>
      <c r="Q95" s="7">
        <f>IF($V95="","",P95*O95)</f>
        <v/>
      </c>
      <c r="R95" s="7">
        <f>IF($V95="","",Q95+N95)</f>
        <v/>
      </c>
      <c r="S95" s="7">
        <f>IF($V95="","",T95-R95)</f>
        <v/>
      </c>
      <c r="T95" s="7">
        <f>IF($V95="","",M95+P95+K95)</f>
        <v/>
      </c>
      <c r="U95" s="7">
        <f>IF($V95="","",T95-R95-J95)</f>
        <v/>
      </c>
      <c r="V95" s="13">
        <f>IF(ROWS($V$2:$V95)&lt;=MAX('Per Line'!$AL$2:$AL$1501),MATCH(ROWS($V$2:$V95),'Per Line'!$AL$2:$AL$1501,0),"")</f>
        <v/>
      </c>
    </row>
    <row r="96">
      <c r="A96" s="12" t="n"/>
      <c r="B96">
        <f>IF($V96="","",INDEX('Per Line'!$D$2:$D$1501,$V96)&amp;"")</f>
        <v/>
      </c>
      <c r="C96">
        <f>IF($V96="","",INDEX('Per Line'!$A$2:$A$1501,$V96))</f>
        <v/>
      </c>
      <c r="D96">
        <f>IF($V96="","",INDEX('Per Line'!$Z$2:$Z$1501,$V96)&amp;"")</f>
        <v/>
      </c>
      <c r="E96" s="11">
        <f>IF($V96="","",INDEX('Per Line'!$F$2:$F$1501,$V96))</f>
        <v/>
      </c>
      <c r="F96">
        <f>IF($V96="","",INDEX('Per Line'!$I$2:$I$1501,$V96)&amp;"")</f>
        <v/>
      </c>
      <c r="G96">
        <f>IF($V96="","",INDEX('Per Line'!$J$2:$J$1501,$V96)&amp;"")</f>
        <v/>
      </c>
      <c r="H96">
        <f>IF($V96="","",INDEX('Per Line'!$K$2:$K$1501,$V96)&amp;"")</f>
        <v/>
      </c>
      <c r="I96">
        <f>IF($V96="","",INDEX('Per Line'!$M$2:$M$1501,$V96))</f>
        <v/>
      </c>
      <c r="J96" s="7">
        <f>IF($V96="","",I96*T96/100)</f>
        <v/>
      </c>
      <c r="K96" s="7">
        <f>IF($V96="","",SUMIFS('Per Line'!$V$2:$V$1501,'Per Line'!$D$2:$D$1501,$B96,'Per Line'!$AN$2:$AN$1501,1))</f>
        <v/>
      </c>
      <c r="L96">
        <f>IF($V96="","",Settings!$C$7)</f>
        <v/>
      </c>
      <c r="M96" s="7">
        <f>IF($V96="","",SUMIFS('Per Line'!$V$2:$V$1501,'Per Line'!$D$2:$D$1501,$B96,'Per Line'!$AM$2:$AM$1501,0,'Per Line'!$AN$2:$AN$1501,0))</f>
        <v/>
      </c>
      <c r="N96" s="7">
        <f>IF($V96="","",M96*L96)</f>
        <v/>
      </c>
      <c r="O96">
        <f>IF($V96="","",Settings!$C$6)</f>
        <v/>
      </c>
      <c r="P96" s="7">
        <f>IF($V96="","",SUMIFS('Per Line'!$V$2:$V$1501,'Per Line'!$D$2:$D$1501,$B96,'Per Line'!$AM$2:$AM$1501,1,'Per Line'!$AN$2:$AN$1501,0))</f>
        <v/>
      </c>
      <c r="Q96" s="7">
        <f>IF($V96="","",P96*O96)</f>
        <v/>
      </c>
      <c r="R96" s="7">
        <f>IF($V96="","",Q96+N96)</f>
        <v/>
      </c>
      <c r="S96" s="7">
        <f>IF($V96="","",T96-R96)</f>
        <v/>
      </c>
      <c r="T96" s="7">
        <f>IF($V96="","",M96+P96+K96)</f>
        <v/>
      </c>
      <c r="U96" s="7">
        <f>IF($V96="","",T96-R96-J96)</f>
        <v/>
      </c>
      <c r="V96" s="13">
        <f>IF(ROWS($V$2:$V96)&lt;=MAX('Per Line'!$AL$2:$AL$1501),MATCH(ROWS($V$2:$V96),'Per Line'!$AL$2:$AL$1501,0),"")</f>
        <v/>
      </c>
    </row>
    <row r="97">
      <c r="A97" s="12" t="n"/>
      <c r="B97">
        <f>IF($V97="","",INDEX('Per Line'!$D$2:$D$1501,$V97)&amp;"")</f>
        <v/>
      </c>
      <c r="C97">
        <f>IF($V97="","",INDEX('Per Line'!$A$2:$A$1501,$V97))</f>
        <v/>
      </c>
      <c r="D97">
        <f>IF($V97="","",INDEX('Per Line'!$Z$2:$Z$1501,$V97)&amp;"")</f>
        <v/>
      </c>
      <c r="E97" s="11">
        <f>IF($V97="","",INDEX('Per Line'!$F$2:$F$1501,$V97))</f>
        <v/>
      </c>
      <c r="F97">
        <f>IF($V97="","",INDEX('Per Line'!$I$2:$I$1501,$V97)&amp;"")</f>
        <v/>
      </c>
      <c r="G97">
        <f>IF($V97="","",INDEX('Per Line'!$J$2:$J$1501,$V97)&amp;"")</f>
        <v/>
      </c>
      <c r="H97">
        <f>IF($V97="","",INDEX('Per Line'!$K$2:$K$1501,$V97)&amp;"")</f>
        <v/>
      </c>
      <c r="I97">
        <f>IF($V97="","",INDEX('Per Line'!$M$2:$M$1501,$V97))</f>
        <v/>
      </c>
      <c r="J97" s="7">
        <f>IF($V97="","",I97*T97/100)</f>
        <v/>
      </c>
      <c r="K97" s="7">
        <f>IF($V97="","",SUMIFS('Per Line'!$V$2:$V$1501,'Per Line'!$D$2:$D$1501,$B97,'Per Line'!$AN$2:$AN$1501,1))</f>
        <v/>
      </c>
      <c r="L97">
        <f>IF($V97="","",Settings!$C$7)</f>
        <v/>
      </c>
      <c r="M97" s="7">
        <f>IF($V97="","",SUMIFS('Per Line'!$V$2:$V$1501,'Per Line'!$D$2:$D$1501,$B97,'Per Line'!$AM$2:$AM$1501,0,'Per Line'!$AN$2:$AN$1501,0))</f>
        <v/>
      </c>
      <c r="N97" s="7">
        <f>IF($V97="","",M97*L97)</f>
        <v/>
      </c>
      <c r="O97">
        <f>IF($V97="","",Settings!$C$6)</f>
        <v/>
      </c>
      <c r="P97" s="7">
        <f>IF($V97="","",SUMIFS('Per Line'!$V$2:$V$1501,'Per Line'!$D$2:$D$1501,$B97,'Per Line'!$AM$2:$AM$1501,1,'Per Line'!$AN$2:$AN$1501,0))</f>
        <v/>
      </c>
      <c r="Q97" s="7">
        <f>IF($V97="","",P97*O97)</f>
        <v/>
      </c>
      <c r="R97" s="7">
        <f>IF($V97="","",Q97+N97)</f>
        <v/>
      </c>
      <c r="S97" s="7">
        <f>IF($V97="","",T97-R97)</f>
        <v/>
      </c>
      <c r="T97" s="7">
        <f>IF($V97="","",M97+P97+K97)</f>
        <v/>
      </c>
      <c r="U97" s="7">
        <f>IF($V97="","",T97-R97-J97)</f>
        <v/>
      </c>
      <c r="V97" s="13">
        <f>IF(ROWS($V$2:$V97)&lt;=MAX('Per Line'!$AL$2:$AL$1501),MATCH(ROWS($V$2:$V97),'Per Line'!$AL$2:$AL$1501,0),"")</f>
        <v/>
      </c>
    </row>
    <row r="98">
      <c r="A98" s="12" t="n"/>
      <c r="B98">
        <f>IF($V98="","",INDEX('Per Line'!$D$2:$D$1501,$V98)&amp;"")</f>
        <v/>
      </c>
      <c r="C98">
        <f>IF($V98="","",INDEX('Per Line'!$A$2:$A$1501,$V98))</f>
        <v/>
      </c>
      <c r="D98">
        <f>IF($V98="","",INDEX('Per Line'!$Z$2:$Z$1501,$V98)&amp;"")</f>
        <v/>
      </c>
      <c r="E98" s="11">
        <f>IF($V98="","",INDEX('Per Line'!$F$2:$F$1501,$V98))</f>
        <v/>
      </c>
      <c r="F98">
        <f>IF($V98="","",INDEX('Per Line'!$I$2:$I$1501,$V98)&amp;"")</f>
        <v/>
      </c>
      <c r="G98">
        <f>IF($V98="","",INDEX('Per Line'!$J$2:$J$1501,$V98)&amp;"")</f>
        <v/>
      </c>
      <c r="H98">
        <f>IF($V98="","",INDEX('Per Line'!$K$2:$K$1501,$V98)&amp;"")</f>
        <v/>
      </c>
      <c r="I98">
        <f>IF($V98="","",INDEX('Per Line'!$M$2:$M$1501,$V98))</f>
        <v/>
      </c>
      <c r="J98" s="7">
        <f>IF($V98="","",I98*T98/100)</f>
        <v/>
      </c>
      <c r="K98" s="7">
        <f>IF($V98="","",SUMIFS('Per Line'!$V$2:$V$1501,'Per Line'!$D$2:$D$1501,$B98,'Per Line'!$AN$2:$AN$1501,1))</f>
        <v/>
      </c>
      <c r="L98">
        <f>IF($V98="","",Settings!$C$7)</f>
        <v/>
      </c>
      <c r="M98" s="7">
        <f>IF($V98="","",SUMIFS('Per Line'!$V$2:$V$1501,'Per Line'!$D$2:$D$1501,$B98,'Per Line'!$AM$2:$AM$1501,0,'Per Line'!$AN$2:$AN$1501,0))</f>
        <v/>
      </c>
      <c r="N98" s="7">
        <f>IF($V98="","",M98*L98)</f>
        <v/>
      </c>
      <c r="O98">
        <f>IF($V98="","",Settings!$C$6)</f>
        <v/>
      </c>
      <c r="P98" s="7">
        <f>IF($V98="","",SUMIFS('Per Line'!$V$2:$V$1501,'Per Line'!$D$2:$D$1501,$B98,'Per Line'!$AM$2:$AM$1501,1,'Per Line'!$AN$2:$AN$1501,0))</f>
        <v/>
      </c>
      <c r="Q98" s="7">
        <f>IF($V98="","",P98*O98)</f>
        <v/>
      </c>
      <c r="R98" s="7">
        <f>IF($V98="","",Q98+N98)</f>
        <v/>
      </c>
      <c r="S98" s="7">
        <f>IF($V98="","",T98-R98)</f>
        <v/>
      </c>
      <c r="T98" s="7">
        <f>IF($V98="","",M98+P98+K98)</f>
        <v/>
      </c>
      <c r="U98" s="7">
        <f>IF($V98="","",T98-R98-J98)</f>
        <v/>
      </c>
      <c r="V98" s="13">
        <f>IF(ROWS($V$2:$V98)&lt;=MAX('Per Line'!$AL$2:$AL$1501),MATCH(ROWS($V$2:$V98),'Per Line'!$AL$2:$AL$1501,0),"")</f>
        <v/>
      </c>
    </row>
    <row r="99">
      <c r="A99" s="12" t="n"/>
      <c r="B99">
        <f>IF($V99="","",INDEX('Per Line'!$D$2:$D$1501,$V99)&amp;"")</f>
        <v/>
      </c>
      <c r="C99">
        <f>IF($V99="","",INDEX('Per Line'!$A$2:$A$1501,$V99))</f>
        <v/>
      </c>
      <c r="D99">
        <f>IF($V99="","",INDEX('Per Line'!$Z$2:$Z$1501,$V99)&amp;"")</f>
        <v/>
      </c>
      <c r="E99" s="11">
        <f>IF($V99="","",INDEX('Per Line'!$F$2:$F$1501,$V99))</f>
        <v/>
      </c>
      <c r="F99">
        <f>IF($V99="","",INDEX('Per Line'!$I$2:$I$1501,$V99)&amp;"")</f>
        <v/>
      </c>
      <c r="G99">
        <f>IF($V99="","",INDEX('Per Line'!$J$2:$J$1501,$V99)&amp;"")</f>
        <v/>
      </c>
      <c r="H99">
        <f>IF($V99="","",INDEX('Per Line'!$K$2:$K$1501,$V99)&amp;"")</f>
        <v/>
      </c>
      <c r="I99">
        <f>IF($V99="","",INDEX('Per Line'!$M$2:$M$1501,$V99))</f>
        <v/>
      </c>
      <c r="J99" s="7">
        <f>IF($V99="","",I99*T99/100)</f>
        <v/>
      </c>
      <c r="K99" s="7">
        <f>IF($V99="","",SUMIFS('Per Line'!$V$2:$V$1501,'Per Line'!$D$2:$D$1501,$B99,'Per Line'!$AN$2:$AN$1501,1))</f>
        <v/>
      </c>
      <c r="L99">
        <f>IF($V99="","",Settings!$C$7)</f>
        <v/>
      </c>
      <c r="M99" s="7">
        <f>IF($V99="","",SUMIFS('Per Line'!$V$2:$V$1501,'Per Line'!$D$2:$D$1501,$B99,'Per Line'!$AM$2:$AM$1501,0,'Per Line'!$AN$2:$AN$1501,0))</f>
        <v/>
      </c>
      <c r="N99" s="7">
        <f>IF($V99="","",M99*L99)</f>
        <v/>
      </c>
      <c r="O99">
        <f>IF($V99="","",Settings!$C$6)</f>
        <v/>
      </c>
      <c r="P99" s="7">
        <f>IF($V99="","",SUMIFS('Per Line'!$V$2:$V$1501,'Per Line'!$D$2:$D$1501,$B99,'Per Line'!$AM$2:$AM$1501,1,'Per Line'!$AN$2:$AN$1501,0))</f>
        <v/>
      </c>
      <c r="Q99" s="7">
        <f>IF($V99="","",P99*O99)</f>
        <v/>
      </c>
      <c r="R99" s="7">
        <f>IF($V99="","",Q99+N99)</f>
        <v/>
      </c>
      <c r="S99" s="7">
        <f>IF($V99="","",T99-R99)</f>
        <v/>
      </c>
      <c r="T99" s="7">
        <f>IF($V99="","",M99+P99+K99)</f>
        <v/>
      </c>
      <c r="U99" s="7">
        <f>IF($V99="","",T99-R99-J99)</f>
        <v/>
      </c>
      <c r="V99" s="13">
        <f>IF(ROWS($V$2:$V99)&lt;=MAX('Per Line'!$AL$2:$AL$1501),MATCH(ROWS($V$2:$V99),'Per Line'!$AL$2:$AL$1501,0),"")</f>
        <v/>
      </c>
    </row>
    <row r="100">
      <c r="A100" s="12" t="n"/>
      <c r="B100">
        <f>IF($V100="","",INDEX('Per Line'!$D$2:$D$1501,$V100)&amp;"")</f>
        <v/>
      </c>
      <c r="C100">
        <f>IF($V100="","",INDEX('Per Line'!$A$2:$A$1501,$V100))</f>
        <v/>
      </c>
      <c r="D100">
        <f>IF($V100="","",INDEX('Per Line'!$Z$2:$Z$1501,$V100)&amp;"")</f>
        <v/>
      </c>
      <c r="E100" s="11">
        <f>IF($V100="","",INDEX('Per Line'!$F$2:$F$1501,$V100))</f>
        <v/>
      </c>
      <c r="F100">
        <f>IF($V100="","",INDEX('Per Line'!$I$2:$I$1501,$V100)&amp;"")</f>
        <v/>
      </c>
      <c r="G100">
        <f>IF($V100="","",INDEX('Per Line'!$J$2:$J$1501,$V100)&amp;"")</f>
        <v/>
      </c>
      <c r="H100">
        <f>IF($V100="","",INDEX('Per Line'!$K$2:$K$1501,$V100)&amp;"")</f>
        <v/>
      </c>
      <c r="I100">
        <f>IF($V100="","",INDEX('Per Line'!$M$2:$M$1501,$V100))</f>
        <v/>
      </c>
      <c r="J100" s="7">
        <f>IF($V100="","",I100*T100/100)</f>
        <v/>
      </c>
      <c r="K100" s="7">
        <f>IF($V100="","",SUMIFS('Per Line'!$V$2:$V$1501,'Per Line'!$D$2:$D$1501,$B100,'Per Line'!$AN$2:$AN$1501,1))</f>
        <v/>
      </c>
      <c r="L100">
        <f>IF($V100="","",Settings!$C$7)</f>
        <v/>
      </c>
      <c r="M100" s="7">
        <f>IF($V100="","",SUMIFS('Per Line'!$V$2:$V$1501,'Per Line'!$D$2:$D$1501,$B100,'Per Line'!$AM$2:$AM$1501,0,'Per Line'!$AN$2:$AN$1501,0))</f>
        <v/>
      </c>
      <c r="N100" s="7">
        <f>IF($V100="","",M100*L100)</f>
        <v/>
      </c>
      <c r="O100">
        <f>IF($V100="","",Settings!$C$6)</f>
        <v/>
      </c>
      <c r="P100" s="7">
        <f>IF($V100="","",SUMIFS('Per Line'!$V$2:$V$1501,'Per Line'!$D$2:$D$1501,$B100,'Per Line'!$AM$2:$AM$1501,1,'Per Line'!$AN$2:$AN$1501,0))</f>
        <v/>
      </c>
      <c r="Q100" s="7">
        <f>IF($V100="","",P100*O100)</f>
        <v/>
      </c>
      <c r="R100" s="7">
        <f>IF($V100="","",Q100+N100)</f>
        <v/>
      </c>
      <c r="S100" s="7">
        <f>IF($V100="","",T100-R100)</f>
        <v/>
      </c>
      <c r="T100" s="7">
        <f>IF($V100="","",M100+P100+K100)</f>
        <v/>
      </c>
      <c r="U100" s="7">
        <f>IF($V100="","",T100-R100-J100)</f>
        <v/>
      </c>
      <c r="V100" s="13">
        <f>IF(ROWS($V$2:$V100)&lt;=MAX('Per Line'!$AL$2:$AL$1501),MATCH(ROWS($V$2:$V100),'Per Line'!$AL$2:$AL$1501,0),"")</f>
        <v/>
      </c>
    </row>
    <row r="101">
      <c r="A101" s="12" t="n"/>
      <c r="B101">
        <f>IF($V101="","",INDEX('Per Line'!$D$2:$D$1501,$V101)&amp;"")</f>
        <v/>
      </c>
      <c r="C101">
        <f>IF($V101="","",INDEX('Per Line'!$A$2:$A$1501,$V101))</f>
        <v/>
      </c>
      <c r="D101">
        <f>IF($V101="","",INDEX('Per Line'!$Z$2:$Z$1501,$V101)&amp;"")</f>
        <v/>
      </c>
      <c r="E101" s="11">
        <f>IF($V101="","",INDEX('Per Line'!$F$2:$F$1501,$V101))</f>
        <v/>
      </c>
      <c r="F101">
        <f>IF($V101="","",INDEX('Per Line'!$I$2:$I$1501,$V101)&amp;"")</f>
        <v/>
      </c>
      <c r="G101">
        <f>IF($V101="","",INDEX('Per Line'!$J$2:$J$1501,$V101)&amp;"")</f>
        <v/>
      </c>
      <c r="H101">
        <f>IF($V101="","",INDEX('Per Line'!$K$2:$K$1501,$V101)&amp;"")</f>
        <v/>
      </c>
      <c r="I101">
        <f>IF($V101="","",INDEX('Per Line'!$M$2:$M$1501,$V101))</f>
        <v/>
      </c>
      <c r="J101" s="7">
        <f>IF($V101="","",I101*T101/100)</f>
        <v/>
      </c>
      <c r="K101" s="7">
        <f>IF($V101="","",SUMIFS('Per Line'!$V$2:$V$1501,'Per Line'!$D$2:$D$1501,$B101,'Per Line'!$AN$2:$AN$1501,1))</f>
        <v/>
      </c>
      <c r="L101">
        <f>IF($V101="","",Settings!$C$7)</f>
        <v/>
      </c>
      <c r="M101" s="7">
        <f>IF($V101="","",SUMIFS('Per Line'!$V$2:$V$1501,'Per Line'!$D$2:$D$1501,$B101,'Per Line'!$AM$2:$AM$1501,0,'Per Line'!$AN$2:$AN$1501,0))</f>
        <v/>
      </c>
      <c r="N101" s="7">
        <f>IF($V101="","",M101*L101)</f>
        <v/>
      </c>
      <c r="O101">
        <f>IF($V101="","",Settings!$C$6)</f>
        <v/>
      </c>
      <c r="P101" s="7">
        <f>IF($V101="","",SUMIFS('Per Line'!$V$2:$V$1501,'Per Line'!$D$2:$D$1501,$B101,'Per Line'!$AM$2:$AM$1501,1,'Per Line'!$AN$2:$AN$1501,0))</f>
        <v/>
      </c>
      <c r="Q101" s="7">
        <f>IF($V101="","",P101*O101)</f>
        <v/>
      </c>
      <c r="R101" s="7">
        <f>IF($V101="","",Q101+N101)</f>
        <v/>
      </c>
      <c r="S101" s="7">
        <f>IF($V101="","",T101-R101)</f>
        <v/>
      </c>
      <c r="T101" s="7">
        <f>IF($V101="","",M101+P101+K101)</f>
        <v/>
      </c>
      <c r="U101" s="7">
        <f>IF($V101="","",T101-R101-J101)</f>
        <v/>
      </c>
      <c r="V101" s="13">
        <f>IF(ROWS($V$2:$V101)&lt;=MAX('Per Line'!$AL$2:$AL$1501),MATCH(ROWS($V$2:$V101),'Per Line'!$AL$2:$AL$1501,0),"")</f>
        <v/>
      </c>
    </row>
    <row r="102">
      <c r="A102" s="12" t="n"/>
      <c r="B102">
        <f>IF($V102="","",INDEX('Per Line'!$D$2:$D$1501,$V102)&amp;"")</f>
        <v/>
      </c>
      <c r="C102">
        <f>IF($V102="","",INDEX('Per Line'!$A$2:$A$1501,$V102))</f>
        <v/>
      </c>
      <c r="D102">
        <f>IF($V102="","",INDEX('Per Line'!$Z$2:$Z$1501,$V102)&amp;"")</f>
        <v/>
      </c>
      <c r="E102" s="11">
        <f>IF($V102="","",INDEX('Per Line'!$F$2:$F$1501,$V102))</f>
        <v/>
      </c>
      <c r="F102">
        <f>IF($V102="","",INDEX('Per Line'!$I$2:$I$1501,$V102)&amp;"")</f>
        <v/>
      </c>
      <c r="G102">
        <f>IF($V102="","",INDEX('Per Line'!$J$2:$J$1501,$V102)&amp;"")</f>
        <v/>
      </c>
      <c r="H102">
        <f>IF($V102="","",INDEX('Per Line'!$K$2:$K$1501,$V102)&amp;"")</f>
        <v/>
      </c>
      <c r="I102">
        <f>IF($V102="","",INDEX('Per Line'!$M$2:$M$1501,$V102))</f>
        <v/>
      </c>
      <c r="J102" s="7">
        <f>IF($V102="","",I102*T102/100)</f>
        <v/>
      </c>
      <c r="K102" s="7">
        <f>IF($V102="","",SUMIFS('Per Line'!$V$2:$V$1501,'Per Line'!$D$2:$D$1501,$B102,'Per Line'!$AN$2:$AN$1501,1))</f>
        <v/>
      </c>
      <c r="L102">
        <f>IF($V102="","",Settings!$C$7)</f>
        <v/>
      </c>
      <c r="M102" s="7">
        <f>IF($V102="","",SUMIFS('Per Line'!$V$2:$V$1501,'Per Line'!$D$2:$D$1501,$B102,'Per Line'!$AM$2:$AM$1501,0,'Per Line'!$AN$2:$AN$1501,0))</f>
        <v/>
      </c>
      <c r="N102" s="7">
        <f>IF($V102="","",M102*L102)</f>
        <v/>
      </c>
      <c r="O102">
        <f>IF($V102="","",Settings!$C$6)</f>
        <v/>
      </c>
      <c r="P102" s="7">
        <f>IF($V102="","",SUMIFS('Per Line'!$V$2:$V$1501,'Per Line'!$D$2:$D$1501,$B102,'Per Line'!$AM$2:$AM$1501,1,'Per Line'!$AN$2:$AN$1501,0))</f>
        <v/>
      </c>
      <c r="Q102" s="7">
        <f>IF($V102="","",P102*O102)</f>
        <v/>
      </c>
      <c r="R102" s="7">
        <f>IF($V102="","",Q102+N102)</f>
        <v/>
      </c>
      <c r="S102" s="7">
        <f>IF($V102="","",T102-R102)</f>
        <v/>
      </c>
      <c r="T102" s="7">
        <f>IF($V102="","",M102+P102+K102)</f>
        <v/>
      </c>
      <c r="U102" s="7">
        <f>IF($V102="","",T102-R102-J102)</f>
        <v/>
      </c>
      <c r="V102" s="13">
        <f>IF(ROWS($V$2:$V102)&lt;=MAX('Per Line'!$AL$2:$AL$1501),MATCH(ROWS($V$2:$V102),'Per Line'!$AL$2:$AL$1501,0),"")</f>
        <v/>
      </c>
    </row>
    <row r="103">
      <c r="A103" s="12" t="n"/>
      <c r="B103">
        <f>IF($V103="","",INDEX('Per Line'!$D$2:$D$1501,$V103)&amp;"")</f>
        <v/>
      </c>
      <c r="C103">
        <f>IF($V103="","",INDEX('Per Line'!$A$2:$A$1501,$V103))</f>
        <v/>
      </c>
      <c r="D103">
        <f>IF($V103="","",INDEX('Per Line'!$Z$2:$Z$1501,$V103)&amp;"")</f>
        <v/>
      </c>
      <c r="E103" s="11">
        <f>IF($V103="","",INDEX('Per Line'!$F$2:$F$1501,$V103))</f>
        <v/>
      </c>
      <c r="F103">
        <f>IF($V103="","",INDEX('Per Line'!$I$2:$I$1501,$V103)&amp;"")</f>
        <v/>
      </c>
      <c r="G103">
        <f>IF($V103="","",INDEX('Per Line'!$J$2:$J$1501,$V103)&amp;"")</f>
        <v/>
      </c>
      <c r="H103">
        <f>IF($V103="","",INDEX('Per Line'!$K$2:$K$1501,$V103)&amp;"")</f>
        <v/>
      </c>
      <c r="I103">
        <f>IF($V103="","",INDEX('Per Line'!$M$2:$M$1501,$V103))</f>
        <v/>
      </c>
      <c r="J103" s="7">
        <f>IF($V103="","",I103*T103/100)</f>
        <v/>
      </c>
      <c r="K103" s="7">
        <f>IF($V103="","",SUMIFS('Per Line'!$V$2:$V$1501,'Per Line'!$D$2:$D$1501,$B103,'Per Line'!$AN$2:$AN$1501,1))</f>
        <v/>
      </c>
      <c r="L103">
        <f>IF($V103="","",Settings!$C$7)</f>
        <v/>
      </c>
      <c r="M103" s="7">
        <f>IF($V103="","",SUMIFS('Per Line'!$V$2:$V$1501,'Per Line'!$D$2:$D$1501,$B103,'Per Line'!$AM$2:$AM$1501,0,'Per Line'!$AN$2:$AN$1501,0))</f>
        <v/>
      </c>
      <c r="N103" s="7">
        <f>IF($V103="","",M103*L103)</f>
        <v/>
      </c>
      <c r="O103">
        <f>IF($V103="","",Settings!$C$6)</f>
        <v/>
      </c>
      <c r="P103" s="7">
        <f>IF($V103="","",SUMIFS('Per Line'!$V$2:$V$1501,'Per Line'!$D$2:$D$1501,$B103,'Per Line'!$AM$2:$AM$1501,1,'Per Line'!$AN$2:$AN$1501,0))</f>
        <v/>
      </c>
      <c r="Q103" s="7">
        <f>IF($V103="","",P103*O103)</f>
        <v/>
      </c>
      <c r="R103" s="7">
        <f>IF($V103="","",Q103+N103)</f>
        <v/>
      </c>
      <c r="S103" s="7">
        <f>IF($V103="","",T103-R103)</f>
        <v/>
      </c>
      <c r="T103" s="7">
        <f>IF($V103="","",M103+P103+K103)</f>
        <v/>
      </c>
      <c r="U103" s="7">
        <f>IF($V103="","",T103-R103-J103)</f>
        <v/>
      </c>
      <c r="V103" s="13">
        <f>IF(ROWS($V$2:$V103)&lt;=MAX('Per Line'!$AL$2:$AL$1501),MATCH(ROWS($V$2:$V103),'Per Line'!$AL$2:$AL$1501,0),"")</f>
        <v/>
      </c>
    </row>
    <row r="104">
      <c r="A104" s="12" t="n"/>
      <c r="B104">
        <f>IF($V104="","",INDEX('Per Line'!$D$2:$D$1501,$V104)&amp;"")</f>
        <v/>
      </c>
      <c r="C104">
        <f>IF($V104="","",INDEX('Per Line'!$A$2:$A$1501,$V104))</f>
        <v/>
      </c>
      <c r="D104">
        <f>IF($V104="","",INDEX('Per Line'!$Z$2:$Z$1501,$V104)&amp;"")</f>
        <v/>
      </c>
      <c r="E104" s="11">
        <f>IF($V104="","",INDEX('Per Line'!$F$2:$F$1501,$V104))</f>
        <v/>
      </c>
      <c r="F104">
        <f>IF($V104="","",INDEX('Per Line'!$I$2:$I$1501,$V104)&amp;"")</f>
        <v/>
      </c>
      <c r="G104">
        <f>IF($V104="","",INDEX('Per Line'!$J$2:$J$1501,$V104)&amp;"")</f>
        <v/>
      </c>
      <c r="H104">
        <f>IF($V104="","",INDEX('Per Line'!$K$2:$K$1501,$V104)&amp;"")</f>
        <v/>
      </c>
      <c r="I104">
        <f>IF($V104="","",INDEX('Per Line'!$M$2:$M$1501,$V104))</f>
        <v/>
      </c>
      <c r="J104" s="7">
        <f>IF($V104="","",I104*T104/100)</f>
        <v/>
      </c>
      <c r="K104" s="7">
        <f>IF($V104="","",SUMIFS('Per Line'!$V$2:$V$1501,'Per Line'!$D$2:$D$1501,$B104,'Per Line'!$AN$2:$AN$1501,1))</f>
        <v/>
      </c>
      <c r="L104">
        <f>IF($V104="","",Settings!$C$7)</f>
        <v/>
      </c>
      <c r="M104" s="7">
        <f>IF($V104="","",SUMIFS('Per Line'!$V$2:$V$1501,'Per Line'!$D$2:$D$1501,$B104,'Per Line'!$AM$2:$AM$1501,0,'Per Line'!$AN$2:$AN$1501,0))</f>
        <v/>
      </c>
      <c r="N104" s="7">
        <f>IF($V104="","",M104*L104)</f>
        <v/>
      </c>
      <c r="O104">
        <f>IF($V104="","",Settings!$C$6)</f>
        <v/>
      </c>
      <c r="P104" s="7">
        <f>IF($V104="","",SUMIFS('Per Line'!$V$2:$V$1501,'Per Line'!$D$2:$D$1501,$B104,'Per Line'!$AM$2:$AM$1501,1,'Per Line'!$AN$2:$AN$1501,0))</f>
        <v/>
      </c>
      <c r="Q104" s="7">
        <f>IF($V104="","",P104*O104)</f>
        <v/>
      </c>
      <c r="R104" s="7">
        <f>IF($V104="","",Q104+N104)</f>
        <v/>
      </c>
      <c r="S104" s="7">
        <f>IF($V104="","",T104-R104)</f>
        <v/>
      </c>
      <c r="T104" s="7">
        <f>IF($V104="","",M104+P104+K104)</f>
        <v/>
      </c>
      <c r="U104" s="7">
        <f>IF($V104="","",T104-R104-J104)</f>
        <v/>
      </c>
      <c r="V104" s="13">
        <f>IF(ROWS($V$2:$V104)&lt;=MAX('Per Line'!$AL$2:$AL$1501),MATCH(ROWS($V$2:$V104),'Per Line'!$AL$2:$AL$1501,0),"")</f>
        <v/>
      </c>
    </row>
    <row r="105">
      <c r="A105" s="12" t="n"/>
      <c r="B105">
        <f>IF($V105="","",INDEX('Per Line'!$D$2:$D$1501,$V105)&amp;"")</f>
        <v/>
      </c>
      <c r="C105">
        <f>IF($V105="","",INDEX('Per Line'!$A$2:$A$1501,$V105))</f>
        <v/>
      </c>
      <c r="D105">
        <f>IF($V105="","",INDEX('Per Line'!$Z$2:$Z$1501,$V105)&amp;"")</f>
        <v/>
      </c>
      <c r="E105" s="11">
        <f>IF($V105="","",INDEX('Per Line'!$F$2:$F$1501,$V105))</f>
        <v/>
      </c>
      <c r="F105">
        <f>IF($V105="","",INDEX('Per Line'!$I$2:$I$1501,$V105)&amp;"")</f>
        <v/>
      </c>
      <c r="G105">
        <f>IF($V105="","",INDEX('Per Line'!$J$2:$J$1501,$V105)&amp;"")</f>
        <v/>
      </c>
      <c r="H105">
        <f>IF($V105="","",INDEX('Per Line'!$K$2:$K$1501,$V105)&amp;"")</f>
        <v/>
      </c>
      <c r="I105">
        <f>IF($V105="","",INDEX('Per Line'!$M$2:$M$1501,$V105))</f>
        <v/>
      </c>
      <c r="J105" s="7">
        <f>IF($V105="","",I105*T105/100)</f>
        <v/>
      </c>
      <c r="K105" s="7">
        <f>IF($V105="","",SUMIFS('Per Line'!$V$2:$V$1501,'Per Line'!$D$2:$D$1501,$B105,'Per Line'!$AN$2:$AN$1501,1))</f>
        <v/>
      </c>
      <c r="L105">
        <f>IF($V105="","",Settings!$C$7)</f>
        <v/>
      </c>
      <c r="M105" s="7">
        <f>IF($V105="","",SUMIFS('Per Line'!$V$2:$V$1501,'Per Line'!$D$2:$D$1501,$B105,'Per Line'!$AM$2:$AM$1501,0,'Per Line'!$AN$2:$AN$1501,0))</f>
        <v/>
      </c>
      <c r="N105" s="7">
        <f>IF($V105="","",M105*L105)</f>
        <v/>
      </c>
      <c r="O105">
        <f>IF($V105="","",Settings!$C$6)</f>
        <v/>
      </c>
      <c r="P105" s="7">
        <f>IF($V105="","",SUMIFS('Per Line'!$V$2:$V$1501,'Per Line'!$D$2:$D$1501,$B105,'Per Line'!$AM$2:$AM$1501,1,'Per Line'!$AN$2:$AN$1501,0))</f>
        <v/>
      </c>
      <c r="Q105" s="7">
        <f>IF($V105="","",P105*O105)</f>
        <v/>
      </c>
      <c r="R105" s="7">
        <f>IF($V105="","",Q105+N105)</f>
        <v/>
      </c>
      <c r="S105" s="7">
        <f>IF($V105="","",T105-R105)</f>
        <v/>
      </c>
      <c r="T105" s="7">
        <f>IF($V105="","",M105+P105+K105)</f>
        <v/>
      </c>
      <c r="U105" s="7">
        <f>IF($V105="","",T105-R105-J105)</f>
        <v/>
      </c>
      <c r="V105" s="13">
        <f>IF(ROWS($V$2:$V105)&lt;=MAX('Per Line'!$AL$2:$AL$1501),MATCH(ROWS($V$2:$V105),'Per Line'!$AL$2:$AL$1501,0),"")</f>
        <v/>
      </c>
    </row>
    <row r="106">
      <c r="A106" s="12" t="n"/>
      <c r="B106">
        <f>IF($V106="","",INDEX('Per Line'!$D$2:$D$1501,$V106)&amp;"")</f>
        <v/>
      </c>
      <c r="C106">
        <f>IF($V106="","",INDEX('Per Line'!$A$2:$A$1501,$V106))</f>
        <v/>
      </c>
      <c r="D106">
        <f>IF($V106="","",INDEX('Per Line'!$Z$2:$Z$1501,$V106)&amp;"")</f>
        <v/>
      </c>
      <c r="E106" s="11">
        <f>IF($V106="","",INDEX('Per Line'!$F$2:$F$1501,$V106))</f>
        <v/>
      </c>
      <c r="F106">
        <f>IF($V106="","",INDEX('Per Line'!$I$2:$I$1501,$V106)&amp;"")</f>
        <v/>
      </c>
      <c r="G106">
        <f>IF($V106="","",INDEX('Per Line'!$J$2:$J$1501,$V106)&amp;"")</f>
        <v/>
      </c>
      <c r="H106">
        <f>IF($V106="","",INDEX('Per Line'!$K$2:$K$1501,$V106)&amp;"")</f>
        <v/>
      </c>
      <c r="I106">
        <f>IF($V106="","",INDEX('Per Line'!$M$2:$M$1501,$V106))</f>
        <v/>
      </c>
      <c r="J106" s="7">
        <f>IF($V106="","",I106*T106/100)</f>
        <v/>
      </c>
      <c r="K106" s="7">
        <f>IF($V106="","",SUMIFS('Per Line'!$V$2:$V$1501,'Per Line'!$D$2:$D$1501,$B106,'Per Line'!$AN$2:$AN$1501,1))</f>
        <v/>
      </c>
      <c r="L106">
        <f>IF($V106="","",Settings!$C$7)</f>
        <v/>
      </c>
      <c r="M106" s="7">
        <f>IF($V106="","",SUMIFS('Per Line'!$V$2:$V$1501,'Per Line'!$D$2:$D$1501,$B106,'Per Line'!$AM$2:$AM$1501,0,'Per Line'!$AN$2:$AN$1501,0))</f>
        <v/>
      </c>
      <c r="N106" s="7">
        <f>IF($V106="","",M106*L106)</f>
        <v/>
      </c>
      <c r="O106">
        <f>IF($V106="","",Settings!$C$6)</f>
        <v/>
      </c>
      <c r="P106" s="7">
        <f>IF($V106="","",SUMIFS('Per Line'!$V$2:$V$1501,'Per Line'!$D$2:$D$1501,$B106,'Per Line'!$AM$2:$AM$1501,1,'Per Line'!$AN$2:$AN$1501,0))</f>
        <v/>
      </c>
      <c r="Q106" s="7">
        <f>IF($V106="","",P106*O106)</f>
        <v/>
      </c>
      <c r="R106" s="7">
        <f>IF($V106="","",Q106+N106)</f>
        <v/>
      </c>
      <c r="S106" s="7">
        <f>IF($V106="","",T106-R106)</f>
        <v/>
      </c>
      <c r="T106" s="7">
        <f>IF($V106="","",M106+P106+K106)</f>
        <v/>
      </c>
      <c r="U106" s="7">
        <f>IF($V106="","",T106-R106-J106)</f>
        <v/>
      </c>
      <c r="V106" s="13">
        <f>IF(ROWS($V$2:$V106)&lt;=MAX('Per Line'!$AL$2:$AL$1501),MATCH(ROWS($V$2:$V106),'Per Line'!$AL$2:$AL$1501,0),"")</f>
        <v/>
      </c>
    </row>
    <row r="107">
      <c r="A107" s="12" t="n"/>
      <c r="B107">
        <f>IF($V107="","",INDEX('Per Line'!$D$2:$D$1501,$V107)&amp;"")</f>
        <v/>
      </c>
      <c r="C107">
        <f>IF($V107="","",INDEX('Per Line'!$A$2:$A$1501,$V107))</f>
        <v/>
      </c>
      <c r="D107">
        <f>IF($V107="","",INDEX('Per Line'!$Z$2:$Z$1501,$V107)&amp;"")</f>
        <v/>
      </c>
      <c r="E107" s="11">
        <f>IF($V107="","",INDEX('Per Line'!$F$2:$F$1501,$V107))</f>
        <v/>
      </c>
      <c r="F107">
        <f>IF($V107="","",INDEX('Per Line'!$I$2:$I$1501,$V107)&amp;"")</f>
        <v/>
      </c>
      <c r="G107">
        <f>IF($V107="","",INDEX('Per Line'!$J$2:$J$1501,$V107)&amp;"")</f>
        <v/>
      </c>
      <c r="H107">
        <f>IF($V107="","",INDEX('Per Line'!$K$2:$K$1501,$V107)&amp;"")</f>
        <v/>
      </c>
      <c r="I107">
        <f>IF($V107="","",INDEX('Per Line'!$M$2:$M$1501,$V107))</f>
        <v/>
      </c>
      <c r="J107" s="7">
        <f>IF($V107="","",I107*T107/100)</f>
        <v/>
      </c>
      <c r="K107" s="7">
        <f>IF($V107="","",SUMIFS('Per Line'!$V$2:$V$1501,'Per Line'!$D$2:$D$1501,$B107,'Per Line'!$AN$2:$AN$1501,1))</f>
        <v/>
      </c>
      <c r="L107">
        <f>IF($V107="","",Settings!$C$7)</f>
        <v/>
      </c>
      <c r="M107" s="7">
        <f>IF($V107="","",SUMIFS('Per Line'!$V$2:$V$1501,'Per Line'!$D$2:$D$1501,$B107,'Per Line'!$AM$2:$AM$1501,0,'Per Line'!$AN$2:$AN$1501,0))</f>
        <v/>
      </c>
      <c r="N107" s="7">
        <f>IF($V107="","",M107*L107)</f>
        <v/>
      </c>
      <c r="O107">
        <f>IF($V107="","",Settings!$C$6)</f>
        <v/>
      </c>
      <c r="P107" s="7">
        <f>IF($V107="","",SUMIFS('Per Line'!$V$2:$V$1501,'Per Line'!$D$2:$D$1501,$B107,'Per Line'!$AM$2:$AM$1501,1,'Per Line'!$AN$2:$AN$1501,0))</f>
        <v/>
      </c>
      <c r="Q107" s="7">
        <f>IF($V107="","",P107*O107)</f>
        <v/>
      </c>
      <c r="R107" s="7">
        <f>IF($V107="","",Q107+N107)</f>
        <v/>
      </c>
      <c r="S107" s="7">
        <f>IF($V107="","",T107-R107)</f>
        <v/>
      </c>
      <c r="T107" s="7">
        <f>IF($V107="","",M107+P107+K107)</f>
        <v/>
      </c>
      <c r="U107" s="7">
        <f>IF($V107="","",T107-R107-J107)</f>
        <v/>
      </c>
      <c r="V107" s="13">
        <f>IF(ROWS($V$2:$V107)&lt;=MAX('Per Line'!$AL$2:$AL$1501),MATCH(ROWS($V$2:$V107),'Per Line'!$AL$2:$AL$1501,0),"")</f>
        <v/>
      </c>
    </row>
    <row r="108">
      <c r="A108" s="12" t="n"/>
      <c r="B108">
        <f>IF($V108="","",INDEX('Per Line'!$D$2:$D$1501,$V108)&amp;"")</f>
        <v/>
      </c>
      <c r="C108">
        <f>IF($V108="","",INDEX('Per Line'!$A$2:$A$1501,$V108))</f>
        <v/>
      </c>
      <c r="D108">
        <f>IF($V108="","",INDEX('Per Line'!$Z$2:$Z$1501,$V108)&amp;"")</f>
        <v/>
      </c>
      <c r="E108" s="11">
        <f>IF($V108="","",INDEX('Per Line'!$F$2:$F$1501,$V108))</f>
        <v/>
      </c>
      <c r="F108">
        <f>IF($V108="","",INDEX('Per Line'!$I$2:$I$1501,$V108)&amp;"")</f>
        <v/>
      </c>
      <c r="G108">
        <f>IF($V108="","",INDEX('Per Line'!$J$2:$J$1501,$V108)&amp;"")</f>
        <v/>
      </c>
      <c r="H108">
        <f>IF($V108="","",INDEX('Per Line'!$K$2:$K$1501,$V108)&amp;"")</f>
        <v/>
      </c>
      <c r="I108">
        <f>IF($V108="","",INDEX('Per Line'!$M$2:$M$1501,$V108))</f>
        <v/>
      </c>
      <c r="J108" s="7">
        <f>IF($V108="","",I108*T108/100)</f>
        <v/>
      </c>
      <c r="K108" s="7">
        <f>IF($V108="","",SUMIFS('Per Line'!$V$2:$V$1501,'Per Line'!$D$2:$D$1501,$B108,'Per Line'!$AN$2:$AN$1501,1))</f>
        <v/>
      </c>
      <c r="L108">
        <f>IF($V108="","",Settings!$C$7)</f>
        <v/>
      </c>
      <c r="M108" s="7">
        <f>IF($V108="","",SUMIFS('Per Line'!$V$2:$V$1501,'Per Line'!$D$2:$D$1501,$B108,'Per Line'!$AM$2:$AM$1501,0,'Per Line'!$AN$2:$AN$1501,0))</f>
        <v/>
      </c>
      <c r="N108" s="7">
        <f>IF($V108="","",M108*L108)</f>
        <v/>
      </c>
      <c r="O108">
        <f>IF($V108="","",Settings!$C$6)</f>
        <v/>
      </c>
      <c r="P108" s="7">
        <f>IF($V108="","",SUMIFS('Per Line'!$V$2:$V$1501,'Per Line'!$D$2:$D$1501,$B108,'Per Line'!$AM$2:$AM$1501,1,'Per Line'!$AN$2:$AN$1501,0))</f>
        <v/>
      </c>
      <c r="Q108" s="7">
        <f>IF($V108="","",P108*O108)</f>
        <v/>
      </c>
      <c r="R108" s="7">
        <f>IF($V108="","",Q108+N108)</f>
        <v/>
      </c>
      <c r="S108" s="7">
        <f>IF($V108="","",T108-R108)</f>
        <v/>
      </c>
      <c r="T108" s="7">
        <f>IF($V108="","",M108+P108+K108)</f>
        <v/>
      </c>
      <c r="U108" s="7">
        <f>IF($V108="","",T108-R108-J108)</f>
        <v/>
      </c>
      <c r="V108" s="13">
        <f>IF(ROWS($V$2:$V108)&lt;=MAX('Per Line'!$AL$2:$AL$1501),MATCH(ROWS($V$2:$V108),'Per Line'!$AL$2:$AL$1501,0),"")</f>
        <v/>
      </c>
    </row>
    <row r="109">
      <c r="A109" s="12" t="n"/>
      <c r="B109">
        <f>IF($V109="","",INDEX('Per Line'!$D$2:$D$1501,$V109)&amp;"")</f>
        <v/>
      </c>
      <c r="C109">
        <f>IF($V109="","",INDEX('Per Line'!$A$2:$A$1501,$V109))</f>
        <v/>
      </c>
      <c r="D109">
        <f>IF($V109="","",INDEX('Per Line'!$Z$2:$Z$1501,$V109)&amp;"")</f>
        <v/>
      </c>
      <c r="E109" s="11">
        <f>IF($V109="","",INDEX('Per Line'!$F$2:$F$1501,$V109))</f>
        <v/>
      </c>
      <c r="F109">
        <f>IF($V109="","",INDEX('Per Line'!$I$2:$I$1501,$V109)&amp;"")</f>
        <v/>
      </c>
      <c r="G109">
        <f>IF($V109="","",INDEX('Per Line'!$J$2:$J$1501,$V109)&amp;"")</f>
        <v/>
      </c>
      <c r="H109">
        <f>IF($V109="","",INDEX('Per Line'!$K$2:$K$1501,$V109)&amp;"")</f>
        <v/>
      </c>
      <c r="I109">
        <f>IF($V109="","",INDEX('Per Line'!$M$2:$M$1501,$V109))</f>
        <v/>
      </c>
      <c r="J109" s="7">
        <f>IF($V109="","",I109*T109/100)</f>
        <v/>
      </c>
      <c r="K109" s="7">
        <f>IF($V109="","",SUMIFS('Per Line'!$V$2:$V$1501,'Per Line'!$D$2:$D$1501,$B109,'Per Line'!$AN$2:$AN$1501,1))</f>
        <v/>
      </c>
      <c r="L109">
        <f>IF($V109="","",Settings!$C$7)</f>
        <v/>
      </c>
      <c r="M109" s="7">
        <f>IF($V109="","",SUMIFS('Per Line'!$V$2:$V$1501,'Per Line'!$D$2:$D$1501,$B109,'Per Line'!$AM$2:$AM$1501,0,'Per Line'!$AN$2:$AN$1501,0))</f>
        <v/>
      </c>
      <c r="N109" s="7">
        <f>IF($V109="","",M109*L109)</f>
        <v/>
      </c>
      <c r="O109">
        <f>IF($V109="","",Settings!$C$6)</f>
        <v/>
      </c>
      <c r="P109" s="7">
        <f>IF($V109="","",SUMIFS('Per Line'!$V$2:$V$1501,'Per Line'!$D$2:$D$1501,$B109,'Per Line'!$AM$2:$AM$1501,1,'Per Line'!$AN$2:$AN$1501,0))</f>
        <v/>
      </c>
      <c r="Q109" s="7">
        <f>IF($V109="","",P109*O109)</f>
        <v/>
      </c>
      <c r="R109" s="7">
        <f>IF($V109="","",Q109+N109)</f>
        <v/>
      </c>
      <c r="S109" s="7">
        <f>IF($V109="","",T109-R109)</f>
        <v/>
      </c>
      <c r="T109" s="7">
        <f>IF($V109="","",M109+P109+K109)</f>
        <v/>
      </c>
      <c r="U109" s="7">
        <f>IF($V109="","",T109-R109-J109)</f>
        <v/>
      </c>
      <c r="V109" s="13">
        <f>IF(ROWS($V$2:$V109)&lt;=MAX('Per Line'!$AL$2:$AL$1501),MATCH(ROWS($V$2:$V109),'Per Line'!$AL$2:$AL$1501,0),"")</f>
        <v/>
      </c>
    </row>
    <row r="110">
      <c r="A110" s="12" t="n"/>
      <c r="B110">
        <f>IF($V110="","",INDEX('Per Line'!$D$2:$D$1501,$V110)&amp;"")</f>
        <v/>
      </c>
      <c r="C110">
        <f>IF($V110="","",INDEX('Per Line'!$A$2:$A$1501,$V110))</f>
        <v/>
      </c>
      <c r="D110">
        <f>IF($V110="","",INDEX('Per Line'!$Z$2:$Z$1501,$V110)&amp;"")</f>
        <v/>
      </c>
      <c r="E110" s="11">
        <f>IF($V110="","",INDEX('Per Line'!$F$2:$F$1501,$V110))</f>
        <v/>
      </c>
      <c r="F110">
        <f>IF($V110="","",INDEX('Per Line'!$I$2:$I$1501,$V110)&amp;"")</f>
        <v/>
      </c>
      <c r="G110">
        <f>IF($V110="","",INDEX('Per Line'!$J$2:$J$1501,$V110)&amp;"")</f>
        <v/>
      </c>
      <c r="H110">
        <f>IF($V110="","",INDEX('Per Line'!$K$2:$K$1501,$V110)&amp;"")</f>
        <v/>
      </c>
      <c r="I110">
        <f>IF($V110="","",INDEX('Per Line'!$M$2:$M$1501,$V110))</f>
        <v/>
      </c>
      <c r="J110" s="7">
        <f>IF($V110="","",I110*T110/100)</f>
        <v/>
      </c>
      <c r="K110" s="7">
        <f>IF($V110="","",SUMIFS('Per Line'!$V$2:$V$1501,'Per Line'!$D$2:$D$1501,$B110,'Per Line'!$AN$2:$AN$1501,1))</f>
        <v/>
      </c>
      <c r="L110">
        <f>IF($V110="","",Settings!$C$7)</f>
        <v/>
      </c>
      <c r="M110" s="7">
        <f>IF($V110="","",SUMIFS('Per Line'!$V$2:$V$1501,'Per Line'!$D$2:$D$1501,$B110,'Per Line'!$AM$2:$AM$1501,0,'Per Line'!$AN$2:$AN$1501,0))</f>
        <v/>
      </c>
      <c r="N110" s="7">
        <f>IF($V110="","",M110*L110)</f>
        <v/>
      </c>
      <c r="O110">
        <f>IF($V110="","",Settings!$C$6)</f>
        <v/>
      </c>
      <c r="P110" s="7">
        <f>IF($V110="","",SUMIFS('Per Line'!$V$2:$V$1501,'Per Line'!$D$2:$D$1501,$B110,'Per Line'!$AM$2:$AM$1501,1,'Per Line'!$AN$2:$AN$1501,0))</f>
        <v/>
      </c>
      <c r="Q110" s="7">
        <f>IF($V110="","",P110*O110)</f>
        <v/>
      </c>
      <c r="R110" s="7">
        <f>IF($V110="","",Q110+N110)</f>
        <v/>
      </c>
      <c r="S110" s="7">
        <f>IF($V110="","",T110-R110)</f>
        <v/>
      </c>
      <c r="T110" s="7">
        <f>IF($V110="","",M110+P110+K110)</f>
        <v/>
      </c>
      <c r="U110" s="7">
        <f>IF($V110="","",T110-R110-J110)</f>
        <v/>
      </c>
      <c r="V110" s="13">
        <f>IF(ROWS($V$2:$V110)&lt;=MAX('Per Line'!$AL$2:$AL$1501),MATCH(ROWS($V$2:$V110),'Per Line'!$AL$2:$AL$1501,0),"")</f>
        <v/>
      </c>
    </row>
    <row r="111">
      <c r="A111" s="12" t="n"/>
      <c r="B111">
        <f>IF($V111="","",INDEX('Per Line'!$D$2:$D$1501,$V111)&amp;"")</f>
        <v/>
      </c>
      <c r="C111">
        <f>IF($V111="","",INDEX('Per Line'!$A$2:$A$1501,$V111))</f>
        <v/>
      </c>
      <c r="D111">
        <f>IF($V111="","",INDEX('Per Line'!$Z$2:$Z$1501,$V111)&amp;"")</f>
        <v/>
      </c>
      <c r="E111" s="11">
        <f>IF($V111="","",INDEX('Per Line'!$F$2:$F$1501,$V111))</f>
        <v/>
      </c>
      <c r="F111">
        <f>IF($V111="","",INDEX('Per Line'!$I$2:$I$1501,$V111)&amp;"")</f>
        <v/>
      </c>
      <c r="G111">
        <f>IF($V111="","",INDEX('Per Line'!$J$2:$J$1501,$V111)&amp;"")</f>
        <v/>
      </c>
      <c r="H111">
        <f>IF($V111="","",INDEX('Per Line'!$K$2:$K$1501,$V111)&amp;"")</f>
        <v/>
      </c>
      <c r="I111">
        <f>IF($V111="","",INDEX('Per Line'!$M$2:$M$1501,$V111))</f>
        <v/>
      </c>
      <c r="J111" s="7">
        <f>IF($V111="","",I111*T111/100)</f>
        <v/>
      </c>
      <c r="K111" s="7">
        <f>IF($V111="","",SUMIFS('Per Line'!$V$2:$V$1501,'Per Line'!$D$2:$D$1501,$B111,'Per Line'!$AN$2:$AN$1501,1))</f>
        <v/>
      </c>
      <c r="L111">
        <f>IF($V111="","",Settings!$C$7)</f>
        <v/>
      </c>
      <c r="M111" s="7">
        <f>IF($V111="","",SUMIFS('Per Line'!$V$2:$V$1501,'Per Line'!$D$2:$D$1501,$B111,'Per Line'!$AM$2:$AM$1501,0,'Per Line'!$AN$2:$AN$1501,0))</f>
        <v/>
      </c>
      <c r="N111" s="7">
        <f>IF($V111="","",M111*L111)</f>
        <v/>
      </c>
      <c r="O111">
        <f>IF($V111="","",Settings!$C$6)</f>
        <v/>
      </c>
      <c r="P111" s="7">
        <f>IF($V111="","",SUMIFS('Per Line'!$V$2:$V$1501,'Per Line'!$D$2:$D$1501,$B111,'Per Line'!$AM$2:$AM$1501,1,'Per Line'!$AN$2:$AN$1501,0))</f>
        <v/>
      </c>
      <c r="Q111" s="7">
        <f>IF($V111="","",P111*O111)</f>
        <v/>
      </c>
      <c r="R111" s="7">
        <f>IF($V111="","",Q111+N111)</f>
        <v/>
      </c>
      <c r="S111" s="7">
        <f>IF($V111="","",T111-R111)</f>
        <v/>
      </c>
      <c r="T111" s="7">
        <f>IF($V111="","",M111+P111+K111)</f>
        <v/>
      </c>
      <c r="U111" s="7">
        <f>IF($V111="","",T111-R111-J111)</f>
        <v/>
      </c>
      <c r="V111" s="13">
        <f>IF(ROWS($V$2:$V111)&lt;=MAX('Per Line'!$AL$2:$AL$1501),MATCH(ROWS($V$2:$V111),'Per Line'!$AL$2:$AL$1501,0),"")</f>
        <v/>
      </c>
    </row>
    <row r="112">
      <c r="A112" s="12" t="n"/>
      <c r="B112">
        <f>IF($V112="","",INDEX('Per Line'!$D$2:$D$1501,$V112)&amp;"")</f>
        <v/>
      </c>
      <c r="C112">
        <f>IF($V112="","",INDEX('Per Line'!$A$2:$A$1501,$V112))</f>
        <v/>
      </c>
      <c r="D112">
        <f>IF($V112="","",INDEX('Per Line'!$Z$2:$Z$1501,$V112)&amp;"")</f>
        <v/>
      </c>
      <c r="E112" s="11">
        <f>IF($V112="","",INDEX('Per Line'!$F$2:$F$1501,$V112))</f>
        <v/>
      </c>
      <c r="F112">
        <f>IF($V112="","",INDEX('Per Line'!$I$2:$I$1501,$V112)&amp;"")</f>
        <v/>
      </c>
      <c r="G112">
        <f>IF($V112="","",INDEX('Per Line'!$J$2:$J$1501,$V112)&amp;"")</f>
        <v/>
      </c>
      <c r="H112">
        <f>IF($V112="","",INDEX('Per Line'!$K$2:$K$1501,$V112)&amp;"")</f>
        <v/>
      </c>
      <c r="I112">
        <f>IF($V112="","",INDEX('Per Line'!$M$2:$M$1501,$V112))</f>
        <v/>
      </c>
      <c r="J112" s="7">
        <f>IF($V112="","",I112*T112/100)</f>
        <v/>
      </c>
      <c r="K112" s="7">
        <f>IF($V112="","",SUMIFS('Per Line'!$V$2:$V$1501,'Per Line'!$D$2:$D$1501,$B112,'Per Line'!$AN$2:$AN$1501,1))</f>
        <v/>
      </c>
      <c r="L112">
        <f>IF($V112="","",Settings!$C$7)</f>
        <v/>
      </c>
      <c r="M112" s="7">
        <f>IF($V112="","",SUMIFS('Per Line'!$V$2:$V$1501,'Per Line'!$D$2:$D$1501,$B112,'Per Line'!$AM$2:$AM$1501,0,'Per Line'!$AN$2:$AN$1501,0))</f>
        <v/>
      </c>
      <c r="N112" s="7">
        <f>IF($V112="","",M112*L112)</f>
        <v/>
      </c>
      <c r="O112">
        <f>IF($V112="","",Settings!$C$6)</f>
        <v/>
      </c>
      <c r="P112" s="7">
        <f>IF($V112="","",SUMIFS('Per Line'!$V$2:$V$1501,'Per Line'!$D$2:$D$1501,$B112,'Per Line'!$AM$2:$AM$1501,1,'Per Line'!$AN$2:$AN$1501,0))</f>
        <v/>
      </c>
      <c r="Q112" s="7">
        <f>IF($V112="","",P112*O112)</f>
        <v/>
      </c>
      <c r="R112" s="7">
        <f>IF($V112="","",Q112+N112)</f>
        <v/>
      </c>
      <c r="S112" s="7">
        <f>IF($V112="","",T112-R112)</f>
        <v/>
      </c>
      <c r="T112" s="7">
        <f>IF($V112="","",M112+P112+K112)</f>
        <v/>
      </c>
      <c r="U112" s="7">
        <f>IF($V112="","",T112-R112-J112)</f>
        <v/>
      </c>
      <c r="V112" s="13">
        <f>IF(ROWS($V$2:$V112)&lt;=MAX('Per Line'!$AL$2:$AL$1501),MATCH(ROWS($V$2:$V112),'Per Line'!$AL$2:$AL$1501,0),"")</f>
        <v/>
      </c>
    </row>
    <row r="113">
      <c r="A113" s="12" t="n"/>
      <c r="B113">
        <f>IF($V113="","",INDEX('Per Line'!$D$2:$D$1501,$V113)&amp;"")</f>
        <v/>
      </c>
      <c r="C113">
        <f>IF($V113="","",INDEX('Per Line'!$A$2:$A$1501,$V113))</f>
        <v/>
      </c>
      <c r="D113">
        <f>IF($V113="","",INDEX('Per Line'!$Z$2:$Z$1501,$V113)&amp;"")</f>
        <v/>
      </c>
      <c r="E113" s="11">
        <f>IF($V113="","",INDEX('Per Line'!$F$2:$F$1501,$V113))</f>
        <v/>
      </c>
      <c r="F113">
        <f>IF($V113="","",INDEX('Per Line'!$I$2:$I$1501,$V113)&amp;"")</f>
        <v/>
      </c>
      <c r="G113">
        <f>IF($V113="","",INDEX('Per Line'!$J$2:$J$1501,$V113)&amp;"")</f>
        <v/>
      </c>
      <c r="H113">
        <f>IF($V113="","",INDEX('Per Line'!$K$2:$K$1501,$V113)&amp;"")</f>
        <v/>
      </c>
      <c r="I113">
        <f>IF($V113="","",INDEX('Per Line'!$M$2:$M$1501,$V113))</f>
        <v/>
      </c>
      <c r="J113" s="7">
        <f>IF($V113="","",I113*T113/100)</f>
        <v/>
      </c>
      <c r="K113" s="7">
        <f>IF($V113="","",SUMIFS('Per Line'!$V$2:$V$1501,'Per Line'!$D$2:$D$1501,$B113,'Per Line'!$AN$2:$AN$1501,1))</f>
        <v/>
      </c>
      <c r="L113">
        <f>IF($V113="","",Settings!$C$7)</f>
        <v/>
      </c>
      <c r="M113" s="7">
        <f>IF($V113="","",SUMIFS('Per Line'!$V$2:$V$1501,'Per Line'!$D$2:$D$1501,$B113,'Per Line'!$AM$2:$AM$1501,0,'Per Line'!$AN$2:$AN$1501,0))</f>
        <v/>
      </c>
      <c r="N113" s="7">
        <f>IF($V113="","",M113*L113)</f>
        <v/>
      </c>
      <c r="O113">
        <f>IF($V113="","",Settings!$C$6)</f>
        <v/>
      </c>
      <c r="P113" s="7">
        <f>IF($V113="","",SUMIFS('Per Line'!$V$2:$V$1501,'Per Line'!$D$2:$D$1501,$B113,'Per Line'!$AM$2:$AM$1501,1,'Per Line'!$AN$2:$AN$1501,0))</f>
        <v/>
      </c>
      <c r="Q113" s="7">
        <f>IF($V113="","",P113*O113)</f>
        <v/>
      </c>
      <c r="R113" s="7">
        <f>IF($V113="","",Q113+N113)</f>
        <v/>
      </c>
      <c r="S113" s="7">
        <f>IF($V113="","",T113-R113)</f>
        <v/>
      </c>
      <c r="T113" s="7">
        <f>IF($V113="","",M113+P113+K113)</f>
        <v/>
      </c>
      <c r="U113" s="7">
        <f>IF($V113="","",T113-R113-J113)</f>
        <v/>
      </c>
      <c r="V113" s="13">
        <f>IF(ROWS($V$2:$V113)&lt;=MAX('Per Line'!$AL$2:$AL$1501),MATCH(ROWS($V$2:$V113),'Per Line'!$AL$2:$AL$1501,0),"")</f>
        <v/>
      </c>
    </row>
    <row r="114">
      <c r="A114" s="12" t="n"/>
      <c r="B114">
        <f>IF($V114="","",INDEX('Per Line'!$D$2:$D$1501,$V114)&amp;"")</f>
        <v/>
      </c>
      <c r="C114">
        <f>IF($V114="","",INDEX('Per Line'!$A$2:$A$1501,$V114))</f>
        <v/>
      </c>
      <c r="D114">
        <f>IF($V114="","",INDEX('Per Line'!$Z$2:$Z$1501,$V114)&amp;"")</f>
        <v/>
      </c>
      <c r="E114" s="11">
        <f>IF($V114="","",INDEX('Per Line'!$F$2:$F$1501,$V114))</f>
        <v/>
      </c>
      <c r="F114">
        <f>IF($V114="","",INDEX('Per Line'!$I$2:$I$1501,$V114)&amp;"")</f>
        <v/>
      </c>
      <c r="G114">
        <f>IF($V114="","",INDEX('Per Line'!$J$2:$J$1501,$V114)&amp;"")</f>
        <v/>
      </c>
      <c r="H114">
        <f>IF($V114="","",INDEX('Per Line'!$K$2:$K$1501,$V114)&amp;"")</f>
        <v/>
      </c>
      <c r="I114">
        <f>IF($V114="","",INDEX('Per Line'!$M$2:$M$1501,$V114))</f>
        <v/>
      </c>
      <c r="J114" s="7">
        <f>IF($V114="","",I114*T114/100)</f>
        <v/>
      </c>
      <c r="K114" s="7">
        <f>IF($V114="","",SUMIFS('Per Line'!$V$2:$V$1501,'Per Line'!$D$2:$D$1501,$B114,'Per Line'!$AN$2:$AN$1501,1))</f>
        <v/>
      </c>
      <c r="L114">
        <f>IF($V114="","",Settings!$C$7)</f>
        <v/>
      </c>
      <c r="M114" s="7">
        <f>IF($V114="","",SUMIFS('Per Line'!$V$2:$V$1501,'Per Line'!$D$2:$D$1501,$B114,'Per Line'!$AM$2:$AM$1501,0,'Per Line'!$AN$2:$AN$1501,0))</f>
        <v/>
      </c>
      <c r="N114" s="7">
        <f>IF($V114="","",M114*L114)</f>
        <v/>
      </c>
      <c r="O114">
        <f>IF($V114="","",Settings!$C$6)</f>
        <v/>
      </c>
      <c r="P114" s="7">
        <f>IF($V114="","",SUMIFS('Per Line'!$V$2:$V$1501,'Per Line'!$D$2:$D$1501,$B114,'Per Line'!$AM$2:$AM$1501,1,'Per Line'!$AN$2:$AN$1501,0))</f>
        <v/>
      </c>
      <c r="Q114" s="7">
        <f>IF($V114="","",P114*O114)</f>
        <v/>
      </c>
      <c r="R114" s="7">
        <f>IF($V114="","",Q114+N114)</f>
        <v/>
      </c>
      <c r="S114" s="7">
        <f>IF($V114="","",T114-R114)</f>
        <v/>
      </c>
      <c r="T114" s="7">
        <f>IF($V114="","",M114+P114+K114)</f>
        <v/>
      </c>
      <c r="U114" s="7">
        <f>IF($V114="","",T114-R114-J114)</f>
        <v/>
      </c>
      <c r="V114" s="13">
        <f>IF(ROWS($V$2:$V114)&lt;=MAX('Per Line'!$AL$2:$AL$1501),MATCH(ROWS($V$2:$V114),'Per Line'!$AL$2:$AL$1501,0),"")</f>
        <v/>
      </c>
    </row>
    <row r="115">
      <c r="A115" s="12" t="n"/>
      <c r="B115">
        <f>IF($V115="","",INDEX('Per Line'!$D$2:$D$1501,$V115)&amp;"")</f>
        <v/>
      </c>
      <c r="C115">
        <f>IF($V115="","",INDEX('Per Line'!$A$2:$A$1501,$V115))</f>
        <v/>
      </c>
      <c r="D115">
        <f>IF($V115="","",INDEX('Per Line'!$Z$2:$Z$1501,$V115)&amp;"")</f>
        <v/>
      </c>
      <c r="E115" s="11">
        <f>IF($V115="","",INDEX('Per Line'!$F$2:$F$1501,$V115))</f>
        <v/>
      </c>
      <c r="F115">
        <f>IF($V115="","",INDEX('Per Line'!$I$2:$I$1501,$V115)&amp;"")</f>
        <v/>
      </c>
      <c r="G115">
        <f>IF($V115="","",INDEX('Per Line'!$J$2:$J$1501,$V115)&amp;"")</f>
        <v/>
      </c>
      <c r="H115">
        <f>IF($V115="","",INDEX('Per Line'!$K$2:$K$1501,$V115)&amp;"")</f>
        <v/>
      </c>
      <c r="I115">
        <f>IF($V115="","",INDEX('Per Line'!$M$2:$M$1501,$V115))</f>
        <v/>
      </c>
      <c r="J115" s="7">
        <f>IF($V115="","",I115*T115/100)</f>
        <v/>
      </c>
      <c r="K115" s="7">
        <f>IF($V115="","",SUMIFS('Per Line'!$V$2:$V$1501,'Per Line'!$D$2:$D$1501,$B115,'Per Line'!$AN$2:$AN$1501,1))</f>
        <v/>
      </c>
      <c r="L115">
        <f>IF($V115="","",Settings!$C$7)</f>
        <v/>
      </c>
      <c r="M115" s="7">
        <f>IF($V115="","",SUMIFS('Per Line'!$V$2:$V$1501,'Per Line'!$D$2:$D$1501,$B115,'Per Line'!$AM$2:$AM$1501,0,'Per Line'!$AN$2:$AN$1501,0))</f>
        <v/>
      </c>
      <c r="N115" s="7">
        <f>IF($V115="","",M115*L115)</f>
        <v/>
      </c>
      <c r="O115">
        <f>IF($V115="","",Settings!$C$6)</f>
        <v/>
      </c>
      <c r="P115" s="7">
        <f>IF($V115="","",SUMIFS('Per Line'!$V$2:$V$1501,'Per Line'!$D$2:$D$1501,$B115,'Per Line'!$AM$2:$AM$1501,1,'Per Line'!$AN$2:$AN$1501,0))</f>
        <v/>
      </c>
      <c r="Q115" s="7">
        <f>IF($V115="","",P115*O115)</f>
        <v/>
      </c>
      <c r="R115" s="7">
        <f>IF($V115="","",Q115+N115)</f>
        <v/>
      </c>
      <c r="S115" s="7">
        <f>IF($V115="","",T115-R115)</f>
        <v/>
      </c>
      <c r="T115" s="7">
        <f>IF($V115="","",M115+P115+K115)</f>
        <v/>
      </c>
      <c r="U115" s="7">
        <f>IF($V115="","",T115-R115-J115)</f>
        <v/>
      </c>
      <c r="V115" s="13">
        <f>IF(ROWS($V$2:$V115)&lt;=MAX('Per Line'!$AL$2:$AL$1501),MATCH(ROWS($V$2:$V115),'Per Line'!$AL$2:$AL$1501,0),"")</f>
        <v/>
      </c>
    </row>
    <row r="116">
      <c r="A116" s="12" t="n"/>
      <c r="B116">
        <f>IF($V116="","",INDEX('Per Line'!$D$2:$D$1501,$V116)&amp;"")</f>
        <v/>
      </c>
      <c r="C116">
        <f>IF($V116="","",INDEX('Per Line'!$A$2:$A$1501,$V116))</f>
        <v/>
      </c>
      <c r="D116">
        <f>IF($V116="","",INDEX('Per Line'!$Z$2:$Z$1501,$V116)&amp;"")</f>
        <v/>
      </c>
      <c r="E116" s="11">
        <f>IF($V116="","",INDEX('Per Line'!$F$2:$F$1501,$V116))</f>
        <v/>
      </c>
      <c r="F116">
        <f>IF($V116="","",INDEX('Per Line'!$I$2:$I$1501,$V116)&amp;"")</f>
        <v/>
      </c>
      <c r="G116">
        <f>IF($V116="","",INDEX('Per Line'!$J$2:$J$1501,$V116)&amp;"")</f>
        <v/>
      </c>
      <c r="H116">
        <f>IF($V116="","",INDEX('Per Line'!$K$2:$K$1501,$V116)&amp;"")</f>
        <v/>
      </c>
      <c r="I116">
        <f>IF($V116="","",INDEX('Per Line'!$M$2:$M$1501,$V116))</f>
        <v/>
      </c>
      <c r="J116" s="7">
        <f>IF($V116="","",I116*T116/100)</f>
        <v/>
      </c>
      <c r="K116" s="7">
        <f>IF($V116="","",SUMIFS('Per Line'!$V$2:$V$1501,'Per Line'!$D$2:$D$1501,$B116,'Per Line'!$AN$2:$AN$1501,1))</f>
        <v/>
      </c>
      <c r="L116">
        <f>IF($V116="","",Settings!$C$7)</f>
        <v/>
      </c>
      <c r="M116" s="7">
        <f>IF($V116="","",SUMIFS('Per Line'!$V$2:$V$1501,'Per Line'!$D$2:$D$1501,$B116,'Per Line'!$AM$2:$AM$1501,0,'Per Line'!$AN$2:$AN$1501,0))</f>
        <v/>
      </c>
      <c r="N116" s="7">
        <f>IF($V116="","",M116*L116)</f>
        <v/>
      </c>
      <c r="O116">
        <f>IF($V116="","",Settings!$C$6)</f>
        <v/>
      </c>
      <c r="P116" s="7">
        <f>IF($V116="","",SUMIFS('Per Line'!$V$2:$V$1501,'Per Line'!$D$2:$D$1501,$B116,'Per Line'!$AM$2:$AM$1501,1,'Per Line'!$AN$2:$AN$1501,0))</f>
        <v/>
      </c>
      <c r="Q116" s="7">
        <f>IF($V116="","",P116*O116)</f>
        <v/>
      </c>
      <c r="R116" s="7">
        <f>IF($V116="","",Q116+N116)</f>
        <v/>
      </c>
      <c r="S116" s="7">
        <f>IF($V116="","",T116-R116)</f>
        <v/>
      </c>
      <c r="T116" s="7">
        <f>IF($V116="","",M116+P116+K116)</f>
        <v/>
      </c>
      <c r="U116" s="7">
        <f>IF($V116="","",T116-R116-J116)</f>
        <v/>
      </c>
      <c r="V116" s="13">
        <f>IF(ROWS($V$2:$V116)&lt;=MAX('Per Line'!$AL$2:$AL$1501),MATCH(ROWS($V$2:$V116),'Per Line'!$AL$2:$AL$1501,0),"")</f>
        <v/>
      </c>
    </row>
    <row r="117">
      <c r="A117" s="12" t="n"/>
      <c r="B117">
        <f>IF($V117="","",INDEX('Per Line'!$D$2:$D$1501,$V117)&amp;"")</f>
        <v/>
      </c>
      <c r="C117">
        <f>IF($V117="","",INDEX('Per Line'!$A$2:$A$1501,$V117))</f>
        <v/>
      </c>
      <c r="D117">
        <f>IF($V117="","",INDEX('Per Line'!$Z$2:$Z$1501,$V117)&amp;"")</f>
        <v/>
      </c>
      <c r="E117" s="11">
        <f>IF($V117="","",INDEX('Per Line'!$F$2:$F$1501,$V117))</f>
        <v/>
      </c>
      <c r="F117">
        <f>IF($V117="","",INDEX('Per Line'!$I$2:$I$1501,$V117)&amp;"")</f>
        <v/>
      </c>
      <c r="G117">
        <f>IF($V117="","",INDEX('Per Line'!$J$2:$J$1501,$V117)&amp;"")</f>
        <v/>
      </c>
      <c r="H117">
        <f>IF($V117="","",INDEX('Per Line'!$K$2:$K$1501,$V117)&amp;"")</f>
        <v/>
      </c>
      <c r="I117">
        <f>IF($V117="","",INDEX('Per Line'!$M$2:$M$1501,$V117))</f>
        <v/>
      </c>
      <c r="J117" s="7">
        <f>IF($V117="","",I117*T117/100)</f>
        <v/>
      </c>
      <c r="K117" s="7">
        <f>IF($V117="","",SUMIFS('Per Line'!$V$2:$V$1501,'Per Line'!$D$2:$D$1501,$B117,'Per Line'!$AN$2:$AN$1501,1))</f>
        <v/>
      </c>
      <c r="L117">
        <f>IF($V117="","",Settings!$C$7)</f>
        <v/>
      </c>
      <c r="M117" s="7">
        <f>IF($V117="","",SUMIFS('Per Line'!$V$2:$V$1501,'Per Line'!$D$2:$D$1501,$B117,'Per Line'!$AM$2:$AM$1501,0,'Per Line'!$AN$2:$AN$1501,0))</f>
        <v/>
      </c>
      <c r="N117" s="7">
        <f>IF($V117="","",M117*L117)</f>
        <v/>
      </c>
      <c r="O117">
        <f>IF($V117="","",Settings!$C$6)</f>
        <v/>
      </c>
      <c r="P117" s="7">
        <f>IF($V117="","",SUMIFS('Per Line'!$V$2:$V$1501,'Per Line'!$D$2:$D$1501,$B117,'Per Line'!$AM$2:$AM$1501,1,'Per Line'!$AN$2:$AN$1501,0))</f>
        <v/>
      </c>
      <c r="Q117" s="7">
        <f>IF($V117="","",P117*O117)</f>
        <v/>
      </c>
      <c r="R117" s="7">
        <f>IF($V117="","",Q117+N117)</f>
        <v/>
      </c>
      <c r="S117" s="7">
        <f>IF($V117="","",T117-R117)</f>
        <v/>
      </c>
      <c r="T117" s="7">
        <f>IF($V117="","",M117+P117+K117)</f>
        <v/>
      </c>
      <c r="U117" s="7">
        <f>IF($V117="","",T117-R117-J117)</f>
        <v/>
      </c>
      <c r="V117" s="13">
        <f>IF(ROWS($V$2:$V117)&lt;=MAX('Per Line'!$AL$2:$AL$1501),MATCH(ROWS($V$2:$V117),'Per Line'!$AL$2:$AL$1501,0),"")</f>
        <v/>
      </c>
    </row>
    <row r="118">
      <c r="A118" s="12" t="n"/>
      <c r="B118">
        <f>IF($V118="","",INDEX('Per Line'!$D$2:$D$1501,$V118)&amp;"")</f>
        <v/>
      </c>
      <c r="C118">
        <f>IF($V118="","",INDEX('Per Line'!$A$2:$A$1501,$V118))</f>
        <v/>
      </c>
      <c r="D118">
        <f>IF($V118="","",INDEX('Per Line'!$Z$2:$Z$1501,$V118)&amp;"")</f>
        <v/>
      </c>
      <c r="E118" s="11">
        <f>IF($V118="","",INDEX('Per Line'!$F$2:$F$1501,$V118))</f>
        <v/>
      </c>
      <c r="F118">
        <f>IF($V118="","",INDEX('Per Line'!$I$2:$I$1501,$V118)&amp;"")</f>
        <v/>
      </c>
      <c r="G118">
        <f>IF($V118="","",INDEX('Per Line'!$J$2:$J$1501,$V118)&amp;"")</f>
        <v/>
      </c>
      <c r="H118">
        <f>IF($V118="","",INDEX('Per Line'!$K$2:$K$1501,$V118)&amp;"")</f>
        <v/>
      </c>
      <c r="I118">
        <f>IF($V118="","",INDEX('Per Line'!$M$2:$M$1501,$V118))</f>
        <v/>
      </c>
      <c r="J118" s="7">
        <f>IF($V118="","",I118*T118/100)</f>
        <v/>
      </c>
      <c r="K118" s="7">
        <f>IF($V118="","",SUMIFS('Per Line'!$V$2:$V$1501,'Per Line'!$D$2:$D$1501,$B118,'Per Line'!$AN$2:$AN$1501,1))</f>
        <v/>
      </c>
      <c r="L118">
        <f>IF($V118="","",Settings!$C$7)</f>
        <v/>
      </c>
      <c r="M118" s="7">
        <f>IF($V118="","",SUMIFS('Per Line'!$V$2:$V$1501,'Per Line'!$D$2:$D$1501,$B118,'Per Line'!$AM$2:$AM$1501,0,'Per Line'!$AN$2:$AN$1501,0))</f>
        <v/>
      </c>
      <c r="N118" s="7">
        <f>IF($V118="","",M118*L118)</f>
        <v/>
      </c>
      <c r="O118">
        <f>IF($V118="","",Settings!$C$6)</f>
        <v/>
      </c>
      <c r="P118" s="7">
        <f>IF($V118="","",SUMIFS('Per Line'!$V$2:$V$1501,'Per Line'!$D$2:$D$1501,$B118,'Per Line'!$AM$2:$AM$1501,1,'Per Line'!$AN$2:$AN$1501,0))</f>
        <v/>
      </c>
      <c r="Q118" s="7">
        <f>IF($V118="","",P118*O118)</f>
        <v/>
      </c>
      <c r="R118" s="7">
        <f>IF($V118="","",Q118+N118)</f>
        <v/>
      </c>
      <c r="S118" s="7">
        <f>IF($V118="","",T118-R118)</f>
        <v/>
      </c>
      <c r="T118" s="7">
        <f>IF($V118="","",M118+P118+K118)</f>
        <v/>
      </c>
      <c r="U118" s="7">
        <f>IF($V118="","",T118-R118-J118)</f>
        <v/>
      </c>
      <c r="V118" s="13">
        <f>IF(ROWS($V$2:$V118)&lt;=MAX('Per Line'!$AL$2:$AL$1501),MATCH(ROWS($V$2:$V118),'Per Line'!$AL$2:$AL$1501,0),"")</f>
        <v/>
      </c>
    </row>
    <row r="119">
      <c r="A119" s="12" t="n"/>
      <c r="B119">
        <f>IF($V119="","",INDEX('Per Line'!$D$2:$D$1501,$V119)&amp;"")</f>
        <v/>
      </c>
      <c r="C119">
        <f>IF($V119="","",INDEX('Per Line'!$A$2:$A$1501,$V119))</f>
        <v/>
      </c>
      <c r="D119">
        <f>IF($V119="","",INDEX('Per Line'!$Z$2:$Z$1501,$V119)&amp;"")</f>
        <v/>
      </c>
      <c r="E119" s="11">
        <f>IF($V119="","",INDEX('Per Line'!$F$2:$F$1501,$V119))</f>
        <v/>
      </c>
      <c r="F119">
        <f>IF($V119="","",INDEX('Per Line'!$I$2:$I$1501,$V119)&amp;"")</f>
        <v/>
      </c>
      <c r="G119">
        <f>IF($V119="","",INDEX('Per Line'!$J$2:$J$1501,$V119)&amp;"")</f>
        <v/>
      </c>
      <c r="H119">
        <f>IF($V119="","",INDEX('Per Line'!$K$2:$K$1501,$V119)&amp;"")</f>
        <v/>
      </c>
      <c r="I119">
        <f>IF($V119="","",INDEX('Per Line'!$M$2:$M$1501,$V119))</f>
        <v/>
      </c>
      <c r="J119" s="7">
        <f>IF($V119="","",I119*T119/100)</f>
        <v/>
      </c>
      <c r="K119" s="7">
        <f>IF($V119="","",SUMIFS('Per Line'!$V$2:$V$1501,'Per Line'!$D$2:$D$1501,$B119,'Per Line'!$AN$2:$AN$1501,1))</f>
        <v/>
      </c>
      <c r="L119">
        <f>IF($V119="","",Settings!$C$7)</f>
        <v/>
      </c>
      <c r="M119" s="7">
        <f>IF($V119="","",SUMIFS('Per Line'!$V$2:$V$1501,'Per Line'!$D$2:$D$1501,$B119,'Per Line'!$AM$2:$AM$1501,0,'Per Line'!$AN$2:$AN$1501,0))</f>
        <v/>
      </c>
      <c r="N119" s="7">
        <f>IF($V119="","",M119*L119)</f>
        <v/>
      </c>
      <c r="O119">
        <f>IF($V119="","",Settings!$C$6)</f>
        <v/>
      </c>
      <c r="P119" s="7">
        <f>IF($V119="","",SUMIFS('Per Line'!$V$2:$V$1501,'Per Line'!$D$2:$D$1501,$B119,'Per Line'!$AM$2:$AM$1501,1,'Per Line'!$AN$2:$AN$1501,0))</f>
        <v/>
      </c>
      <c r="Q119" s="7">
        <f>IF($V119="","",P119*O119)</f>
        <v/>
      </c>
      <c r="R119" s="7">
        <f>IF($V119="","",Q119+N119)</f>
        <v/>
      </c>
      <c r="S119" s="7">
        <f>IF($V119="","",T119-R119)</f>
        <v/>
      </c>
      <c r="T119" s="7">
        <f>IF($V119="","",M119+P119+K119)</f>
        <v/>
      </c>
      <c r="U119" s="7">
        <f>IF($V119="","",T119-R119-J119)</f>
        <v/>
      </c>
      <c r="V119" s="13">
        <f>IF(ROWS($V$2:$V119)&lt;=MAX('Per Line'!$AL$2:$AL$1501),MATCH(ROWS($V$2:$V119),'Per Line'!$AL$2:$AL$1501,0),"")</f>
        <v/>
      </c>
    </row>
    <row r="120">
      <c r="A120" s="12" t="n"/>
      <c r="B120">
        <f>IF($V120="","",INDEX('Per Line'!$D$2:$D$1501,$V120)&amp;"")</f>
        <v/>
      </c>
      <c r="C120">
        <f>IF($V120="","",INDEX('Per Line'!$A$2:$A$1501,$V120))</f>
        <v/>
      </c>
      <c r="D120">
        <f>IF($V120="","",INDEX('Per Line'!$Z$2:$Z$1501,$V120)&amp;"")</f>
        <v/>
      </c>
      <c r="E120" s="11">
        <f>IF($V120="","",INDEX('Per Line'!$F$2:$F$1501,$V120))</f>
        <v/>
      </c>
      <c r="F120">
        <f>IF($V120="","",INDEX('Per Line'!$I$2:$I$1501,$V120)&amp;"")</f>
        <v/>
      </c>
      <c r="G120">
        <f>IF($V120="","",INDEX('Per Line'!$J$2:$J$1501,$V120)&amp;"")</f>
        <v/>
      </c>
      <c r="H120">
        <f>IF($V120="","",INDEX('Per Line'!$K$2:$K$1501,$V120)&amp;"")</f>
        <v/>
      </c>
      <c r="I120">
        <f>IF($V120="","",INDEX('Per Line'!$M$2:$M$1501,$V120))</f>
        <v/>
      </c>
      <c r="J120" s="7">
        <f>IF($V120="","",I120*T120/100)</f>
        <v/>
      </c>
      <c r="K120" s="7">
        <f>IF($V120="","",SUMIFS('Per Line'!$V$2:$V$1501,'Per Line'!$D$2:$D$1501,$B120,'Per Line'!$AN$2:$AN$1501,1))</f>
        <v/>
      </c>
      <c r="L120">
        <f>IF($V120="","",Settings!$C$7)</f>
        <v/>
      </c>
      <c r="M120" s="7">
        <f>IF($V120="","",SUMIFS('Per Line'!$V$2:$V$1501,'Per Line'!$D$2:$D$1501,$B120,'Per Line'!$AM$2:$AM$1501,0,'Per Line'!$AN$2:$AN$1501,0))</f>
        <v/>
      </c>
      <c r="N120" s="7">
        <f>IF($V120="","",M120*L120)</f>
        <v/>
      </c>
      <c r="O120">
        <f>IF($V120="","",Settings!$C$6)</f>
        <v/>
      </c>
      <c r="P120" s="7">
        <f>IF($V120="","",SUMIFS('Per Line'!$V$2:$V$1501,'Per Line'!$D$2:$D$1501,$B120,'Per Line'!$AM$2:$AM$1501,1,'Per Line'!$AN$2:$AN$1501,0))</f>
        <v/>
      </c>
      <c r="Q120" s="7">
        <f>IF($V120="","",P120*O120)</f>
        <v/>
      </c>
      <c r="R120" s="7">
        <f>IF($V120="","",Q120+N120)</f>
        <v/>
      </c>
      <c r="S120" s="7">
        <f>IF($V120="","",T120-R120)</f>
        <v/>
      </c>
      <c r="T120" s="7">
        <f>IF($V120="","",M120+P120+K120)</f>
        <v/>
      </c>
      <c r="U120" s="7">
        <f>IF($V120="","",T120-R120-J120)</f>
        <v/>
      </c>
      <c r="V120" s="13">
        <f>IF(ROWS($V$2:$V120)&lt;=MAX('Per Line'!$AL$2:$AL$1501),MATCH(ROWS($V$2:$V120),'Per Line'!$AL$2:$AL$1501,0),"")</f>
        <v/>
      </c>
    </row>
    <row r="121">
      <c r="A121" s="12" t="n"/>
      <c r="B121">
        <f>IF($V121="","",INDEX('Per Line'!$D$2:$D$1501,$V121)&amp;"")</f>
        <v/>
      </c>
      <c r="C121">
        <f>IF($V121="","",INDEX('Per Line'!$A$2:$A$1501,$V121))</f>
        <v/>
      </c>
      <c r="D121">
        <f>IF($V121="","",INDEX('Per Line'!$Z$2:$Z$1501,$V121)&amp;"")</f>
        <v/>
      </c>
      <c r="E121" s="11">
        <f>IF($V121="","",INDEX('Per Line'!$F$2:$F$1501,$V121))</f>
        <v/>
      </c>
      <c r="F121">
        <f>IF($V121="","",INDEX('Per Line'!$I$2:$I$1501,$V121)&amp;"")</f>
        <v/>
      </c>
      <c r="G121">
        <f>IF($V121="","",INDEX('Per Line'!$J$2:$J$1501,$V121)&amp;"")</f>
        <v/>
      </c>
      <c r="H121">
        <f>IF($V121="","",INDEX('Per Line'!$K$2:$K$1501,$V121)&amp;"")</f>
        <v/>
      </c>
      <c r="I121">
        <f>IF($V121="","",INDEX('Per Line'!$M$2:$M$1501,$V121))</f>
        <v/>
      </c>
      <c r="J121" s="7">
        <f>IF($V121="","",I121*T121/100)</f>
        <v/>
      </c>
      <c r="K121" s="7">
        <f>IF($V121="","",SUMIFS('Per Line'!$V$2:$V$1501,'Per Line'!$D$2:$D$1501,$B121,'Per Line'!$AN$2:$AN$1501,1))</f>
        <v/>
      </c>
      <c r="L121">
        <f>IF($V121="","",Settings!$C$7)</f>
        <v/>
      </c>
      <c r="M121" s="7">
        <f>IF($V121="","",SUMIFS('Per Line'!$V$2:$V$1501,'Per Line'!$D$2:$D$1501,$B121,'Per Line'!$AM$2:$AM$1501,0,'Per Line'!$AN$2:$AN$1501,0))</f>
        <v/>
      </c>
      <c r="N121" s="7">
        <f>IF($V121="","",M121*L121)</f>
        <v/>
      </c>
      <c r="O121">
        <f>IF($V121="","",Settings!$C$6)</f>
        <v/>
      </c>
      <c r="P121" s="7">
        <f>IF($V121="","",SUMIFS('Per Line'!$V$2:$V$1501,'Per Line'!$D$2:$D$1501,$B121,'Per Line'!$AM$2:$AM$1501,1,'Per Line'!$AN$2:$AN$1501,0))</f>
        <v/>
      </c>
      <c r="Q121" s="7">
        <f>IF($V121="","",P121*O121)</f>
        <v/>
      </c>
      <c r="R121" s="7">
        <f>IF($V121="","",Q121+N121)</f>
        <v/>
      </c>
      <c r="S121" s="7">
        <f>IF($V121="","",T121-R121)</f>
        <v/>
      </c>
      <c r="T121" s="7">
        <f>IF($V121="","",M121+P121+K121)</f>
        <v/>
      </c>
      <c r="U121" s="7">
        <f>IF($V121="","",T121-R121-J121)</f>
        <v/>
      </c>
      <c r="V121" s="13">
        <f>IF(ROWS($V$2:$V121)&lt;=MAX('Per Line'!$AL$2:$AL$1501),MATCH(ROWS($V$2:$V121),'Per Line'!$AL$2:$AL$1501,0),"")</f>
        <v/>
      </c>
    </row>
    <row r="122">
      <c r="A122" s="12" t="n"/>
      <c r="B122">
        <f>IF($V122="","",INDEX('Per Line'!$D$2:$D$1501,$V122)&amp;"")</f>
        <v/>
      </c>
      <c r="C122">
        <f>IF($V122="","",INDEX('Per Line'!$A$2:$A$1501,$V122))</f>
        <v/>
      </c>
      <c r="D122">
        <f>IF($V122="","",INDEX('Per Line'!$Z$2:$Z$1501,$V122)&amp;"")</f>
        <v/>
      </c>
      <c r="E122" s="11">
        <f>IF($V122="","",INDEX('Per Line'!$F$2:$F$1501,$V122))</f>
        <v/>
      </c>
      <c r="F122">
        <f>IF($V122="","",INDEX('Per Line'!$I$2:$I$1501,$V122)&amp;"")</f>
        <v/>
      </c>
      <c r="G122">
        <f>IF($V122="","",INDEX('Per Line'!$J$2:$J$1501,$V122)&amp;"")</f>
        <v/>
      </c>
      <c r="H122">
        <f>IF($V122="","",INDEX('Per Line'!$K$2:$K$1501,$V122)&amp;"")</f>
        <v/>
      </c>
      <c r="I122">
        <f>IF($V122="","",INDEX('Per Line'!$M$2:$M$1501,$V122))</f>
        <v/>
      </c>
      <c r="J122" s="7">
        <f>IF($V122="","",I122*T122/100)</f>
        <v/>
      </c>
      <c r="K122" s="7">
        <f>IF($V122="","",SUMIFS('Per Line'!$V$2:$V$1501,'Per Line'!$D$2:$D$1501,$B122,'Per Line'!$AN$2:$AN$1501,1))</f>
        <v/>
      </c>
      <c r="L122">
        <f>IF($V122="","",Settings!$C$7)</f>
        <v/>
      </c>
      <c r="M122" s="7">
        <f>IF($V122="","",SUMIFS('Per Line'!$V$2:$V$1501,'Per Line'!$D$2:$D$1501,$B122,'Per Line'!$AM$2:$AM$1501,0,'Per Line'!$AN$2:$AN$1501,0))</f>
        <v/>
      </c>
      <c r="N122" s="7">
        <f>IF($V122="","",M122*L122)</f>
        <v/>
      </c>
      <c r="O122">
        <f>IF($V122="","",Settings!$C$6)</f>
        <v/>
      </c>
      <c r="P122" s="7">
        <f>IF($V122="","",SUMIFS('Per Line'!$V$2:$V$1501,'Per Line'!$D$2:$D$1501,$B122,'Per Line'!$AM$2:$AM$1501,1,'Per Line'!$AN$2:$AN$1501,0))</f>
        <v/>
      </c>
      <c r="Q122" s="7">
        <f>IF($V122="","",P122*O122)</f>
        <v/>
      </c>
      <c r="R122" s="7">
        <f>IF($V122="","",Q122+N122)</f>
        <v/>
      </c>
      <c r="S122" s="7">
        <f>IF($V122="","",T122-R122)</f>
        <v/>
      </c>
      <c r="T122" s="7">
        <f>IF($V122="","",M122+P122+K122)</f>
        <v/>
      </c>
      <c r="U122" s="7">
        <f>IF($V122="","",T122-R122-J122)</f>
        <v/>
      </c>
      <c r="V122" s="13">
        <f>IF(ROWS($V$2:$V122)&lt;=MAX('Per Line'!$AL$2:$AL$1501),MATCH(ROWS($V$2:$V122),'Per Line'!$AL$2:$AL$1501,0),"")</f>
        <v/>
      </c>
    </row>
    <row r="123">
      <c r="A123" s="12" t="n"/>
      <c r="B123">
        <f>IF($V123="","",INDEX('Per Line'!$D$2:$D$1501,$V123)&amp;"")</f>
        <v/>
      </c>
      <c r="C123">
        <f>IF($V123="","",INDEX('Per Line'!$A$2:$A$1501,$V123))</f>
        <v/>
      </c>
      <c r="D123">
        <f>IF($V123="","",INDEX('Per Line'!$Z$2:$Z$1501,$V123)&amp;"")</f>
        <v/>
      </c>
      <c r="E123" s="11">
        <f>IF($V123="","",INDEX('Per Line'!$F$2:$F$1501,$V123))</f>
        <v/>
      </c>
      <c r="F123">
        <f>IF($V123="","",INDEX('Per Line'!$I$2:$I$1501,$V123)&amp;"")</f>
        <v/>
      </c>
      <c r="G123">
        <f>IF($V123="","",INDEX('Per Line'!$J$2:$J$1501,$V123)&amp;"")</f>
        <v/>
      </c>
      <c r="H123">
        <f>IF($V123="","",INDEX('Per Line'!$K$2:$K$1501,$V123)&amp;"")</f>
        <v/>
      </c>
      <c r="I123">
        <f>IF($V123="","",INDEX('Per Line'!$M$2:$M$1501,$V123))</f>
        <v/>
      </c>
      <c r="J123" s="7">
        <f>IF($V123="","",I123*T123/100)</f>
        <v/>
      </c>
      <c r="K123" s="7">
        <f>IF($V123="","",SUMIFS('Per Line'!$V$2:$V$1501,'Per Line'!$D$2:$D$1501,$B123,'Per Line'!$AN$2:$AN$1501,1))</f>
        <v/>
      </c>
      <c r="L123">
        <f>IF($V123="","",Settings!$C$7)</f>
        <v/>
      </c>
      <c r="M123" s="7">
        <f>IF($V123="","",SUMIFS('Per Line'!$V$2:$V$1501,'Per Line'!$D$2:$D$1501,$B123,'Per Line'!$AM$2:$AM$1501,0,'Per Line'!$AN$2:$AN$1501,0))</f>
        <v/>
      </c>
      <c r="N123" s="7">
        <f>IF($V123="","",M123*L123)</f>
        <v/>
      </c>
      <c r="O123">
        <f>IF($V123="","",Settings!$C$6)</f>
        <v/>
      </c>
      <c r="P123" s="7">
        <f>IF($V123="","",SUMIFS('Per Line'!$V$2:$V$1501,'Per Line'!$D$2:$D$1501,$B123,'Per Line'!$AM$2:$AM$1501,1,'Per Line'!$AN$2:$AN$1501,0))</f>
        <v/>
      </c>
      <c r="Q123" s="7">
        <f>IF($V123="","",P123*O123)</f>
        <v/>
      </c>
      <c r="R123" s="7">
        <f>IF($V123="","",Q123+N123)</f>
        <v/>
      </c>
      <c r="S123" s="7">
        <f>IF($V123="","",T123-R123)</f>
        <v/>
      </c>
      <c r="T123" s="7">
        <f>IF($V123="","",M123+P123+K123)</f>
        <v/>
      </c>
      <c r="U123" s="7">
        <f>IF($V123="","",T123-R123-J123)</f>
        <v/>
      </c>
      <c r="V123" s="13">
        <f>IF(ROWS($V$2:$V123)&lt;=MAX('Per Line'!$AL$2:$AL$1501),MATCH(ROWS($V$2:$V123),'Per Line'!$AL$2:$AL$1501,0),"")</f>
        <v/>
      </c>
    </row>
    <row r="124">
      <c r="A124" s="12" t="n"/>
      <c r="B124">
        <f>IF($V124="","",INDEX('Per Line'!$D$2:$D$1501,$V124)&amp;"")</f>
        <v/>
      </c>
      <c r="C124">
        <f>IF($V124="","",INDEX('Per Line'!$A$2:$A$1501,$V124))</f>
        <v/>
      </c>
      <c r="D124">
        <f>IF($V124="","",INDEX('Per Line'!$Z$2:$Z$1501,$V124)&amp;"")</f>
        <v/>
      </c>
      <c r="E124" s="11">
        <f>IF($V124="","",INDEX('Per Line'!$F$2:$F$1501,$V124))</f>
        <v/>
      </c>
      <c r="F124">
        <f>IF($V124="","",INDEX('Per Line'!$I$2:$I$1501,$V124)&amp;"")</f>
        <v/>
      </c>
      <c r="G124">
        <f>IF($V124="","",INDEX('Per Line'!$J$2:$J$1501,$V124)&amp;"")</f>
        <v/>
      </c>
      <c r="H124">
        <f>IF($V124="","",INDEX('Per Line'!$K$2:$K$1501,$V124)&amp;"")</f>
        <v/>
      </c>
      <c r="I124">
        <f>IF($V124="","",INDEX('Per Line'!$M$2:$M$1501,$V124))</f>
        <v/>
      </c>
      <c r="J124" s="7">
        <f>IF($V124="","",I124*T124/100)</f>
        <v/>
      </c>
      <c r="K124" s="7">
        <f>IF($V124="","",SUMIFS('Per Line'!$V$2:$V$1501,'Per Line'!$D$2:$D$1501,$B124,'Per Line'!$AN$2:$AN$1501,1))</f>
        <v/>
      </c>
      <c r="L124">
        <f>IF($V124="","",Settings!$C$7)</f>
        <v/>
      </c>
      <c r="M124" s="7">
        <f>IF($V124="","",SUMIFS('Per Line'!$V$2:$V$1501,'Per Line'!$D$2:$D$1501,$B124,'Per Line'!$AM$2:$AM$1501,0,'Per Line'!$AN$2:$AN$1501,0))</f>
        <v/>
      </c>
      <c r="N124" s="7">
        <f>IF($V124="","",M124*L124)</f>
        <v/>
      </c>
      <c r="O124">
        <f>IF($V124="","",Settings!$C$6)</f>
        <v/>
      </c>
      <c r="P124" s="7">
        <f>IF($V124="","",SUMIFS('Per Line'!$V$2:$V$1501,'Per Line'!$D$2:$D$1501,$B124,'Per Line'!$AM$2:$AM$1501,1,'Per Line'!$AN$2:$AN$1501,0))</f>
        <v/>
      </c>
      <c r="Q124" s="7">
        <f>IF($V124="","",P124*O124)</f>
        <v/>
      </c>
      <c r="R124" s="7">
        <f>IF($V124="","",Q124+N124)</f>
        <v/>
      </c>
      <c r="S124" s="7">
        <f>IF($V124="","",T124-R124)</f>
        <v/>
      </c>
      <c r="T124" s="7">
        <f>IF($V124="","",M124+P124+K124)</f>
        <v/>
      </c>
      <c r="U124" s="7">
        <f>IF($V124="","",T124-R124-J124)</f>
        <v/>
      </c>
      <c r="V124" s="13">
        <f>IF(ROWS($V$2:$V124)&lt;=MAX('Per Line'!$AL$2:$AL$1501),MATCH(ROWS($V$2:$V124),'Per Line'!$AL$2:$AL$1501,0),"")</f>
        <v/>
      </c>
    </row>
    <row r="125">
      <c r="A125" s="12" t="n"/>
      <c r="B125">
        <f>IF($V125="","",INDEX('Per Line'!$D$2:$D$1501,$V125)&amp;"")</f>
        <v/>
      </c>
      <c r="C125">
        <f>IF($V125="","",INDEX('Per Line'!$A$2:$A$1501,$V125))</f>
        <v/>
      </c>
      <c r="D125">
        <f>IF($V125="","",INDEX('Per Line'!$Z$2:$Z$1501,$V125)&amp;"")</f>
        <v/>
      </c>
      <c r="E125" s="11">
        <f>IF($V125="","",INDEX('Per Line'!$F$2:$F$1501,$V125))</f>
        <v/>
      </c>
      <c r="F125">
        <f>IF($V125="","",INDEX('Per Line'!$I$2:$I$1501,$V125)&amp;"")</f>
        <v/>
      </c>
      <c r="G125">
        <f>IF($V125="","",INDEX('Per Line'!$J$2:$J$1501,$V125)&amp;"")</f>
        <v/>
      </c>
      <c r="H125">
        <f>IF($V125="","",INDEX('Per Line'!$K$2:$K$1501,$V125)&amp;"")</f>
        <v/>
      </c>
      <c r="I125">
        <f>IF($V125="","",INDEX('Per Line'!$M$2:$M$1501,$V125))</f>
        <v/>
      </c>
      <c r="J125" s="7">
        <f>IF($V125="","",I125*T125/100)</f>
        <v/>
      </c>
      <c r="K125" s="7">
        <f>IF($V125="","",SUMIFS('Per Line'!$V$2:$V$1501,'Per Line'!$D$2:$D$1501,$B125,'Per Line'!$AN$2:$AN$1501,1))</f>
        <v/>
      </c>
      <c r="L125">
        <f>IF($V125="","",Settings!$C$7)</f>
        <v/>
      </c>
      <c r="M125" s="7">
        <f>IF($V125="","",SUMIFS('Per Line'!$V$2:$V$1501,'Per Line'!$D$2:$D$1501,$B125,'Per Line'!$AM$2:$AM$1501,0,'Per Line'!$AN$2:$AN$1501,0))</f>
        <v/>
      </c>
      <c r="N125" s="7">
        <f>IF($V125="","",M125*L125)</f>
        <v/>
      </c>
      <c r="O125">
        <f>IF($V125="","",Settings!$C$6)</f>
        <v/>
      </c>
      <c r="P125" s="7">
        <f>IF($V125="","",SUMIFS('Per Line'!$V$2:$V$1501,'Per Line'!$D$2:$D$1501,$B125,'Per Line'!$AM$2:$AM$1501,1,'Per Line'!$AN$2:$AN$1501,0))</f>
        <v/>
      </c>
      <c r="Q125" s="7">
        <f>IF($V125="","",P125*O125)</f>
        <v/>
      </c>
      <c r="R125" s="7">
        <f>IF($V125="","",Q125+N125)</f>
        <v/>
      </c>
      <c r="S125" s="7">
        <f>IF($V125="","",T125-R125)</f>
        <v/>
      </c>
      <c r="T125" s="7">
        <f>IF($V125="","",M125+P125+K125)</f>
        <v/>
      </c>
      <c r="U125" s="7">
        <f>IF($V125="","",T125-R125-J125)</f>
        <v/>
      </c>
      <c r="V125" s="13">
        <f>IF(ROWS($V$2:$V125)&lt;=MAX('Per Line'!$AL$2:$AL$1501),MATCH(ROWS($V$2:$V125),'Per Line'!$AL$2:$AL$1501,0),"")</f>
        <v/>
      </c>
    </row>
    <row r="126">
      <c r="A126" s="12" t="n"/>
      <c r="B126">
        <f>IF($V126="","",INDEX('Per Line'!$D$2:$D$1501,$V126)&amp;"")</f>
        <v/>
      </c>
      <c r="C126">
        <f>IF($V126="","",INDEX('Per Line'!$A$2:$A$1501,$V126))</f>
        <v/>
      </c>
      <c r="D126">
        <f>IF($V126="","",INDEX('Per Line'!$Z$2:$Z$1501,$V126)&amp;"")</f>
        <v/>
      </c>
      <c r="E126" s="11">
        <f>IF($V126="","",INDEX('Per Line'!$F$2:$F$1501,$V126))</f>
        <v/>
      </c>
      <c r="F126">
        <f>IF($V126="","",INDEX('Per Line'!$I$2:$I$1501,$V126)&amp;"")</f>
        <v/>
      </c>
      <c r="G126">
        <f>IF($V126="","",INDEX('Per Line'!$J$2:$J$1501,$V126)&amp;"")</f>
        <v/>
      </c>
      <c r="H126">
        <f>IF($V126="","",INDEX('Per Line'!$K$2:$K$1501,$V126)&amp;"")</f>
        <v/>
      </c>
      <c r="I126">
        <f>IF($V126="","",INDEX('Per Line'!$M$2:$M$1501,$V126))</f>
        <v/>
      </c>
      <c r="J126" s="7">
        <f>IF($V126="","",I126*T126/100)</f>
        <v/>
      </c>
      <c r="K126" s="7">
        <f>IF($V126="","",SUMIFS('Per Line'!$V$2:$V$1501,'Per Line'!$D$2:$D$1501,$B126,'Per Line'!$AN$2:$AN$1501,1))</f>
        <v/>
      </c>
      <c r="L126">
        <f>IF($V126="","",Settings!$C$7)</f>
        <v/>
      </c>
      <c r="M126" s="7">
        <f>IF($V126="","",SUMIFS('Per Line'!$V$2:$V$1501,'Per Line'!$D$2:$D$1501,$B126,'Per Line'!$AM$2:$AM$1501,0,'Per Line'!$AN$2:$AN$1501,0))</f>
        <v/>
      </c>
      <c r="N126" s="7">
        <f>IF($V126="","",M126*L126)</f>
        <v/>
      </c>
      <c r="O126">
        <f>IF($V126="","",Settings!$C$6)</f>
        <v/>
      </c>
      <c r="P126" s="7">
        <f>IF($V126="","",SUMIFS('Per Line'!$V$2:$V$1501,'Per Line'!$D$2:$D$1501,$B126,'Per Line'!$AM$2:$AM$1501,1,'Per Line'!$AN$2:$AN$1501,0))</f>
        <v/>
      </c>
      <c r="Q126" s="7">
        <f>IF($V126="","",P126*O126)</f>
        <v/>
      </c>
      <c r="R126" s="7">
        <f>IF($V126="","",Q126+N126)</f>
        <v/>
      </c>
      <c r="S126" s="7">
        <f>IF($V126="","",T126-R126)</f>
        <v/>
      </c>
      <c r="T126" s="7">
        <f>IF($V126="","",M126+P126+K126)</f>
        <v/>
      </c>
      <c r="U126" s="7">
        <f>IF($V126="","",T126-R126-J126)</f>
        <v/>
      </c>
      <c r="V126" s="13">
        <f>IF(ROWS($V$2:$V126)&lt;=MAX('Per Line'!$AL$2:$AL$1501),MATCH(ROWS($V$2:$V126),'Per Line'!$AL$2:$AL$1501,0),"")</f>
        <v/>
      </c>
    </row>
    <row r="127">
      <c r="A127" s="12" t="n"/>
      <c r="B127">
        <f>IF($V127="","",INDEX('Per Line'!$D$2:$D$1501,$V127)&amp;"")</f>
        <v/>
      </c>
      <c r="C127">
        <f>IF($V127="","",INDEX('Per Line'!$A$2:$A$1501,$V127))</f>
        <v/>
      </c>
      <c r="D127">
        <f>IF($V127="","",INDEX('Per Line'!$Z$2:$Z$1501,$V127)&amp;"")</f>
        <v/>
      </c>
      <c r="E127" s="11">
        <f>IF($V127="","",INDEX('Per Line'!$F$2:$F$1501,$V127))</f>
        <v/>
      </c>
      <c r="F127">
        <f>IF($V127="","",INDEX('Per Line'!$I$2:$I$1501,$V127)&amp;"")</f>
        <v/>
      </c>
      <c r="G127">
        <f>IF($V127="","",INDEX('Per Line'!$J$2:$J$1501,$V127)&amp;"")</f>
        <v/>
      </c>
      <c r="H127">
        <f>IF($V127="","",INDEX('Per Line'!$K$2:$K$1501,$V127)&amp;"")</f>
        <v/>
      </c>
      <c r="I127">
        <f>IF($V127="","",INDEX('Per Line'!$M$2:$M$1501,$V127))</f>
        <v/>
      </c>
      <c r="J127" s="7">
        <f>IF($V127="","",I127*T127/100)</f>
        <v/>
      </c>
      <c r="K127" s="7">
        <f>IF($V127="","",SUMIFS('Per Line'!$V$2:$V$1501,'Per Line'!$D$2:$D$1501,$B127,'Per Line'!$AN$2:$AN$1501,1))</f>
        <v/>
      </c>
      <c r="L127">
        <f>IF($V127="","",Settings!$C$7)</f>
        <v/>
      </c>
      <c r="M127" s="7">
        <f>IF($V127="","",SUMIFS('Per Line'!$V$2:$V$1501,'Per Line'!$D$2:$D$1501,$B127,'Per Line'!$AM$2:$AM$1501,0,'Per Line'!$AN$2:$AN$1501,0))</f>
        <v/>
      </c>
      <c r="N127" s="7">
        <f>IF($V127="","",M127*L127)</f>
        <v/>
      </c>
      <c r="O127">
        <f>IF($V127="","",Settings!$C$6)</f>
        <v/>
      </c>
      <c r="P127" s="7">
        <f>IF($V127="","",SUMIFS('Per Line'!$V$2:$V$1501,'Per Line'!$D$2:$D$1501,$B127,'Per Line'!$AM$2:$AM$1501,1,'Per Line'!$AN$2:$AN$1501,0))</f>
        <v/>
      </c>
      <c r="Q127" s="7">
        <f>IF($V127="","",P127*O127)</f>
        <v/>
      </c>
      <c r="R127" s="7">
        <f>IF($V127="","",Q127+N127)</f>
        <v/>
      </c>
      <c r="S127" s="7">
        <f>IF($V127="","",T127-R127)</f>
        <v/>
      </c>
      <c r="T127" s="7">
        <f>IF($V127="","",M127+P127+K127)</f>
        <v/>
      </c>
      <c r="U127" s="7">
        <f>IF($V127="","",T127-R127-J127)</f>
        <v/>
      </c>
      <c r="V127" s="13">
        <f>IF(ROWS($V$2:$V127)&lt;=MAX('Per Line'!$AL$2:$AL$1501),MATCH(ROWS($V$2:$V127),'Per Line'!$AL$2:$AL$1501,0),"")</f>
        <v/>
      </c>
    </row>
    <row r="128">
      <c r="A128" s="12" t="n"/>
      <c r="B128">
        <f>IF($V128="","",INDEX('Per Line'!$D$2:$D$1501,$V128)&amp;"")</f>
        <v/>
      </c>
      <c r="C128">
        <f>IF($V128="","",INDEX('Per Line'!$A$2:$A$1501,$V128))</f>
        <v/>
      </c>
      <c r="D128">
        <f>IF($V128="","",INDEX('Per Line'!$Z$2:$Z$1501,$V128)&amp;"")</f>
        <v/>
      </c>
      <c r="E128" s="11">
        <f>IF($V128="","",INDEX('Per Line'!$F$2:$F$1501,$V128))</f>
        <v/>
      </c>
      <c r="F128">
        <f>IF($V128="","",INDEX('Per Line'!$I$2:$I$1501,$V128)&amp;"")</f>
        <v/>
      </c>
      <c r="G128">
        <f>IF($V128="","",INDEX('Per Line'!$J$2:$J$1501,$V128)&amp;"")</f>
        <v/>
      </c>
      <c r="H128">
        <f>IF($V128="","",INDEX('Per Line'!$K$2:$K$1501,$V128)&amp;"")</f>
        <v/>
      </c>
      <c r="I128">
        <f>IF($V128="","",INDEX('Per Line'!$M$2:$M$1501,$V128))</f>
        <v/>
      </c>
      <c r="J128" s="7">
        <f>IF($V128="","",I128*T128/100)</f>
        <v/>
      </c>
      <c r="K128" s="7">
        <f>IF($V128="","",SUMIFS('Per Line'!$V$2:$V$1501,'Per Line'!$D$2:$D$1501,$B128,'Per Line'!$AN$2:$AN$1501,1))</f>
        <v/>
      </c>
      <c r="L128">
        <f>IF($V128="","",Settings!$C$7)</f>
        <v/>
      </c>
      <c r="M128" s="7">
        <f>IF($V128="","",SUMIFS('Per Line'!$V$2:$V$1501,'Per Line'!$D$2:$D$1501,$B128,'Per Line'!$AM$2:$AM$1501,0,'Per Line'!$AN$2:$AN$1501,0))</f>
        <v/>
      </c>
      <c r="N128" s="7">
        <f>IF($V128="","",M128*L128)</f>
        <v/>
      </c>
      <c r="O128">
        <f>IF($V128="","",Settings!$C$6)</f>
        <v/>
      </c>
      <c r="P128" s="7">
        <f>IF($V128="","",SUMIFS('Per Line'!$V$2:$V$1501,'Per Line'!$D$2:$D$1501,$B128,'Per Line'!$AM$2:$AM$1501,1,'Per Line'!$AN$2:$AN$1501,0))</f>
        <v/>
      </c>
      <c r="Q128" s="7">
        <f>IF($V128="","",P128*O128)</f>
        <v/>
      </c>
      <c r="R128" s="7">
        <f>IF($V128="","",Q128+N128)</f>
        <v/>
      </c>
      <c r="S128" s="7">
        <f>IF($V128="","",T128-R128)</f>
        <v/>
      </c>
      <c r="T128" s="7">
        <f>IF($V128="","",M128+P128+K128)</f>
        <v/>
      </c>
      <c r="U128" s="7">
        <f>IF($V128="","",T128-R128-J128)</f>
        <v/>
      </c>
      <c r="V128" s="13">
        <f>IF(ROWS($V$2:$V128)&lt;=MAX('Per Line'!$AL$2:$AL$1501),MATCH(ROWS($V$2:$V128),'Per Line'!$AL$2:$AL$1501,0),"")</f>
        <v/>
      </c>
    </row>
    <row r="129">
      <c r="A129" s="12" t="n"/>
      <c r="B129">
        <f>IF($V129="","",INDEX('Per Line'!$D$2:$D$1501,$V129)&amp;"")</f>
        <v/>
      </c>
      <c r="C129">
        <f>IF($V129="","",INDEX('Per Line'!$A$2:$A$1501,$V129))</f>
        <v/>
      </c>
      <c r="D129">
        <f>IF($V129="","",INDEX('Per Line'!$Z$2:$Z$1501,$V129)&amp;"")</f>
        <v/>
      </c>
      <c r="E129" s="11">
        <f>IF($V129="","",INDEX('Per Line'!$F$2:$F$1501,$V129))</f>
        <v/>
      </c>
      <c r="F129">
        <f>IF($V129="","",INDEX('Per Line'!$I$2:$I$1501,$V129)&amp;"")</f>
        <v/>
      </c>
      <c r="G129">
        <f>IF($V129="","",INDEX('Per Line'!$J$2:$J$1501,$V129)&amp;"")</f>
        <v/>
      </c>
      <c r="H129">
        <f>IF($V129="","",INDEX('Per Line'!$K$2:$K$1501,$V129)&amp;"")</f>
        <v/>
      </c>
      <c r="I129">
        <f>IF($V129="","",INDEX('Per Line'!$M$2:$M$1501,$V129))</f>
        <v/>
      </c>
      <c r="J129" s="7">
        <f>IF($V129="","",I129*T129/100)</f>
        <v/>
      </c>
      <c r="K129" s="7">
        <f>IF($V129="","",SUMIFS('Per Line'!$V$2:$V$1501,'Per Line'!$D$2:$D$1501,$B129,'Per Line'!$AN$2:$AN$1501,1))</f>
        <v/>
      </c>
      <c r="L129">
        <f>IF($V129="","",Settings!$C$7)</f>
        <v/>
      </c>
      <c r="M129" s="7">
        <f>IF($V129="","",SUMIFS('Per Line'!$V$2:$V$1501,'Per Line'!$D$2:$D$1501,$B129,'Per Line'!$AM$2:$AM$1501,0,'Per Line'!$AN$2:$AN$1501,0))</f>
        <v/>
      </c>
      <c r="N129" s="7">
        <f>IF($V129="","",M129*L129)</f>
        <v/>
      </c>
      <c r="O129">
        <f>IF($V129="","",Settings!$C$6)</f>
        <v/>
      </c>
      <c r="P129" s="7">
        <f>IF($V129="","",SUMIFS('Per Line'!$V$2:$V$1501,'Per Line'!$D$2:$D$1501,$B129,'Per Line'!$AM$2:$AM$1501,1,'Per Line'!$AN$2:$AN$1501,0))</f>
        <v/>
      </c>
      <c r="Q129" s="7">
        <f>IF($V129="","",P129*O129)</f>
        <v/>
      </c>
      <c r="R129" s="7">
        <f>IF($V129="","",Q129+N129)</f>
        <v/>
      </c>
      <c r="S129" s="7">
        <f>IF($V129="","",T129-R129)</f>
        <v/>
      </c>
      <c r="T129" s="7">
        <f>IF($V129="","",M129+P129+K129)</f>
        <v/>
      </c>
      <c r="U129" s="7">
        <f>IF($V129="","",T129-R129-J129)</f>
        <v/>
      </c>
      <c r="V129" s="13">
        <f>IF(ROWS($V$2:$V129)&lt;=MAX('Per Line'!$AL$2:$AL$1501),MATCH(ROWS($V$2:$V129),'Per Line'!$AL$2:$AL$1501,0),"")</f>
        <v/>
      </c>
    </row>
    <row r="130">
      <c r="A130" s="12" t="n"/>
      <c r="B130">
        <f>IF($V130="","",INDEX('Per Line'!$D$2:$D$1501,$V130)&amp;"")</f>
        <v/>
      </c>
      <c r="C130">
        <f>IF($V130="","",INDEX('Per Line'!$A$2:$A$1501,$V130))</f>
        <v/>
      </c>
      <c r="D130">
        <f>IF($V130="","",INDEX('Per Line'!$Z$2:$Z$1501,$V130)&amp;"")</f>
        <v/>
      </c>
      <c r="E130" s="11">
        <f>IF($V130="","",INDEX('Per Line'!$F$2:$F$1501,$V130))</f>
        <v/>
      </c>
      <c r="F130">
        <f>IF($V130="","",INDEX('Per Line'!$I$2:$I$1501,$V130)&amp;"")</f>
        <v/>
      </c>
      <c r="G130">
        <f>IF($V130="","",INDEX('Per Line'!$J$2:$J$1501,$V130)&amp;"")</f>
        <v/>
      </c>
      <c r="H130">
        <f>IF($V130="","",INDEX('Per Line'!$K$2:$K$1501,$V130)&amp;"")</f>
        <v/>
      </c>
      <c r="I130">
        <f>IF($V130="","",INDEX('Per Line'!$M$2:$M$1501,$V130))</f>
        <v/>
      </c>
      <c r="J130" s="7">
        <f>IF($V130="","",I130*T130/100)</f>
        <v/>
      </c>
      <c r="K130" s="7">
        <f>IF($V130="","",SUMIFS('Per Line'!$V$2:$V$1501,'Per Line'!$D$2:$D$1501,$B130,'Per Line'!$AN$2:$AN$1501,1))</f>
        <v/>
      </c>
      <c r="L130">
        <f>IF($V130="","",Settings!$C$7)</f>
        <v/>
      </c>
      <c r="M130" s="7">
        <f>IF($V130="","",SUMIFS('Per Line'!$V$2:$V$1501,'Per Line'!$D$2:$D$1501,$B130,'Per Line'!$AM$2:$AM$1501,0,'Per Line'!$AN$2:$AN$1501,0))</f>
        <v/>
      </c>
      <c r="N130" s="7">
        <f>IF($V130="","",M130*L130)</f>
        <v/>
      </c>
      <c r="O130">
        <f>IF($V130="","",Settings!$C$6)</f>
        <v/>
      </c>
      <c r="P130" s="7">
        <f>IF($V130="","",SUMIFS('Per Line'!$V$2:$V$1501,'Per Line'!$D$2:$D$1501,$B130,'Per Line'!$AM$2:$AM$1501,1,'Per Line'!$AN$2:$AN$1501,0))</f>
        <v/>
      </c>
      <c r="Q130" s="7">
        <f>IF($V130="","",P130*O130)</f>
        <v/>
      </c>
      <c r="R130" s="7">
        <f>IF($V130="","",Q130+N130)</f>
        <v/>
      </c>
      <c r="S130" s="7">
        <f>IF($V130="","",T130-R130)</f>
        <v/>
      </c>
      <c r="T130" s="7">
        <f>IF($V130="","",M130+P130+K130)</f>
        <v/>
      </c>
      <c r="U130" s="7">
        <f>IF($V130="","",T130-R130-J130)</f>
        <v/>
      </c>
      <c r="V130" s="13">
        <f>IF(ROWS($V$2:$V130)&lt;=MAX('Per Line'!$AL$2:$AL$1501),MATCH(ROWS($V$2:$V130),'Per Line'!$AL$2:$AL$1501,0),"")</f>
        <v/>
      </c>
    </row>
    <row r="131">
      <c r="A131" s="12" t="n"/>
      <c r="B131">
        <f>IF($V131="","",INDEX('Per Line'!$D$2:$D$1501,$V131)&amp;"")</f>
        <v/>
      </c>
      <c r="C131">
        <f>IF($V131="","",INDEX('Per Line'!$A$2:$A$1501,$V131))</f>
        <v/>
      </c>
      <c r="D131">
        <f>IF($V131="","",INDEX('Per Line'!$Z$2:$Z$1501,$V131)&amp;"")</f>
        <v/>
      </c>
      <c r="E131" s="11">
        <f>IF($V131="","",INDEX('Per Line'!$F$2:$F$1501,$V131))</f>
        <v/>
      </c>
      <c r="F131">
        <f>IF($V131="","",INDEX('Per Line'!$I$2:$I$1501,$V131)&amp;"")</f>
        <v/>
      </c>
      <c r="G131">
        <f>IF($V131="","",INDEX('Per Line'!$J$2:$J$1501,$V131)&amp;"")</f>
        <v/>
      </c>
      <c r="H131">
        <f>IF($V131="","",INDEX('Per Line'!$K$2:$K$1501,$V131)&amp;"")</f>
        <v/>
      </c>
      <c r="I131">
        <f>IF($V131="","",INDEX('Per Line'!$M$2:$M$1501,$V131))</f>
        <v/>
      </c>
      <c r="J131" s="7">
        <f>IF($V131="","",I131*T131/100)</f>
        <v/>
      </c>
      <c r="K131" s="7">
        <f>IF($V131="","",SUMIFS('Per Line'!$V$2:$V$1501,'Per Line'!$D$2:$D$1501,$B131,'Per Line'!$AN$2:$AN$1501,1))</f>
        <v/>
      </c>
      <c r="L131">
        <f>IF($V131="","",Settings!$C$7)</f>
        <v/>
      </c>
      <c r="M131" s="7">
        <f>IF($V131="","",SUMIFS('Per Line'!$V$2:$V$1501,'Per Line'!$D$2:$D$1501,$B131,'Per Line'!$AM$2:$AM$1501,0,'Per Line'!$AN$2:$AN$1501,0))</f>
        <v/>
      </c>
      <c r="N131" s="7">
        <f>IF($V131="","",M131*L131)</f>
        <v/>
      </c>
      <c r="O131">
        <f>IF($V131="","",Settings!$C$6)</f>
        <v/>
      </c>
      <c r="P131" s="7">
        <f>IF($V131="","",SUMIFS('Per Line'!$V$2:$V$1501,'Per Line'!$D$2:$D$1501,$B131,'Per Line'!$AM$2:$AM$1501,1,'Per Line'!$AN$2:$AN$1501,0))</f>
        <v/>
      </c>
      <c r="Q131" s="7">
        <f>IF($V131="","",P131*O131)</f>
        <v/>
      </c>
      <c r="R131" s="7">
        <f>IF($V131="","",Q131+N131)</f>
        <v/>
      </c>
      <c r="S131" s="7">
        <f>IF($V131="","",T131-R131)</f>
        <v/>
      </c>
      <c r="T131" s="7">
        <f>IF($V131="","",M131+P131+K131)</f>
        <v/>
      </c>
      <c r="U131" s="7">
        <f>IF($V131="","",T131-R131-J131)</f>
        <v/>
      </c>
      <c r="V131" s="13">
        <f>IF(ROWS($V$2:$V131)&lt;=MAX('Per Line'!$AL$2:$AL$1501),MATCH(ROWS($V$2:$V131),'Per Line'!$AL$2:$AL$1501,0),"")</f>
        <v/>
      </c>
    </row>
    <row r="132">
      <c r="A132" s="12" t="n"/>
      <c r="B132">
        <f>IF($V132="","",INDEX('Per Line'!$D$2:$D$1501,$V132)&amp;"")</f>
        <v/>
      </c>
      <c r="C132">
        <f>IF($V132="","",INDEX('Per Line'!$A$2:$A$1501,$V132))</f>
        <v/>
      </c>
      <c r="D132">
        <f>IF($V132="","",INDEX('Per Line'!$Z$2:$Z$1501,$V132)&amp;"")</f>
        <v/>
      </c>
      <c r="E132" s="11">
        <f>IF($V132="","",INDEX('Per Line'!$F$2:$F$1501,$V132))</f>
        <v/>
      </c>
      <c r="F132">
        <f>IF($V132="","",INDEX('Per Line'!$I$2:$I$1501,$V132)&amp;"")</f>
        <v/>
      </c>
      <c r="G132">
        <f>IF($V132="","",INDEX('Per Line'!$J$2:$J$1501,$V132)&amp;"")</f>
        <v/>
      </c>
      <c r="H132">
        <f>IF($V132="","",INDEX('Per Line'!$K$2:$K$1501,$V132)&amp;"")</f>
        <v/>
      </c>
      <c r="I132">
        <f>IF($V132="","",INDEX('Per Line'!$M$2:$M$1501,$V132))</f>
        <v/>
      </c>
      <c r="J132" s="7">
        <f>IF($V132="","",I132*T132/100)</f>
        <v/>
      </c>
      <c r="K132" s="7">
        <f>IF($V132="","",SUMIFS('Per Line'!$V$2:$V$1501,'Per Line'!$D$2:$D$1501,$B132,'Per Line'!$AN$2:$AN$1501,1))</f>
        <v/>
      </c>
      <c r="L132">
        <f>IF($V132="","",Settings!$C$7)</f>
        <v/>
      </c>
      <c r="M132" s="7">
        <f>IF($V132="","",SUMIFS('Per Line'!$V$2:$V$1501,'Per Line'!$D$2:$D$1501,$B132,'Per Line'!$AM$2:$AM$1501,0,'Per Line'!$AN$2:$AN$1501,0))</f>
        <v/>
      </c>
      <c r="N132" s="7">
        <f>IF($V132="","",M132*L132)</f>
        <v/>
      </c>
      <c r="O132">
        <f>IF($V132="","",Settings!$C$6)</f>
        <v/>
      </c>
      <c r="P132" s="7">
        <f>IF($V132="","",SUMIFS('Per Line'!$V$2:$V$1501,'Per Line'!$D$2:$D$1501,$B132,'Per Line'!$AM$2:$AM$1501,1,'Per Line'!$AN$2:$AN$1501,0))</f>
        <v/>
      </c>
      <c r="Q132" s="7">
        <f>IF($V132="","",P132*O132)</f>
        <v/>
      </c>
      <c r="R132" s="7">
        <f>IF($V132="","",Q132+N132)</f>
        <v/>
      </c>
      <c r="S132" s="7">
        <f>IF($V132="","",T132-R132)</f>
        <v/>
      </c>
      <c r="T132" s="7">
        <f>IF($V132="","",M132+P132+K132)</f>
        <v/>
      </c>
      <c r="U132" s="7">
        <f>IF($V132="","",T132-R132-J132)</f>
        <v/>
      </c>
      <c r="V132" s="13">
        <f>IF(ROWS($V$2:$V132)&lt;=MAX('Per Line'!$AL$2:$AL$1501),MATCH(ROWS($V$2:$V132),'Per Line'!$AL$2:$AL$1501,0),"")</f>
        <v/>
      </c>
    </row>
    <row r="133">
      <c r="A133" s="12" t="n"/>
      <c r="B133">
        <f>IF($V133="","",INDEX('Per Line'!$D$2:$D$1501,$V133)&amp;"")</f>
        <v/>
      </c>
      <c r="C133">
        <f>IF($V133="","",INDEX('Per Line'!$A$2:$A$1501,$V133))</f>
        <v/>
      </c>
      <c r="D133">
        <f>IF($V133="","",INDEX('Per Line'!$Z$2:$Z$1501,$V133)&amp;"")</f>
        <v/>
      </c>
      <c r="E133" s="11">
        <f>IF($V133="","",INDEX('Per Line'!$F$2:$F$1501,$V133))</f>
        <v/>
      </c>
      <c r="F133">
        <f>IF($V133="","",INDEX('Per Line'!$I$2:$I$1501,$V133)&amp;"")</f>
        <v/>
      </c>
      <c r="G133">
        <f>IF($V133="","",INDEX('Per Line'!$J$2:$J$1501,$V133)&amp;"")</f>
        <v/>
      </c>
      <c r="H133">
        <f>IF($V133="","",INDEX('Per Line'!$K$2:$K$1501,$V133)&amp;"")</f>
        <v/>
      </c>
      <c r="I133">
        <f>IF($V133="","",INDEX('Per Line'!$M$2:$M$1501,$V133))</f>
        <v/>
      </c>
      <c r="J133" s="7">
        <f>IF($V133="","",I133*T133/100)</f>
        <v/>
      </c>
      <c r="K133" s="7">
        <f>IF($V133="","",SUMIFS('Per Line'!$V$2:$V$1501,'Per Line'!$D$2:$D$1501,$B133,'Per Line'!$AN$2:$AN$1501,1))</f>
        <v/>
      </c>
      <c r="L133">
        <f>IF($V133="","",Settings!$C$7)</f>
        <v/>
      </c>
      <c r="M133" s="7">
        <f>IF($V133="","",SUMIFS('Per Line'!$V$2:$V$1501,'Per Line'!$D$2:$D$1501,$B133,'Per Line'!$AM$2:$AM$1501,0,'Per Line'!$AN$2:$AN$1501,0))</f>
        <v/>
      </c>
      <c r="N133" s="7">
        <f>IF($V133="","",M133*L133)</f>
        <v/>
      </c>
      <c r="O133">
        <f>IF($V133="","",Settings!$C$6)</f>
        <v/>
      </c>
      <c r="P133" s="7">
        <f>IF($V133="","",SUMIFS('Per Line'!$V$2:$V$1501,'Per Line'!$D$2:$D$1501,$B133,'Per Line'!$AM$2:$AM$1501,1,'Per Line'!$AN$2:$AN$1501,0))</f>
        <v/>
      </c>
      <c r="Q133" s="7">
        <f>IF($V133="","",P133*O133)</f>
        <v/>
      </c>
      <c r="R133" s="7">
        <f>IF($V133="","",Q133+N133)</f>
        <v/>
      </c>
      <c r="S133" s="7">
        <f>IF($V133="","",T133-R133)</f>
        <v/>
      </c>
      <c r="T133" s="7">
        <f>IF($V133="","",M133+P133+K133)</f>
        <v/>
      </c>
      <c r="U133" s="7">
        <f>IF($V133="","",T133-R133-J133)</f>
        <v/>
      </c>
      <c r="V133" s="13">
        <f>IF(ROWS($V$2:$V133)&lt;=MAX('Per Line'!$AL$2:$AL$1501),MATCH(ROWS($V$2:$V133),'Per Line'!$AL$2:$AL$1501,0),"")</f>
        <v/>
      </c>
    </row>
    <row r="134">
      <c r="A134" s="12" t="n"/>
      <c r="B134">
        <f>IF($V134="","",INDEX('Per Line'!$D$2:$D$1501,$V134)&amp;"")</f>
        <v/>
      </c>
      <c r="C134">
        <f>IF($V134="","",INDEX('Per Line'!$A$2:$A$1501,$V134))</f>
        <v/>
      </c>
      <c r="D134">
        <f>IF($V134="","",INDEX('Per Line'!$Z$2:$Z$1501,$V134)&amp;"")</f>
        <v/>
      </c>
      <c r="E134" s="11">
        <f>IF($V134="","",INDEX('Per Line'!$F$2:$F$1501,$V134))</f>
        <v/>
      </c>
      <c r="F134">
        <f>IF($V134="","",INDEX('Per Line'!$I$2:$I$1501,$V134)&amp;"")</f>
        <v/>
      </c>
      <c r="G134">
        <f>IF($V134="","",INDEX('Per Line'!$J$2:$J$1501,$V134)&amp;"")</f>
        <v/>
      </c>
      <c r="H134">
        <f>IF($V134="","",INDEX('Per Line'!$K$2:$K$1501,$V134)&amp;"")</f>
        <v/>
      </c>
      <c r="I134">
        <f>IF($V134="","",INDEX('Per Line'!$M$2:$M$1501,$V134))</f>
        <v/>
      </c>
      <c r="J134" s="7">
        <f>IF($V134="","",I134*T134/100)</f>
        <v/>
      </c>
      <c r="K134" s="7">
        <f>IF($V134="","",SUMIFS('Per Line'!$V$2:$V$1501,'Per Line'!$D$2:$D$1501,$B134,'Per Line'!$AN$2:$AN$1501,1))</f>
        <v/>
      </c>
      <c r="L134">
        <f>IF($V134="","",Settings!$C$7)</f>
        <v/>
      </c>
      <c r="M134" s="7">
        <f>IF($V134="","",SUMIFS('Per Line'!$V$2:$V$1501,'Per Line'!$D$2:$D$1501,$B134,'Per Line'!$AM$2:$AM$1501,0,'Per Line'!$AN$2:$AN$1501,0))</f>
        <v/>
      </c>
      <c r="N134" s="7">
        <f>IF($V134="","",M134*L134)</f>
        <v/>
      </c>
      <c r="O134">
        <f>IF($V134="","",Settings!$C$6)</f>
        <v/>
      </c>
      <c r="P134" s="7">
        <f>IF($V134="","",SUMIFS('Per Line'!$V$2:$V$1501,'Per Line'!$D$2:$D$1501,$B134,'Per Line'!$AM$2:$AM$1501,1,'Per Line'!$AN$2:$AN$1501,0))</f>
        <v/>
      </c>
      <c r="Q134" s="7">
        <f>IF($V134="","",P134*O134)</f>
        <v/>
      </c>
      <c r="R134" s="7">
        <f>IF($V134="","",Q134+N134)</f>
        <v/>
      </c>
      <c r="S134" s="7">
        <f>IF($V134="","",T134-R134)</f>
        <v/>
      </c>
      <c r="T134" s="7">
        <f>IF($V134="","",M134+P134+K134)</f>
        <v/>
      </c>
      <c r="U134" s="7">
        <f>IF($V134="","",T134-R134-J134)</f>
        <v/>
      </c>
      <c r="V134" s="13">
        <f>IF(ROWS($V$2:$V134)&lt;=MAX('Per Line'!$AL$2:$AL$1501),MATCH(ROWS($V$2:$V134),'Per Line'!$AL$2:$AL$1501,0),"")</f>
        <v/>
      </c>
    </row>
    <row r="135">
      <c r="A135" s="12" t="n"/>
      <c r="B135">
        <f>IF($V135="","",INDEX('Per Line'!$D$2:$D$1501,$V135)&amp;"")</f>
        <v/>
      </c>
      <c r="C135">
        <f>IF($V135="","",INDEX('Per Line'!$A$2:$A$1501,$V135))</f>
        <v/>
      </c>
      <c r="D135">
        <f>IF($V135="","",INDEX('Per Line'!$Z$2:$Z$1501,$V135)&amp;"")</f>
        <v/>
      </c>
      <c r="E135" s="11">
        <f>IF($V135="","",INDEX('Per Line'!$F$2:$F$1501,$V135))</f>
        <v/>
      </c>
      <c r="F135">
        <f>IF($V135="","",INDEX('Per Line'!$I$2:$I$1501,$V135)&amp;"")</f>
        <v/>
      </c>
      <c r="G135">
        <f>IF($V135="","",INDEX('Per Line'!$J$2:$J$1501,$V135)&amp;"")</f>
        <v/>
      </c>
      <c r="H135">
        <f>IF($V135="","",INDEX('Per Line'!$K$2:$K$1501,$V135)&amp;"")</f>
        <v/>
      </c>
      <c r="I135">
        <f>IF($V135="","",INDEX('Per Line'!$M$2:$M$1501,$V135))</f>
        <v/>
      </c>
      <c r="J135" s="7">
        <f>IF($V135="","",I135*T135/100)</f>
        <v/>
      </c>
      <c r="K135" s="7">
        <f>IF($V135="","",SUMIFS('Per Line'!$V$2:$V$1501,'Per Line'!$D$2:$D$1501,$B135,'Per Line'!$AN$2:$AN$1501,1))</f>
        <v/>
      </c>
      <c r="L135">
        <f>IF($V135="","",Settings!$C$7)</f>
        <v/>
      </c>
      <c r="M135" s="7">
        <f>IF($V135="","",SUMIFS('Per Line'!$V$2:$V$1501,'Per Line'!$D$2:$D$1501,$B135,'Per Line'!$AM$2:$AM$1501,0,'Per Line'!$AN$2:$AN$1501,0))</f>
        <v/>
      </c>
      <c r="N135" s="7">
        <f>IF($V135="","",M135*L135)</f>
        <v/>
      </c>
      <c r="O135">
        <f>IF($V135="","",Settings!$C$6)</f>
        <v/>
      </c>
      <c r="P135" s="7">
        <f>IF($V135="","",SUMIFS('Per Line'!$V$2:$V$1501,'Per Line'!$D$2:$D$1501,$B135,'Per Line'!$AM$2:$AM$1501,1,'Per Line'!$AN$2:$AN$1501,0))</f>
        <v/>
      </c>
      <c r="Q135" s="7">
        <f>IF($V135="","",P135*O135)</f>
        <v/>
      </c>
      <c r="R135" s="7">
        <f>IF($V135="","",Q135+N135)</f>
        <v/>
      </c>
      <c r="S135" s="7">
        <f>IF($V135="","",T135-R135)</f>
        <v/>
      </c>
      <c r="T135" s="7">
        <f>IF($V135="","",M135+P135+K135)</f>
        <v/>
      </c>
      <c r="U135" s="7">
        <f>IF($V135="","",T135-R135-J135)</f>
        <v/>
      </c>
      <c r="V135" s="13">
        <f>IF(ROWS($V$2:$V135)&lt;=MAX('Per Line'!$AL$2:$AL$1501),MATCH(ROWS($V$2:$V135),'Per Line'!$AL$2:$AL$1501,0),"")</f>
        <v/>
      </c>
    </row>
    <row r="136">
      <c r="A136" s="12" t="n"/>
      <c r="B136">
        <f>IF($V136="","",INDEX('Per Line'!$D$2:$D$1501,$V136)&amp;"")</f>
        <v/>
      </c>
      <c r="C136">
        <f>IF($V136="","",INDEX('Per Line'!$A$2:$A$1501,$V136))</f>
        <v/>
      </c>
      <c r="D136">
        <f>IF($V136="","",INDEX('Per Line'!$Z$2:$Z$1501,$V136)&amp;"")</f>
        <v/>
      </c>
      <c r="E136" s="11">
        <f>IF($V136="","",INDEX('Per Line'!$F$2:$F$1501,$V136))</f>
        <v/>
      </c>
      <c r="F136">
        <f>IF($V136="","",INDEX('Per Line'!$I$2:$I$1501,$V136)&amp;"")</f>
        <v/>
      </c>
      <c r="G136">
        <f>IF($V136="","",INDEX('Per Line'!$J$2:$J$1501,$V136)&amp;"")</f>
        <v/>
      </c>
      <c r="H136">
        <f>IF($V136="","",INDEX('Per Line'!$K$2:$K$1501,$V136)&amp;"")</f>
        <v/>
      </c>
      <c r="I136">
        <f>IF($V136="","",INDEX('Per Line'!$M$2:$M$1501,$V136))</f>
        <v/>
      </c>
      <c r="J136" s="7">
        <f>IF($V136="","",I136*T136/100)</f>
        <v/>
      </c>
      <c r="K136" s="7">
        <f>IF($V136="","",SUMIFS('Per Line'!$V$2:$V$1501,'Per Line'!$D$2:$D$1501,$B136,'Per Line'!$AN$2:$AN$1501,1))</f>
        <v/>
      </c>
      <c r="L136">
        <f>IF($V136="","",Settings!$C$7)</f>
        <v/>
      </c>
      <c r="M136" s="7">
        <f>IF($V136="","",SUMIFS('Per Line'!$V$2:$V$1501,'Per Line'!$D$2:$D$1501,$B136,'Per Line'!$AM$2:$AM$1501,0,'Per Line'!$AN$2:$AN$1501,0))</f>
        <v/>
      </c>
      <c r="N136" s="7">
        <f>IF($V136="","",M136*L136)</f>
        <v/>
      </c>
      <c r="O136">
        <f>IF($V136="","",Settings!$C$6)</f>
        <v/>
      </c>
      <c r="P136" s="7">
        <f>IF($V136="","",SUMIFS('Per Line'!$V$2:$V$1501,'Per Line'!$D$2:$D$1501,$B136,'Per Line'!$AM$2:$AM$1501,1,'Per Line'!$AN$2:$AN$1501,0))</f>
        <v/>
      </c>
      <c r="Q136" s="7">
        <f>IF($V136="","",P136*O136)</f>
        <v/>
      </c>
      <c r="R136" s="7">
        <f>IF($V136="","",Q136+N136)</f>
        <v/>
      </c>
      <c r="S136" s="7">
        <f>IF($V136="","",T136-R136)</f>
        <v/>
      </c>
      <c r="T136" s="7">
        <f>IF($V136="","",M136+P136+K136)</f>
        <v/>
      </c>
      <c r="U136" s="7">
        <f>IF($V136="","",T136-R136-J136)</f>
        <v/>
      </c>
      <c r="V136" s="13">
        <f>IF(ROWS($V$2:$V136)&lt;=MAX('Per Line'!$AL$2:$AL$1501),MATCH(ROWS($V$2:$V136),'Per Line'!$AL$2:$AL$1501,0),"")</f>
        <v/>
      </c>
    </row>
    <row r="137">
      <c r="A137" s="12" t="n"/>
      <c r="B137">
        <f>IF($V137="","",INDEX('Per Line'!$D$2:$D$1501,$V137)&amp;"")</f>
        <v/>
      </c>
      <c r="C137">
        <f>IF($V137="","",INDEX('Per Line'!$A$2:$A$1501,$V137))</f>
        <v/>
      </c>
      <c r="D137">
        <f>IF($V137="","",INDEX('Per Line'!$Z$2:$Z$1501,$V137)&amp;"")</f>
        <v/>
      </c>
      <c r="E137" s="11">
        <f>IF($V137="","",INDEX('Per Line'!$F$2:$F$1501,$V137))</f>
        <v/>
      </c>
      <c r="F137">
        <f>IF($V137="","",INDEX('Per Line'!$I$2:$I$1501,$V137)&amp;"")</f>
        <v/>
      </c>
      <c r="G137">
        <f>IF($V137="","",INDEX('Per Line'!$J$2:$J$1501,$V137)&amp;"")</f>
        <v/>
      </c>
      <c r="H137">
        <f>IF($V137="","",INDEX('Per Line'!$K$2:$K$1501,$V137)&amp;"")</f>
        <v/>
      </c>
      <c r="I137">
        <f>IF($V137="","",INDEX('Per Line'!$M$2:$M$1501,$V137))</f>
        <v/>
      </c>
      <c r="J137" s="7">
        <f>IF($V137="","",I137*T137/100)</f>
        <v/>
      </c>
      <c r="K137" s="7">
        <f>IF($V137="","",SUMIFS('Per Line'!$V$2:$V$1501,'Per Line'!$D$2:$D$1501,$B137,'Per Line'!$AN$2:$AN$1501,1))</f>
        <v/>
      </c>
      <c r="L137">
        <f>IF($V137="","",Settings!$C$7)</f>
        <v/>
      </c>
      <c r="M137" s="7">
        <f>IF($V137="","",SUMIFS('Per Line'!$V$2:$V$1501,'Per Line'!$D$2:$D$1501,$B137,'Per Line'!$AM$2:$AM$1501,0,'Per Line'!$AN$2:$AN$1501,0))</f>
        <v/>
      </c>
      <c r="N137" s="7">
        <f>IF($V137="","",M137*L137)</f>
        <v/>
      </c>
      <c r="O137">
        <f>IF($V137="","",Settings!$C$6)</f>
        <v/>
      </c>
      <c r="P137" s="7">
        <f>IF($V137="","",SUMIFS('Per Line'!$V$2:$V$1501,'Per Line'!$D$2:$D$1501,$B137,'Per Line'!$AM$2:$AM$1501,1,'Per Line'!$AN$2:$AN$1501,0))</f>
        <v/>
      </c>
      <c r="Q137" s="7">
        <f>IF($V137="","",P137*O137)</f>
        <v/>
      </c>
      <c r="R137" s="7">
        <f>IF($V137="","",Q137+N137)</f>
        <v/>
      </c>
      <c r="S137" s="7">
        <f>IF($V137="","",T137-R137)</f>
        <v/>
      </c>
      <c r="T137" s="7">
        <f>IF($V137="","",M137+P137+K137)</f>
        <v/>
      </c>
      <c r="U137" s="7">
        <f>IF($V137="","",T137-R137-J137)</f>
        <v/>
      </c>
      <c r="V137" s="13">
        <f>IF(ROWS($V$2:$V137)&lt;=MAX('Per Line'!$AL$2:$AL$1501),MATCH(ROWS($V$2:$V137),'Per Line'!$AL$2:$AL$1501,0),"")</f>
        <v/>
      </c>
    </row>
    <row r="138">
      <c r="A138" s="12" t="n"/>
      <c r="B138">
        <f>IF($V138="","",INDEX('Per Line'!$D$2:$D$1501,$V138)&amp;"")</f>
        <v/>
      </c>
      <c r="C138">
        <f>IF($V138="","",INDEX('Per Line'!$A$2:$A$1501,$V138))</f>
        <v/>
      </c>
      <c r="D138">
        <f>IF($V138="","",INDEX('Per Line'!$Z$2:$Z$1501,$V138)&amp;"")</f>
        <v/>
      </c>
      <c r="E138" s="11">
        <f>IF($V138="","",INDEX('Per Line'!$F$2:$F$1501,$V138))</f>
        <v/>
      </c>
      <c r="F138">
        <f>IF($V138="","",INDEX('Per Line'!$I$2:$I$1501,$V138)&amp;"")</f>
        <v/>
      </c>
      <c r="G138">
        <f>IF($V138="","",INDEX('Per Line'!$J$2:$J$1501,$V138)&amp;"")</f>
        <v/>
      </c>
      <c r="H138">
        <f>IF($V138="","",INDEX('Per Line'!$K$2:$K$1501,$V138)&amp;"")</f>
        <v/>
      </c>
      <c r="I138">
        <f>IF($V138="","",INDEX('Per Line'!$M$2:$M$1501,$V138))</f>
        <v/>
      </c>
      <c r="J138" s="7">
        <f>IF($V138="","",I138*T138/100)</f>
        <v/>
      </c>
      <c r="K138" s="7">
        <f>IF($V138="","",SUMIFS('Per Line'!$V$2:$V$1501,'Per Line'!$D$2:$D$1501,$B138,'Per Line'!$AN$2:$AN$1501,1))</f>
        <v/>
      </c>
      <c r="L138">
        <f>IF($V138="","",Settings!$C$7)</f>
        <v/>
      </c>
      <c r="M138" s="7">
        <f>IF($V138="","",SUMIFS('Per Line'!$V$2:$V$1501,'Per Line'!$D$2:$D$1501,$B138,'Per Line'!$AM$2:$AM$1501,0,'Per Line'!$AN$2:$AN$1501,0))</f>
        <v/>
      </c>
      <c r="N138" s="7">
        <f>IF($V138="","",M138*L138)</f>
        <v/>
      </c>
      <c r="O138">
        <f>IF($V138="","",Settings!$C$6)</f>
        <v/>
      </c>
      <c r="P138" s="7">
        <f>IF($V138="","",SUMIFS('Per Line'!$V$2:$V$1501,'Per Line'!$D$2:$D$1501,$B138,'Per Line'!$AM$2:$AM$1501,1,'Per Line'!$AN$2:$AN$1501,0))</f>
        <v/>
      </c>
      <c r="Q138" s="7">
        <f>IF($V138="","",P138*O138)</f>
        <v/>
      </c>
      <c r="R138" s="7">
        <f>IF($V138="","",Q138+N138)</f>
        <v/>
      </c>
      <c r="S138" s="7">
        <f>IF($V138="","",T138-R138)</f>
        <v/>
      </c>
      <c r="T138" s="7">
        <f>IF($V138="","",M138+P138+K138)</f>
        <v/>
      </c>
      <c r="U138" s="7">
        <f>IF($V138="","",T138-R138-J138)</f>
        <v/>
      </c>
      <c r="V138" s="13">
        <f>IF(ROWS($V$2:$V138)&lt;=MAX('Per Line'!$AL$2:$AL$1501),MATCH(ROWS($V$2:$V138),'Per Line'!$AL$2:$AL$1501,0),"")</f>
        <v/>
      </c>
    </row>
    <row r="139">
      <c r="A139" s="12" t="n"/>
      <c r="B139">
        <f>IF($V139="","",INDEX('Per Line'!$D$2:$D$1501,$V139)&amp;"")</f>
        <v/>
      </c>
      <c r="C139">
        <f>IF($V139="","",INDEX('Per Line'!$A$2:$A$1501,$V139))</f>
        <v/>
      </c>
      <c r="D139">
        <f>IF($V139="","",INDEX('Per Line'!$Z$2:$Z$1501,$V139)&amp;"")</f>
        <v/>
      </c>
      <c r="E139" s="11">
        <f>IF($V139="","",INDEX('Per Line'!$F$2:$F$1501,$V139))</f>
        <v/>
      </c>
      <c r="F139">
        <f>IF($V139="","",INDEX('Per Line'!$I$2:$I$1501,$V139)&amp;"")</f>
        <v/>
      </c>
      <c r="G139">
        <f>IF($V139="","",INDEX('Per Line'!$J$2:$J$1501,$V139)&amp;"")</f>
        <v/>
      </c>
      <c r="H139">
        <f>IF($V139="","",INDEX('Per Line'!$K$2:$K$1501,$V139)&amp;"")</f>
        <v/>
      </c>
      <c r="I139">
        <f>IF($V139="","",INDEX('Per Line'!$M$2:$M$1501,$V139))</f>
        <v/>
      </c>
      <c r="J139" s="7">
        <f>IF($V139="","",I139*T139/100)</f>
        <v/>
      </c>
      <c r="K139" s="7">
        <f>IF($V139="","",SUMIFS('Per Line'!$V$2:$V$1501,'Per Line'!$D$2:$D$1501,$B139,'Per Line'!$AN$2:$AN$1501,1))</f>
        <v/>
      </c>
      <c r="L139">
        <f>IF($V139="","",Settings!$C$7)</f>
        <v/>
      </c>
      <c r="M139" s="7">
        <f>IF($V139="","",SUMIFS('Per Line'!$V$2:$V$1501,'Per Line'!$D$2:$D$1501,$B139,'Per Line'!$AM$2:$AM$1501,0,'Per Line'!$AN$2:$AN$1501,0))</f>
        <v/>
      </c>
      <c r="N139" s="7">
        <f>IF($V139="","",M139*L139)</f>
        <v/>
      </c>
      <c r="O139">
        <f>IF($V139="","",Settings!$C$6)</f>
        <v/>
      </c>
      <c r="P139" s="7">
        <f>IF($V139="","",SUMIFS('Per Line'!$V$2:$V$1501,'Per Line'!$D$2:$D$1501,$B139,'Per Line'!$AM$2:$AM$1501,1,'Per Line'!$AN$2:$AN$1501,0))</f>
        <v/>
      </c>
      <c r="Q139" s="7">
        <f>IF($V139="","",P139*O139)</f>
        <v/>
      </c>
      <c r="R139" s="7">
        <f>IF($V139="","",Q139+N139)</f>
        <v/>
      </c>
      <c r="S139" s="7">
        <f>IF($V139="","",T139-R139)</f>
        <v/>
      </c>
      <c r="T139" s="7">
        <f>IF($V139="","",M139+P139+K139)</f>
        <v/>
      </c>
      <c r="U139" s="7">
        <f>IF($V139="","",T139-R139-J139)</f>
        <v/>
      </c>
      <c r="V139" s="13">
        <f>IF(ROWS($V$2:$V139)&lt;=MAX('Per Line'!$AL$2:$AL$1501),MATCH(ROWS($V$2:$V139),'Per Line'!$AL$2:$AL$1501,0),"")</f>
        <v/>
      </c>
    </row>
    <row r="140">
      <c r="A140" s="12" t="n"/>
      <c r="B140">
        <f>IF($V140="","",INDEX('Per Line'!$D$2:$D$1501,$V140)&amp;"")</f>
        <v/>
      </c>
      <c r="C140">
        <f>IF($V140="","",INDEX('Per Line'!$A$2:$A$1501,$V140))</f>
        <v/>
      </c>
      <c r="D140">
        <f>IF($V140="","",INDEX('Per Line'!$Z$2:$Z$1501,$V140)&amp;"")</f>
        <v/>
      </c>
      <c r="E140" s="11">
        <f>IF($V140="","",INDEX('Per Line'!$F$2:$F$1501,$V140))</f>
        <v/>
      </c>
      <c r="F140">
        <f>IF($V140="","",INDEX('Per Line'!$I$2:$I$1501,$V140)&amp;"")</f>
        <v/>
      </c>
      <c r="G140">
        <f>IF($V140="","",INDEX('Per Line'!$J$2:$J$1501,$V140)&amp;"")</f>
        <v/>
      </c>
      <c r="H140">
        <f>IF($V140="","",INDEX('Per Line'!$K$2:$K$1501,$V140)&amp;"")</f>
        <v/>
      </c>
      <c r="I140">
        <f>IF($V140="","",INDEX('Per Line'!$M$2:$M$1501,$V140))</f>
        <v/>
      </c>
      <c r="J140" s="7">
        <f>IF($V140="","",I140*T140/100)</f>
        <v/>
      </c>
      <c r="K140" s="7">
        <f>IF($V140="","",SUMIFS('Per Line'!$V$2:$V$1501,'Per Line'!$D$2:$D$1501,$B140,'Per Line'!$AN$2:$AN$1501,1))</f>
        <v/>
      </c>
      <c r="L140">
        <f>IF($V140="","",Settings!$C$7)</f>
        <v/>
      </c>
      <c r="M140" s="7">
        <f>IF($V140="","",SUMIFS('Per Line'!$V$2:$V$1501,'Per Line'!$D$2:$D$1501,$B140,'Per Line'!$AM$2:$AM$1501,0,'Per Line'!$AN$2:$AN$1501,0))</f>
        <v/>
      </c>
      <c r="N140" s="7">
        <f>IF($V140="","",M140*L140)</f>
        <v/>
      </c>
      <c r="O140">
        <f>IF($V140="","",Settings!$C$6)</f>
        <v/>
      </c>
      <c r="P140" s="7">
        <f>IF($V140="","",SUMIFS('Per Line'!$V$2:$V$1501,'Per Line'!$D$2:$D$1501,$B140,'Per Line'!$AM$2:$AM$1501,1,'Per Line'!$AN$2:$AN$1501,0))</f>
        <v/>
      </c>
      <c r="Q140" s="7">
        <f>IF($V140="","",P140*O140)</f>
        <v/>
      </c>
      <c r="R140" s="7">
        <f>IF($V140="","",Q140+N140)</f>
        <v/>
      </c>
      <c r="S140" s="7">
        <f>IF($V140="","",T140-R140)</f>
        <v/>
      </c>
      <c r="T140" s="7">
        <f>IF($V140="","",M140+P140+K140)</f>
        <v/>
      </c>
      <c r="U140" s="7">
        <f>IF($V140="","",T140-R140-J140)</f>
        <v/>
      </c>
      <c r="V140" s="13">
        <f>IF(ROWS($V$2:$V140)&lt;=MAX('Per Line'!$AL$2:$AL$1501),MATCH(ROWS($V$2:$V140),'Per Line'!$AL$2:$AL$1501,0),"")</f>
        <v/>
      </c>
    </row>
    <row r="141">
      <c r="A141" s="12" t="n"/>
      <c r="B141">
        <f>IF($V141="","",INDEX('Per Line'!$D$2:$D$1501,$V141)&amp;"")</f>
        <v/>
      </c>
      <c r="C141">
        <f>IF($V141="","",INDEX('Per Line'!$A$2:$A$1501,$V141))</f>
        <v/>
      </c>
      <c r="D141">
        <f>IF($V141="","",INDEX('Per Line'!$Z$2:$Z$1501,$V141)&amp;"")</f>
        <v/>
      </c>
      <c r="E141" s="11">
        <f>IF($V141="","",INDEX('Per Line'!$F$2:$F$1501,$V141))</f>
        <v/>
      </c>
      <c r="F141">
        <f>IF($V141="","",INDEX('Per Line'!$I$2:$I$1501,$V141)&amp;"")</f>
        <v/>
      </c>
      <c r="G141">
        <f>IF($V141="","",INDEX('Per Line'!$J$2:$J$1501,$V141)&amp;"")</f>
        <v/>
      </c>
      <c r="H141">
        <f>IF($V141="","",INDEX('Per Line'!$K$2:$K$1501,$V141)&amp;"")</f>
        <v/>
      </c>
      <c r="I141">
        <f>IF($V141="","",INDEX('Per Line'!$M$2:$M$1501,$V141))</f>
        <v/>
      </c>
      <c r="J141" s="7">
        <f>IF($V141="","",I141*T141/100)</f>
        <v/>
      </c>
      <c r="K141" s="7">
        <f>IF($V141="","",SUMIFS('Per Line'!$V$2:$V$1501,'Per Line'!$D$2:$D$1501,$B141,'Per Line'!$AN$2:$AN$1501,1))</f>
        <v/>
      </c>
      <c r="L141">
        <f>IF($V141="","",Settings!$C$7)</f>
        <v/>
      </c>
      <c r="M141" s="7">
        <f>IF($V141="","",SUMIFS('Per Line'!$V$2:$V$1501,'Per Line'!$D$2:$D$1501,$B141,'Per Line'!$AM$2:$AM$1501,0,'Per Line'!$AN$2:$AN$1501,0))</f>
        <v/>
      </c>
      <c r="N141" s="7">
        <f>IF($V141="","",M141*L141)</f>
        <v/>
      </c>
      <c r="O141">
        <f>IF($V141="","",Settings!$C$6)</f>
        <v/>
      </c>
      <c r="P141" s="7">
        <f>IF($V141="","",SUMIFS('Per Line'!$V$2:$V$1501,'Per Line'!$D$2:$D$1501,$B141,'Per Line'!$AM$2:$AM$1501,1,'Per Line'!$AN$2:$AN$1501,0))</f>
        <v/>
      </c>
      <c r="Q141" s="7">
        <f>IF($V141="","",P141*O141)</f>
        <v/>
      </c>
      <c r="R141" s="7">
        <f>IF($V141="","",Q141+N141)</f>
        <v/>
      </c>
      <c r="S141" s="7">
        <f>IF($V141="","",T141-R141)</f>
        <v/>
      </c>
      <c r="T141" s="7">
        <f>IF($V141="","",M141+P141+K141)</f>
        <v/>
      </c>
      <c r="U141" s="7">
        <f>IF($V141="","",T141-R141-J141)</f>
        <v/>
      </c>
      <c r="V141" s="13">
        <f>IF(ROWS($V$2:$V141)&lt;=MAX('Per Line'!$AL$2:$AL$1501),MATCH(ROWS($V$2:$V141),'Per Line'!$AL$2:$AL$1501,0),"")</f>
        <v/>
      </c>
    </row>
    <row r="142">
      <c r="A142" s="12" t="n"/>
      <c r="B142">
        <f>IF($V142="","",INDEX('Per Line'!$D$2:$D$1501,$V142)&amp;"")</f>
        <v/>
      </c>
      <c r="C142">
        <f>IF($V142="","",INDEX('Per Line'!$A$2:$A$1501,$V142))</f>
        <v/>
      </c>
      <c r="D142">
        <f>IF($V142="","",INDEX('Per Line'!$Z$2:$Z$1501,$V142)&amp;"")</f>
        <v/>
      </c>
      <c r="E142" s="11">
        <f>IF($V142="","",INDEX('Per Line'!$F$2:$F$1501,$V142))</f>
        <v/>
      </c>
      <c r="F142">
        <f>IF($V142="","",INDEX('Per Line'!$I$2:$I$1501,$V142)&amp;"")</f>
        <v/>
      </c>
      <c r="G142">
        <f>IF($V142="","",INDEX('Per Line'!$J$2:$J$1501,$V142)&amp;"")</f>
        <v/>
      </c>
      <c r="H142">
        <f>IF($V142="","",INDEX('Per Line'!$K$2:$K$1501,$V142)&amp;"")</f>
        <v/>
      </c>
      <c r="I142">
        <f>IF($V142="","",INDEX('Per Line'!$M$2:$M$1501,$V142))</f>
        <v/>
      </c>
      <c r="J142" s="7">
        <f>IF($V142="","",I142*T142/100)</f>
        <v/>
      </c>
      <c r="K142" s="7">
        <f>IF($V142="","",SUMIFS('Per Line'!$V$2:$V$1501,'Per Line'!$D$2:$D$1501,$B142,'Per Line'!$AN$2:$AN$1501,1))</f>
        <v/>
      </c>
      <c r="L142">
        <f>IF($V142="","",Settings!$C$7)</f>
        <v/>
      </c>
      <c r="M142" s="7">
        <f>IF($V142="","",SUMIFS('Per Line'!$V$2:$V$1501,'Per Line'!$D$2:$D$1501,$B142,'Per Line'!$AM$2:$AM$1501,0,'Per Line'!$AN$2:$AN$1501,0))</f>
        <v/>
      </c>
      <c r="N142" s="7">
        <f>IF($V142="","",M142*L142)</f>
        <v/>
      </c>
      <c r="O142">
        <f>IF($V142="","",Settings!$C$6)</f>
        <v/>
      </c>
      <c r="P142" s="7">
        <f>IF($V142="","",SUMIFS('Per Line'!$V$2:$V$1501,'Per Line'!$D$2:$D$1501,$B142,'Per Line'!$AM$2:$AM$1501,1,'Per Line'!$AN$2:$AN$1501,0))</f>
        <v/>
      </c>
      <c r="Q142" s="7">
        <f>IF($V142="","",P142*O142)</f>
        <v/>
      </c>
      <c r="R142" s="7">
        <f>IF($V142="","",Q142+N142)</f>
        <v/>
      </c>
      <c r="S142" s="7">
        <f>IF($V142="","",T142-R142)</f>
        <v/>
      </c>
      <c r="T142" s="7">
        <f>IF($V142="","",M142+P142+K142)</f>
        <v/>
      </c>
      <c r="U142" s="7">
        <f>IF($V142="","",T142-R142-J142)</f>
        <v/>
      </c>
      <c r="V142" s="13">
        <f>IF(ROWS($V$2:$V142)&lt;=MAX('Per Line'!$AL$2:$AL$1501),MATCH(ROWS($V$2:$V142),'Per Line'!$AL$2:$AL$1501,0),"")</f>
        <v/>
      </c>
    </row>
    <row r="143">
      <c r="A143" s="12" t="n"/>
      <c r="B143">
        <f>IF($V143="","",INDEX('Per Line'!$D$2:$D$1501,$V143)&amp;"")</f>
        <v/>
      </c>
      <c r="C143">
        <f>IF($V143="","",INDEX('Per Line'!$A$2:$A$1501,$V143))</f>
        <v/>
      </c>
      <c r="D143">
        <f>IF($V143="","",INDEX('Per Line'!$Z$2:$Z$1501,$V143)&amp;"")</f>
        <v/>
      </c>
      <c r="E143" s="11">
        <f>IF($V143="","",INDEX('Per Line'!$F$2:$F$1501,$V143))</f>
        <v/>
      </c>
      <c r="F143">
        <f>IF($V143="","",INDEX('Per Line'!$I$2:$I$1501,$V143)&amp;"")</f>
        <v/>
      </c>
      <c r="G143">
        <f>IF($V143="","",INDEX('Per Line'!$J$2:$J$1501,$V143)&amp;"")</f>
        <v/>
      </c>
      <c r="H143">
        <f>IF($V143="","",INDEX('Per Line'!$K$2:$K$1501,$V143)&amp;"")</f>
        <v/>
      </c>
      <c r="I143">
        <f>IF($V143="","",INDEX('Per Line'!$M$2:$M$1501,$V143))</f>
        <v/>
      </c>
      <c r="J143" s="7">
        <f>IF($V143="","",I143*T143/100)</f>
        <v/>
      </c>
      <c r="K143" s="7">
        <f>IF($V143="","",SUMIFS('Per Line'!$V$2:$V$1501,'Per Line'!$D$2:$D$1501,$B143,'Per Line'!$AN$2:$AN$1501,1))</f>
        <v/>
      </c>
      <c r="L143">
        <f>IF($V143="","",Settings!$C$7)</f>
        <v/>
      </c>
      <c r="M143" s="7">
        <f>IF($V143="","",SUMIFS('Per Line'!$V$2:$V$1501,'Per Line'!$D$2:$D$1501,$B143,'Per Line'!$AM$2:$AM$1501,0,'Per Line'!$AN$2:$AN$1501,0))</f>
        <v/>
      </c>
      <c r="N143" s="7">
        <f>IF($V143="","",M143*L143)</f>
        <v/>
      </c>
      <c r="O143">
        <f>IF($V143="","",Settings!$C$6)</f>
        <v/>
      </c>
      <c r="P143" s="7">
        <f>IF($V143="","",SUMIFS('Per Line'!$V$2:$V$1501,'Per Line'!$D$2:$D$1501,$B143,'Per Line'!$AM$2:$AM$1501,1,'Per Line'!$AN$2:$AN$1501,0))</f>
        <v/>
      </c>
      <c r="Q143" s="7">
        <f>IF($V143="","",P143*O143)</f>
        <v/>
      </c>
      <c r="R143" s="7">
        <f>IF($V143="","",Q143+N143)</f>
        <v/>
      </c>
      <c r="S143" s="7">
        <f>IF($V143="","",T143-R143)</f>
        <v/>
      </c>
      <c r="T143" s="7">
        <f>IF($V143="","",M143+P143+K143)</f>
        <v/>
      </c>
      <c r="U143" s="7">
        <f>IF($V143="","",T143-R143-J143)</f>
        <v/>
      </c>
      <c r="V143" s="13">
        <f>IF(ROWS($V$2:$V143)&lt;=MAX('Per Line'!$AL$2:$AL$1501),MATCH(ROWS($V$2:$V143),'Per Line'!$AL$2:$AL$1501,0),"")</f>
        <v/>
      </c>
    </row>
    <row r="144">
      <c r="A144" s="12" t="n"/>
      <c r="B144">
        <f>IF($V144="","",INDEX('Per Line'!$D$2:$D$1501,$V144)&amp;"")</f>
        <v/>
      </c>
      <c r="C144">
        <f>IF($V144="","",INDEX('Per Line'!$A$2:$A$1501,$V144))</f>
        <v/>
      </c>
      <c r="D144">
        <f>IF($V144="","",INDEX('Per Line'!$Z$2:$Z$1501,$V144)&amp;"")</f>
        <v/>
      </c>
      <c r="E144" s="11">
        <f>IF($V144="","",INDEX('Per Line'!$F$2:$F$1501,$V144))</f>
        <v/>
      </c>
      <c r="F144">
        <f>IF($V144="","",INDEX('Per Line'!$I$2:$I$1501,$V144)&amp;"")</f>
        <v/>
      </c>
      <c r="G144">
        <f>IF($V144="","",INDEX('Per Line'!$J$2:$J$1501,$V144)&amp;"")</f>
        <v/>
      </c>
      <c r="H144">
        <f>IF($V144="","",INDEX('Per Line'!$K$2:$K$1501,$V144)&amp;"")</f>
        <v/>
      </c>
      <c r="I144">
        <f>IF($V144="","",INDEX('Per Line'!$M$2:$M$1501,$V144))</f>
        <v/>
      </c>
      <c r="J144" s="7">
        <f>IF($V144="","",I144*T144/100)</f>
        <v/>
      </c>
      <c r="K144" s="7">
        <f>IF($V144="","",SUMIFS('Per Line'!$V$2:$V$1501,'Per Line'!$D$2:$D$1501,$B144,'Per Line'!$AN$2:$AN$1501,1))</f>
        <v/>
      </c>
      <c r="L144">
        <f>IF($V144="","",Settings!$C$7)</f>
        <v/>
      </c>
      <c r="M144" s="7">
        <f>IF($V144="","",SUMIFS('Per Line'!$V$2:$V$1501,'Per Line'!$D$2:$D$1501,$B144,'Per Line'!$AM$2:$AM$1501,0,'Per Line'!$AN$2:$AN$1501,0))</f>
        <v/>
      </c>
      <c r="N144" s="7">
        <f>IF($V144="","",M144*L144)</f>
        <v/>
      </c>
      <c r="O144">
        <f>IF($V144="","",Settings!$C$6)</f>
        <v/>
      </c>
      <c r="P144" s="7">
        <f>IF($V144="","",SUMIFS('Per Line'!$V$2:$V$1501,'Per Line'!$D$2:$D$1501,$B144,'Per Line'!$AM$2:$AM$1501,1,'Per Line'!$AN$2:$AN$1501,0))</f>
        <v/>
      </c>
      <c r="Q144" s="7">
        <f>IF($V144="","",P144*O144)</f>
        <v/>
      </c>
      <c r="R144" s="7">
        <f>IF($V144="","",Q144+N144)</f>
        <v/>
      </c>
      <c r="S144" s="7">
        <f>IF($V144="","",T144-R144)</f>
        <v/>
      </c>
      <c r="T144" s="7">
        <f>IF($V144="","",M144+P144+K144)</f>
        <v/>
      </c>
      <c r="U144" s="7">
        <f>IF($V144="","",T144-R144-J144)</f>
        <v/>
      </c>
      <c r="V144" s="13">
        <f>IF(ROWS($V$2:$V144)&lt;=MAX('Per Line'!$AL$2:$AL$1501),MATCH(ROWS($V$2:$V144),'Per Line'!$AL$2:$AL$1501,0),"")</f>
        <v/>
      </c>
    </row>
    <row r="145">
      <c r="A145" s="12" t="n"/>
      <c r="B145">
        <f>IF($V145="","",INDEX('Per Line'!$D$2:$D$1501,$V145)&amp;"")</f>
        <v/>
      </c>
      <c r="C145">
        <f>IF($V145="","",INDEX('Per Line'!$A$2:$A$1501,$V145))</f>
        <v/>
      </c>
      <c r="D145">
        <f>IF($V145="","",INDEX('Per Line'!$Z$2:$Z$1501,$V145)&amp;"")</f>
        <v/>
      </c>
      <c r="E145" s="11">
        <f>IF($V145="","",INDEX('Per Line'!$F$2:$F$1501,$V145))</f>
        <v/>
      </c>
      <c r="F145">
        <f>IF($V145="","",INDEX('Per Line'!$I$2:$I$1501,$V145)&amp;"")</f>
        <v/>
      </c>
      <c r="G145">
        <f>IF($V145="","",INDEX('Per Line'!$J$2:$J$1501,$V145)&amp;"")</f>
        <v/>
      </c>
      <c r="H145">
        <f>IF($V145="","",INDEX('Per Line'!$K$2:$K$1501,$V145)&amp;"")</f>
        <v/>
      </c>
      <c r="I145">
        <f>IF($V145="","",INDEX('Per Line'!$M$2:$M$1501,$V145))</f>
        <v/>
      </c>
      <c r="J145" s="7">
        <f>IF($V145="","",I145*T145/100)</f>
        <v/>
      </c>
      <c r="K145" s="7">
        <f>IF($V145="","",SUMIFS('Per Line'!$V$2:$V$1501,'Per Line'!$D$2:$D$1501,$B145,'Per Line'!$AN$2:$AN$1501,1))</f>
        <v/>
      </c>
      <c r="L145">
        <f>IF($V145="","",Settings!$C$7)</f>
        <v/>
      </c>
      <c r="M145" s="7">
        <f>IF($V145="","",SUMIFS('Per Line'!$V$2:$V$1501,'Per Line'!$D$2:$D$1501,$B145,'Per Line'!$AM$2:$AM$1501,0,'Per Line'!$AN$2:$AN$1501,0))</f>
        <v/>
      </c>
      <c r="N145" s="7">
        <f>IF($V145="","",M145*L145)</f>
        <v/>
      </c>
      <c r="O145">
        <f>IF($V145="","",Settings!$C$6)</f>
        <v/>
      </c>
      <c r="P145" s="7">
        <f>IF($V145="","",SUMIFS('Per Line'!$V$2:$V$1501,'Per Line'!$D$2:$D$1501,$B145,'Per Line'!$AM$2:$AM$1501,1,'Per Line'!$AN$2:$AN$1501,0))</f>
        <v/>
      </c>
      <c r="Q145" s="7">
        <f>IF($V145="","",P145*O145)</f>
        <v/>
      </c>
      <c r="R145" s="7">
        <f>IF($V145="","",Q145+N145)</f>
        <v/>
      </c>
      <c r="S145" s="7">
        <f>IF($V145="","",T145-R145)</f>
        <v/>
      </c>
      <c r="T145" s="7">
        <f>IF($V145="","",M145+P145+K145)</f>
        <v/>
      </c>
      <c r="U145" s="7">
        <f>IF($V145="","",T145-R145-J145)</f>
        <v/>
      </c>
      <c r="V145" s="13">
        <f>IF(ROWS($V$2:$V145)&lt;=MAX('Per Line'!$AL$2:$AL$1501),MATCH(ROWS($V$2:$V145),'Per Line'!$AL$2:$AL$1501,0),"")</f>
        <v/>
      </c>
    </row>
    <row r="146">
      <c r="A146" s="12" t="n"/>
      <c r="B146">
        <f>IF($V146="","",INDEX('Per Line'!$D$2:$D$1501,$V146)&amp;"")</f>
        <v/>
      </c>
      <c r="C146">
        <f>IF($V146="","",INDEX('Per Line'!$A$2:$A$1501,$V146))</f>
        <v/>
      </c>
      <c r="D146">
        <f>IF($V146="","",INDEX('Per Line'!$Z$2:$Z$1501,$V146)&amp;"")</f>
        <v/>
      </c>
      <c r="E146" s="11">
        <f>IF($V146="","",INDEX('Per Line'!$F$2:$F$1501,$V146))</f>
        <v/>
      </c>
      <c r="F146">
        <f>IF($V146="","",INDEX('Per Line'!$I$2:$I$1501,$V146)&amp;"")</f>
        <v/>
      </c>
      <c r="G146">
        <f>IF($V146="","",INDEX('Per Line'!$J$2:$J$1501,$V146)&amp;"")</f>
        <v/>
      </c>
      <c r="H146">
        <f>IF($V146="","",INDEX('Per Line'!$K$2:$K$1501,$V146)&amp;"")</f>
        <v/>
      </c>
      <c r="I146">
        <f>IF($V146="","",INDEX('Per Line'!$M$2:$M$1501,$V146))</f>
        <v/>
      </c>
      <c r="J146" s="7">
        <f>IF($V146="","",I146*T146/100)</f>
        <v/>
      </c>
      <c r="K146" s="7">
        <f>IF($V146="","",SUMIFS('Per Line'!$V$2:$V$1501,'Per Line'!$D$2:$D$1501,$B146,'Per Line'!$AN$2:$AN$1501,1))</f>
        <v/>
      </c>
      <c r="L146">
        <f>IF($V146="","",Settings!$C$7)</f>
        <v/>
      </c>
      <c r="M146" s="7">
        <f>IF($V146="","",SUMIFS('Per Line'!$V$2:$V$1501,'Per Line'!$D$2:$D$1501,$B146,'Per Line'!$AM$2:$AM$1501,0,'Per Line'!$AN$2:$AN$1501,0))</f>
        <v/>
      </c>
      <c r="N146" s="7">
        <f>IF($V146="","",M146*L146)</f>
        <v/>
      </c>
      <c r="O146">
        <f>IF($V146="","",Settings!$C$6)</f>
        <v/>
      </c>
      <c r="P146" s="7">
        <f>IF($V146="","",SUMIFS('Per Line'!$V$2:$V$1501,'Per Line'!$D$2:$D$1501,$B146,'Per Line'!$AM$2:$AM$1501,1,'Per Line'!$AN$2:$AN$1501,0))</f>
        <v/>
      </c>
      <c r="Q146" s="7">
        <f>IF($V146="","",P146*O146)</f>
        <v/>
      </c>
      <c r="R146" s="7">
        <f>IF($V146="","",Q146+N146)</f>
        <v/>
      </c>
      <c r="S146" s="7">
        <f>IF($V146="","",T146-R146)</f>
        <v/>
      </c>
      <c r="T146" s="7">
        <f>IF($V146="","",M146+P146+K146)</f>
        <v/>
      </c>
      <c r="U146" s="7">
        <f>IF($V146="","",T146-R146-J146)</f>
        <v/>
      </c>
      <c r="V146" s="13">
        <f>IF(ROWS($V$2:$V146)&lt;=MAX('Per Line'!$AL$2:$AL$1501),MATCH(ROWS($V$2:$V146),'Per Line'!$AL$2:$AL$1501,0),"")</f>
        <v/>
      </c>
    </row>
    <row r="147">
      <c r="A147" s="12" t="n"/>
      <c r="B147">
        <f>IF($V147="","",INDEX('Per Line'!$D$2:$D$1501,$V147)&amp;"")</f>
        <v/>
      </c>
      <c r="C147">
        <f>IF($V147="","",INDEX('Per Line'!$A$2:$A$1501,$V147))</f>
        <v/>
      </c>
      <c r="D147">
        <f>IF($V147="","",INDEX('Per Line'!$Z$2:$Z$1501,$V147)&amp;"")</f>
        <v/>
      </c>
      <c r="E147" s="11">
        <f>IF($V147="","",INDEX('Per Line'!$F$2:$F$1501,$V147))</f>
        <v/>
      </c>
      <c r="F147">
        <f>IF($V147="","",INDEX('Per Line'!$I$2:$I$1501,$V147)&amp;"")</f>
        <v/>
      </c>
      <c r="G147">
        <f>IF($V147="","",INDEX('Per Line'!$J$2:$J$1501,$V147)&amp;"")</f>
        <v/>
      </c>
      <c r="H147">
        <f>IF($V147="","",INDEX('Per Line'!$K$2:$K$1501,$V147)&amp;"")</f>
        <v/>
      </c>
      <c r="I147">
        <f>IF($V147="","",INDEX('Per Line'!$M$2:$M$1501,$V147))</f>
        <v/>
      </c>
      <c r="J147" s="7">
        <f>IF($V147="","",I147*T147/100)</f>
        <v/>
      </c>
      <c r="K147" s="7">
        <f>IF($V147="","",SUMIFS('Per Line'!$V$2:$V$1501,'Per Line'!$D$2:$D$1501,$B147,'Per Line'!$AN$2:$AN$1501,1))</f>
        <v/>
      </c>
      <c r="L147">
        <f>IF($V147="","",Settings!$C$7)</f>
        <v/>
      </c>
      <c r="M147" s="7">
        <f>IF($V147="","",SUMIFS('Per Line'!$V$2:$V$1501,'Per Line'!$D$2:$D$1501,$B147,'Per Line'!$AM$2:$AM$1501,0,'Per Line'!$AN$2:$AN$1501,0))</f>
        <v/>
      </c>
      <c r="N147" s="7">
        <f>IF($V147="","",M147*L147)</f>
        <v/>
      </c>
      <c r="O147">
        <f>IF($V147="","",Settings!$C$6)</f>
        <v/>
      </c>
      <c r="P147" s="7">
        <f>IF($V147="","",SUMIFS('Per Line'!$V$2:$V$1501,'Per Line'!$D$2:$D$1501,$B147,'Per Line'!$AM$2:$AM$1501,1,'Per Line'!$AN$2:$AN$1501,0))</f>
        <v/>
      </c>
      <c r="Q147" s="7">
        <f>IF($V147="","",P147*O147)</f>
        <v/>
      </c>
      <c r="R147" s="7">
        <f>IF($V147="","",Q147+N147)</f>
        <v/>
      </c>
      <c r="S147" s="7">
        <f>IF($V147="","",T147-R147)</f>
        <v/>
      </c>
      <c r="T147" s="7">
        <f>IF($V147="","",M147+P147+K147)</f>
        <v/>
      </c>
      <c r="U147" s="7">
        <f>IF($V147="","",T147-R147-J147)</f>
        <v/>
      </c>
      <c r="V147" s="13">
        <f>IF(ROWS($V$2:$V147)&lt;=MAX('Per Line'!$AL$2:$AL$1501),MATCH(ROWS($V$2:$V147),'Per Line'!$AL$2:$AL$1501,0),"")</f>
        <v/>
      </c>
    </row>
    <row r="148">
      <c r="A148" s="12" t="n"/>
      <c r="B148">
        <f>IF($V148="","",INDEX('Per Line'!$D$2:$D$1501,$V148)&amp;"")</f>
        <v/>
      </c>
      <c r="C148">
        <f>IF($V148="","",INDEX('Per Line'!$A$2:$A$1501,$V148))</f>
        <v/>
      </c>
      <c r="D148">
        <f>IF($V148="","",INDEX('Per Line'!$Z$2:$Z$1501,$V148)&amp;"")</f>
        <v/>
      </c>
      <c r="E148" s="11">
        <f>IF($V148="","",INDEX('Per Line'!$F$2:$F$1501,$V148))</f>
        <v/>
      </c>
      <c r="F148">
        <f>IF($V148="","",INDEX('Per Line'!$I$2:$I$1501,$V148)&amp;"")</f>
        <v/>
      </c>
      <c r="G148">
        <f>IF($V148="","",INDEX('Per Line'!$J$2:$J$1501,$V148)&amp;"")</f>
        <v/>
      </c>
      <c r="H148">
        <f>IF($V148="","",INDEX('Per Line'!$K$2:$K$1501,$V148)&amp;"")</f>
        <v/>
      </c>
      <c r="I148">
        <f>IF($V148="","",INDEX('Per Line'!$M$2:$M$1501,$V148))</f>
        <v/>
      </c>
      <c r="J148" s="7">
        <f>IF($V148="","",I148*T148/100)</f>
        <v/>
      </c>
      <c r="K148" s="7">
        <f>IF($V148="","",SUMIFS('Per Line'!$V$2:$V$1501,'Per Line'!$D$2:$D$1501,$B148,'Per Line'!$AN$2:$AN$1501,1))</f>
        <v/>
      </c>
      <c r="L148">
        <f>IF($V148="","",Settings!$C$7)</f>
        <v/>
      </c>
      <c r="M148" s="7">
        <f>IF($V148="","",SUMIFS('Per Line'!$V$2:$V$1501,'Per Line'!$D$2:$D$1501,$B148,'Per Line'!$AM$2:$AM$1501,0,'Per Line'!$AN$2:$AN$1501,0))</f>
        <v/>
      </c>
      <c r="N148" s="7">
        <f>IF($V148="","",M148*L148)</f>
        <v/>
      </c>
      <c r="O148">
        <f>IF($V148="","",Settings!$C$6)</f>
        <v/>
      </c>
      <c r="P148" s="7">
        <f>IF($V148="","",SUMIFS('Per Line'!$V$2:$V$1501,'Per Line'!$D$2:$D$1501,$B148,'Per Line'!$AM$2:$AM$1501,1,'Per Line'!$AN$2:$AN$1501,0))</f>
        <v/>
      </c>
      <c r="Q148" s="7">
        <f>IF($V148="","",P148*O148)</f>
        <v/>
      </c>
      <c r="R148" s="7">
        <f>IF($V148="","",Q148+N148)</f>
        <v/>
      </c>
      <c r="S148" s="7">
        <f>IF($V148="","",T148-R148)</f>
        <v/>
      </c>
      <c r="T148" s="7">
        <f>IF($V148="","",M148+P148+K148)</f>
        <v/>
      </c>
      <c r="U148" s="7">
        <f>IF($V148="","",T148-R148-J148)</f>
        <v/>
      </c>
      <c r="V148" s="13">
        <f>IF(ROWS($V$2:$V148)&lt;=MAX('Per Line'!$AL$2:$AL$1501),MATCH(ROWS($V$2:$V148),'Per Line'!$AL$2:$AL$1501,0),"")</f>
        <v/>
      </c>
    </row>
    <row r="149">
      <c r="A149" s="12" t="n"/>
      <c r="B149">
        <f>IF($V149="","",INDEX('Per Line'!$D$2:$D$1501,$V149)&amp;"")</f>
        <v/>
      </c>
      <c r="C149">
        <f>IF($V149="","",INDEX('Per Line'!$A$2:$A$1501,$V149))</f>
        <v/>
      </c>
      <c r="D149">
        <f>IF($V149="","",INDEX('Per Line'!$Z$2:$Z$1501,$V149)&amp;"")</f>
        <v/>
      </c>
      <c r="E149" s="11">
        <f>IF($V149="","",INDEX('Per Line'!$F$2:$F$1501,$V149))</f>
        <v/>
      </c>
      <c r="F149">
        <f>IF($V149="","",INDEX('Per Line'!$I$2:$I$1501,$V149)&amp;"")</f>
        <v/>
      </c>
      <c r="G149">
        <f>IF($V149="","",INDEX('Per Line'!$J$2:$J$1501,$V149)&amp;"")</f>
        <v/>
      </c>
      <c r="H149">
        <f>IF($V149="","",INDEX('Per Line'!$K$2:$K$1501,$V149)&amp;"")</f>
        <v/>
      </c>
      <c r="I149">
        <f>IF($V149="","",INDEX('Per Line'!$M$2:$M$1501,$V149))</f>
        <v/>
      </c>
      <c r="J149" s="7">
        <f>IF($V149="","",I149*T149/100)</f>
        <v/>
      </c>
      <c r="K149" s="7">
        <f>IF($V149="","",SUMIFS('Per Line'!$V$2:$V$1501,'Per Line'!$D$2:$D$1501,$B149,'Per Line'!$AN$2:$AN$1501,1))</f>
        <v/>
      </c>
      <c r="L149">
        <f>IF($V149="","",Settings!$C$7)</f>
        <v/>
      </c>
      <c r="M149" s="7">
        <f>IF($V149="","",SUMIFS('Per Line'!$V$2:$V$1501,'Per Line'!$D$2:$D$1501,$B149,'Per Line'!$AM$2:$AM$1501,0,'Per Line'!$AN$2:$AN$1501,0))</f>
        <v/>
      </c>
      <c r="N149" s="7">
        <f>IF($V149="","",M149*L149)</f>
        <v/>
      </c>
      <c r="O149">
        <f>IF($V149="","",Settings!$C$6)</f>
        <v/>
      </c>
      <c r="P149" s="7">
        <f>IF($V149="","",SUMIFS('Per Line'!$V$2:$V$1501,'Per Line'!$D$2:$D$1501,$B149,'Per Line'!$AM$2:$AM$1501,1,'Per Line'!$AN$2:$AN$1501,0))</f>
        <v/>
      </c>
      <c r="Q149" s="7">
        <f>IF($V149="","",P149*O149)</f>
        <v/>
      </c>
      <c r="R149" s="7">
        <f>IF($V149="","",Q149+N149)</f>
        <v/>
      </c>
      <c r="S149" s="7">
        <f>IF($V149="","",T149-R149)</f>
        <v/>
      </c>
      <c r="T149" s="7">
        <f>IF($V149="","",M149+P149+K149)</f>
        <v/>
      </c>
      <c r="U149" s="7">
        <f>IF($V149="","",T149-R149-J149)</f>
        <v/>
      </c>
      <c r="V149" s="13">
        <f>IF(ROWS($V$2:$V149)&lt;=MAX('Per Line'!$AL$2:$AL$1501),MATCH(ROWS($V$2:$V149),'Per Line'!$AL$2:$AL$1501,0),"")</f>
        <v/>
      </c>
    </row>
    <row r="150">
      <c r="A150" s="12" t="n"/>
      <c r="B150">
        <f>IF($V150="","",INDEX('Per Line'!$D$2:$D$1501,$V150)&amp;"")</f>
        <v/>
      </c>
      <c r="C150">
        <f>IF($V150="","",INDEX('Per Line'!$A$2:$A$1501,$V150))</f>
        <v/>
      </c>
      <c r="D150">
        <f>IF($V150="","",INDEX('Per Line'!$Z$2:$Z$1501,$V150)&amp;"")</f>
        <v/>
      </c>
      <c r="E150" s="11">
        <f>IF($V150="","",INDEX('Per Line'!$F$2:$F$1501,$V150))</f>
        <v/>
      </c>
      <c r="F150">
        <f>IF($V150="","",INDEX('Per Line'!$I$2:$I$1501,$V150)&amp;"")</f>
        <v/>
      </c>
      <c r="G150">
        <f>IF($V150="","",INDEX('Per Line'!$J$2:$J$1501,$V150)&amp;"")</f>
        <v/>
      </c>
      <c r="H150">
        <f>IF($V150="","",INDEX('Per Line'!$K$2:$K$1501,$V150)&amp;"")</f>
        <v/>
      </c>
      <c r="I150">
        <f>IF($V150="","",INDEX('Per Line'!$M$2:$M$1501,$V150))</f>
        <v/>
      </c>
      <c r="J150" s="7">
        <f>IF($V150="","",I150*T150/100)</f>
        <v/>
      </c>
      <c r="K150" s="7">
        <f>IF($V150="","",SUMIFS('Per Line'!$V$2:$V$1501,'Per Line'!$D$2:$D$1501,$B150,'Per Line'!$AN$2:$AN$1501,1))</f>
        <v/>
      </c>
      <c r="L150">
        <f>IF($V150="","",Settings!$C$7)</f>
        <v/>
      </c>
      <c r="M150" s="7">
        <f>IF($V150="","",SUMIFS('Per Line'!$V$2:$V$1501,'Per Line'!$D$2:$D$1501,$B150,'Per Line'!$AM$2:$AM$1501,0,'Per Line'!$AN$2:$AN$1501,0))</f>
        <v/>
      </c>
      <c r="N150" s="7">
        <f>IF($V150="","",M150*L150)</f>
        <v/>
      </c>
      <c r="O150">
        <f>IF($V150="","",Settings!$C$6)</f>
        <v/>
      </c>
      <c r="P150" s="7">
        <f>IF($V150="","",SUMIFS('Per Line'!$V$2:$V$1501,'Per Line'!$D$2:$D$1501,$B150,'Per Line'!$AM$2:$AM$1501,1,'Per Line'!$AN$2:$AN$1501,0))</f>
        <v/>
      </c>
      <c r="Q150" s="7">
        <f>IF($V150="","",P150*O150)</f>
        <v/>
      </c>
      <c r="R150" s="7">
        <f>IF($V150="","",Q150+N150)</f>
        <v/>
      </c>
      <c r="S150" s="7">
        <f>IF($V150="","",T150-R150)</f>
        <v/>
      </c>
      <c r="T150" s="7">
        <f>IF($V150="","",M150+P150+K150)</f>
        <v/>
      </c>
      <c r="U150" s="7">
        <f>IF($V150="","",T150-R150-J150)</f>
        <v/>
      </c>
      <c r="V150" s="13">
        <f>IF(ROWS($V$2:$V150)&lt;=MAX('Per Line'!$AL$2:$AL$1501),MATCH(ROWS($V$2:$V150),'Per Line'!$AL$2:$AL$1501,0),"")</f>
        <v/>
      </c>
    </row>
    <row r="151">
      <c r="A151" s="12" t="n"/>
      <c r="B151">
        <f>IF($V151="","",INDEX('Per Line'!$D$2:$D$1501,$V151)&amp;"")</f>
        <v/>
      </c>
      <c r="C151">
        <f>IF($V151="","",INDEX('Per Line'!$A$2:$A$1501,$V151))</f>
        <v/>
      </c>
      <c r="D151">
        <f>IF($V151="","",INDEX('Per Line'!$Z$2:$Z$1501,$V151)&amp;"")</f>
        <v/>
      </c>
      <c r="E151" s="11">
        <f>IF($V151="","",INDEX('Per Line'!$F$2:$F$1501,$V151))</f>
        <v/>
      </c>
      <c r="F151">
        <f>IF($V151="","",INDEX('Per Line'!$I$2:$I$1501,$V151)&amp;"")</f>
        <v/>
      </c>
      <c r="G151">
        <f>IF($V151="","",INDEX('Per Line'!$J$2:$J$1501,$V151)&amp;"")</f>
        <v/>
      </c>
      <c r="H151">
        <f>IF($V151="","",INDEX('Per Line'!$K$2:$K$1501,$V151)&amp;"")</f>
        <v/>
      </c>
      <c r="I151">
        <f>IF($V151="","",INDEX('Per Line'!$M$2:$M$1501,$V151))</f>
        <v/>
      </c>
      <c r="J151" s="7">
        <f>IF($V151="","",I151*T151/100)</f>
        <v/>
      </c>
      <c r="K151" s="7">
        <f>IF($V151="","",SUMIFS('Per Line'!$V$2:$V$1501,'Per Line'!$D$2:$D$1501,$B151,'Per Line'!$AN$2:$AN$1501,1))</f>
        <v/>
      </c>
      <c r="L151">
        <f>IF($V151="","",Settings!$C$7)</f>
        <v/>
      </c>
      <c r="M151" s="7">
        <f>IF($V151="","",SUMIFS('Per Line'!$V$2:$V$1501,'Per Line'!$D$2:$D$1501,$B151,'Per Line'!$AM$2:$AM$1501,0,'Per Line'!$AN$2:$AN$1501,0))</f>
        <v/>
      </c>
      <c r="N151" s="7">
        <f>IF($V151="","",M151*L151)</f>
        <v/>
      </c>
      <c r="O151">
        <f>IF($V151="","",Settings!$C$6)</f>
        <v/>
      </c>
      <c r="P151" s="7">
        <f>IF($V151="","",SUMIFS('Per Line'!$V$2:$V$1501,'Per Line'!$D$2:$D$1501,$B151,'Per Line'!$AM$2:$AM$1501,1,'Per Line'!$AN$2:$AN$1501,0))</f>
        <v/>
      </c>
      <c r="Q151" s="7">
        <f>IF($V151="","",P151*O151)</f>
        <v/>
      </c>
      <c r="R151" s="7">
        <f>IF($V151="","",Q151+N151)</f>
        <v/>
      </c>
      <c r="S151" s="7">
        <f>IF($V151="","",T151-R151)</f>
        <v/>
      </c>
      <c r="T151" s="7">
        <f>IF($V151="","",M151+P151+K151)</f>
        <v/>
      </c>
      <c r="U151" s="7">
        <f>IF($V151="","",T151-R151-J151)</f>
        <v/>
      </c>
      <c r="V151" s="13">
        <f>IF(ROWS($V$2:$V151)&lt;=MAX('Per Line'!$AL$2:$AL$1501),MATCH(ROWS($V$2:$V151),'Per Line'!$AL$2:$AL$1501,0),"")</f>
        <v/>
      </c>
    </row>
    <row r="152">
      <c r="A152" s="12" t="n"/>
      <c r="B152">
        <f>IF($V152="","",INDEX('Per Line'!$D$2:$D$1501,$V152)&amp;"")</f>
        <v/>
      </c>
      <c r="C152">
        <f>IF($V152="","",INDEX('Per Line'!$A$2:$A$1501,$V152))</f>
        <v/>
      </c>
      <c r="D152">
        <f>IF($V152="","",INDEX('Per Line'!$Z$2:$Z$1501,$V152)&amp;"")</f>
        <v/>
      </c>
      <c r="E152" s="11">
        <f>IF($V152="","",INDEX('Per Line'!$F$2:$F$1501,$V152))</f>
        <v/>
      </c>
      <c r="F152">
        <f>IF($V152="","",INDEX('Per Line'!$I$2:$I$1501,$V152)&amp;"")</f>
        <v/>
      </c>
      <c r="G152">
        <f>IF($V152="","",INDEX('Per Line'!$J$2:$J$1501,$V152)&amp;"")</f>
        <v/>
      </c>
      <c r="H152">
        <f>IF($V152="","",INDEX('Per Line'!$K$2:$K$1501,$V152)&amp;"")</f>
        <v/>
      </c>
      <c r="I152">
        <f>IF($V152="","",INDEX('Per Line'!$M$2:$M$1501,$V152))</f>
        <v/>
      </c>
      <c r="J152" s="7">
        <f>IF($V152="","",I152*T152/100)</f>
        <v/>
      </c>
      <c r="K152" s="7">
        <f>IF($V152="","",SUMIFS('Per Line'!$V$2:$V$1501,'Per Line'!$D$2:$D$1501,$B152,'Per Line'!$AN$2:$AN$1501,1))</f>
        <v/>
      </c>
      <c r="L152">
        <f>IF($V152="","",Settings!$C$7)</f>
        <v/>
      </c>
      <c r="M152" s="7">
        <f>IF($V152="","",SUMIFS('Per Line'!$V$2:$V$1501,'Per Line'!$D$2:$D$1501,$B152,'Per Line'!$AM$2:$AM$1501,0,'Per Line'!$AN$2:$AN$1501,0))</f>
        <v/>
      </c>
      <c r="N152" s="7">
        <f>IF($V152="","",M152*L152)</f>
        <v/>
      </c>
      <c r="O152">
        <f>IF($V152="","",Settings!$C$6)</f>
        <v/>
      </c>
      <c r="P152" s="7">
        <f>IF($V152="","",SUMIFS('Per Line'!$V$2:$V$1501,'Per Line'!$D$2:$D$1501,$B152,'Per Line'!$AM$2:$AM$1501,1,'Per Line'!$AN$2:$AN$1501,0))</f>
        <v/>
      </c>
      <c r="Q152" s="7">
        <f>IF($V152="","",P152*O152)</f>
        <v/>
      </c>
      <c r="R152" s="7">
        <f>IF($V152="","",Q152+N152)</f>
        <v/>
      </c>
      <c r="S152" s="7">
        <f>IF($V152="","",T152-R152)</f>
        <v/>
      </c>
      <c r="T152" s="7">
        <f>IF($V152="","",M152+P152+K152)</f>
        <v/>
      </c>
      <c r="U152" s="7">
        <f>IF($V152="","",T152-R152-J152)</f>
        <v/>
      </c>
      <c r="V152" s="13">
        <f>IF(ROWS($V$2:$V152)&lt;=MAX('Per Line'!$AL$2:$AL$1501),MATCH(ROWS($V$2:$V152),'Per Line'!$AL$2:$AL$1501,0),"")</f>
        <v/>
      </c>
    </row>
    <row r="153">
      <c r="A153" s="12" t="n"/>
      <c r="B153">
        <f>IF($V153="","",INDEX('Per Line'!$D$2:$D$1501,$V153)&amp;"")</f>
        <v/>
      </c>
      <c r="C153">
        <f>IF($V153="","",INDEX('Per Line'!$A$2:$A$1501,$V153))</f>
        <v/>
      </c>
      <c r="D153">
        <f>IF($V153="","",INDEX('Per Line'!$Z$2:$Z$1501,$V153)&amp;"")</f>
        <v/>
      </c>
      <c r="E153" s="11">
        <f>IF($V153="","",INDEX('Per Line'!$F$2:$F$1501,$V153))</f>
        <v/>
      </c>
      <c r="F153">
        <f>IF($V153="","",INDEX('Per Line'!$I$2:$I$1501,$V153)&amp;"")</f>
        <v/>
      </c>
      <c r="G153">
        <f>IF($V153="","",INDEX('Per Line'!$J$2:$J$1501,$V153)&amp;"")</f>
        <v/>
      </c>
      <c r="H153">
        <f>IF($V153="","",INDEX('Per Line'!$K$2:$K$1501,$V153)&amp;"")</f>
        <v/>
      </c>
      <c r="I153">
        <f>IF($V153="","",INDEX('Per Line'!$M$2:$M$1501,$V153))</f>
        <v/>
      </c>
      <c r="J153" s="7">
        <f>IF($V153="","",I153*T153/100)</f>
        <v/>
      </c>
      <c r="K153" s="7">
        <f>IF($V153="","",SUMIFS('Per Line'!$V$2:$V$1501,'Per Line'!$D$2:$D$1501,$B153,'Per Line'!$AN$2:$AN$1501,1))</f>
        <v/>
      </c>
      <c r="L153">
        <f>IF($V153="","",Settings!$C$7)</f>
        <v/>
      </c>
      <c r="M153" s="7">
        <f>IF($V153="","",SUMIFS('Per Line'!$V$2:$V$1501,'Per Line'!$D$2:$D$1501,$B153,'Per Line'!$AM$2:$AM$1501,0,'Per Line'!$AN$2:$AN$1501,0))</f>
        <v/>
      </c>
      <c r="N153" s="7">
        <f>IF($V153="","",M153*L153)</f>
        <v/>
      </c>
      <c r="O153">
        <f>IF($V153="","",Settings!$C$6)</f>
        <v/>
      </c>
      <c r="P153" s="7">
        <f>IF($V153="","",SUMIFS('Per Line'!$V$2:$V$1501,'Per Line'!$D$2:$D$1501,$B153,'Per Line'!$AM$2:$AM$1501,1,'Per Line'!$AN$2:$AN$1501,0))</f>
        <v/>
      </c>
      <c r="Q153" s="7">
        <f>IF($V153="","",P153*O153)</f>
        <v/>
      </c>
      <c r="R153" s="7">
        <f>IF($V153="","",Q153+N153)</f>
        <v/>
      </c>
      <c r="S153" s="7">
        <f>IF($V153="","",T153-R153)</f>
        <v/>
      </c>
      <c r="T153" s="7">
        <f>IF($V153="","",M153+P153+K153)</f>
        <v/>
      </c>
      <c r="U153" s="7">
        <f>IF($V153="","",T153-R153-J153)</f>
        <v/>
      </c>
      <c r="V153" s="13">
        <f>IF(ROWS($V$2:$V153)&lt;=MAX('Per Line'!$AL$2:$AL$1501),MATCH(ROWS($V$2:$V153),'Per Line'!$AL$2:$AL$1501,0),"")</f>
        <v/>
      </c>
    </row>
    <row r="154">
      <c r="A154" s="12" t="n"/>
      <c r="B154">
        <f>IF($V154="","",INDEX('Per Line'!$D$2:$D$1501,$V154)&amp;"")</f>
        <v/>
      </c>
      <c r="C154">
        <f>IF($V154="","",INDEX('Per Line'!$A$2:$A$1501,$V154))</f>
        <v/>
      </c>
      <c r="D154">
        <f>IF($V154="","",INDEX('Per Line'!$Z$2:$Z$1501,$V154)&amp;"")</f>
        <v/>
      </c>
      <c r="E154" s="11">
        <f>IF($V154="","",INDEX('Per Line'!$F$2:$F$1501,$V154))</f>
        <v/>
      </c>
      <c r="F154">
        <f>IF($V154="","",INDEX('Per Line'!$I$2:$I$1501,$V154)&amp;"")</f>
        <v/>
      </c>
      <c r="G154">
        <f>IF($V154="","",INDEX('Per Line'!$J$2:$J$1501,$V154)&amp;"")</f>
        <v/>
      </c>
      <c r="H154">
        <f>IF($V154="","",INDEX('Per Line'!$K$2:$K$1501,$V154)&amp;"")</f>
        <v/>
      </c>
      <c r="I154">
        <f>IF($V154="","",INDEX('Per Line'!$M$2:$M$1501,$V154))</f>
        <v/>
      </c>
      <c r="J154" s="7">
        <f>IF($V154="","",I154*T154/100)</f>
        <v/>
      </c>
      <c r="K154" s="7">
        <f>IF($V154="","",SUMIFS('Per Line'!$V$2:$V$1501,'Per Line'!$D$2:$D$1501,$B154,'Per Line'!$AN$2:$AN$1501,1))</f>
        <v/>
      </c>
      <c r="L154">
        <f>IF($V154="","",Settings!$C$7)</f>
        <v/>
      </c>
      <c r="M154" s="7">
        <f>IF($V154="","",SUMIFS('Per Line'!$V$2:$V$1501,'Per Line'!$D$2:$D$1501,$B154,'Per Line'!$AM$2:$AM$1501,0,'Per Line'!$AN$2:$AN$1501,0))</f>
        <v/>
      </c>
      <c r="N154" s="7">
        <f>IF($V154="","",M154*L154)</f>
        <v/>
      </c>
      <c r="O154">
        <f>IF($V154="","",Settings!$C$6)</f>
        <v/>
      </c>
      <c r="P154" s="7">
        <f>IF($V154="","",SUMIFS('Per Line'!$V$2:$V$1501,'Per Line'!$D$2:$D$1501,$B154,'Per Line'!$AM$2:$AM$1501,1,'Per Line'!$AN$2:$AN$1501,0))</f>
        <v/>
      </c>
      <c r="Q154" s="7">
        <f>IF($V154="","",P154*O154)</f>
        <v/>
      </c>
      <c r="R154" s="7">
        <f>IF($V154="","",Q154+N154)</f>
        <v/>
      </c>
      <c r="S154" s="7">
        <f>IF($V154="","",T154-R154)</f>
        <v/>
      </c>
      <c r="T154" s="7">
        <f>IF($V154="","",M154+P154+K154)</f>
        <v/>
      </c>
      <c r="U154" s="7">
        <f>IF($V154="","",T154-R154-J154)</f>
        <v/>
      </c>
      <c r="V154" s="13">
        <f>IF(ROWS($V$2:$V154)&lt;=MAX('Per Line'!$AL$2:$AL$1501),MATCH(ROWS($V$2:$V154),'Per Line'!$AL$2:$AL$1501,0),"")</f>
        <v/>
      </c>
    </row>
    <row r="155">
      <c r="A155" s="12" t="n"/>
      <c r="B155">
        <f>IF($V155="","",INDEX('Per Line'!$D$2:$D$1501,$V155)&amp;"")</f>
        <v/>
      </c>
      <c r="C155">
        <f>IF($V155="","",INDEX('Per Line'!$A$2:$A$1501,$V155))</f>
        <v/>
      </c>
      <c r="D155">
        <f>IF($V155="","",INDEX('Per Line'!$Z$2:$Z$1501,$V155)&amp;"")</f>
        <v/>
      </c>
      <c r="E155" s="11">
        <f>IF($V155="","",INDEX('Per Line'!$F$2:$F$1501,$V155))</f>
        <v/>
      </c>
      <c r="F155">
        <f>IF($V155="","",INDEX('Per Line'!$I$2:$I$1501,$V155)&amp;"")</f>
        <v/>
      </c>
      <c r="G155">
        <f>IF($V155="","",INDEX('Per Line'!$J$2:$J$1501,$V155)&amp;"")</f>
        <v/>
      </c>
      <c r="H155">
        <f>IF($V155="","",INDEX('Per Line'!$K$2:$K$1501,$V155)&amp;"")</f>
        <v/>
      </c>
      <c r="I155">
        <f>IF($V155="","",INDEX('Per Line'!$M$2:$M$1501,$V155))</f>
        <v/>
      </c>
      <c r="J155" s="7">
        <f>IF($V155="","",I155*T155/100)</f>
        <v/>
      </c>
      <c r="K155" s="7">
        <f>IF($V155="","",SUMIFS('Per Line'!$V$2:$V$1501,'Per Line'!$D$2:$D$1501,$B155,'Per Line'!$AN$2:$AN$1501,1))</f>
        <v/>
      </c>
      <c r="L155">
        <f>IF($V155="","",Settings!$C$7)</f>
        <v/>
      </c>
      <c r="M155" s="7">
        <f>IF($V155="","",SUMIFS('Per Line'!$V$2:$V$1501,'Per Line'!$D$2:$D$1501,$B155,'Per Line'!$AM$2:$AM$1501,0,'Per Line'!$AN$2:$AN$1501,0))</f>
        <v/>
      </c>
      <c r="N155" s="7">
        <f>IF($V155="","",M155*L155)</f>
        <v/>
      </c>
      <c r="O155">
        <f>IF($V155="","",Settings!$C$6)</f>
        <v/>
      </c>
      <c r="P155" s="7">
        <f>IF($V155="","",SUMIFS('Per Line'!$V$2:$V$1501,'Per Line'!$D$2:$D$1501,$B155,'Per Line'!$AM$2:$AM$1501,1,'Per Line'!$AN$2:$AN$1501,0))</f>
        <v/>
      </c>
      <c r="Q155" s="7">
        <f>IF($V155="","",P155*O155)</f>
        <v/>
      </c>
      <c r="R155" s="7">
        <f>IF($V155="","",Q155+N155)</f>
        <v/>
      </c>
      <c r="S155" s="7">
        <f>IF($V155="","",T155-R155)</f>
        <v/>
      </c>
      <c r="T155" s="7">
        <f>IF($V155="","",M155+P155+K155)</f>
        <v/>
      </c>
      <c r="U155" s="7">
        <f>IF($V155="","",T155-R155-J155)</f>
        <v/>
      </c>
      <c r="V155" s="13">
        <f>IF(ROWS($V$2:$V155)&lt;=MAX('Per Line'!$AL$2:$AL$1501),MATCH(ROWS($V$2:$V155),'Per Line'!$AL$2:$AL$1501,0),"")</f>
        <v/>
      </c>
    </row>
    <row r="156">
      <c r="A156" s="12" t="n"/>
      <c r="B156">
        <f>IF($V156="","",INDEX('Per Line'!$D$2:$D$1501,$V156)&amp;"")</f>
        <v/>
      </c>
      <c r="C156">
        <f>IF($V156="","",INDEX('Per Line'!$A$2:$A$1501,$V156))</f>
        <v/>
      </c>
      <c r="D156">
        <f>IF($V156="","",INDEX('Per Line'!$Z$2:$Z$1501,$V156)&amp;"")</f>
        <v/>
      </c>
      <c r="E156" s="11">
        <f>IF($V156="","",INDEX('Per Line'!$F$2:$F$1501,$V156))</f>
        <v/>
      </c>
      <c r="F156">
        <f>IF($V156="","",INDEX('Per Line'!$I$2:$I$1501,$V156)&amp;"")</f>
        <v/>
      </c>
      <c r="G156">
        <f>IF($V156="","",INDEX('Per Line'!$J$2:$J$1501,$V156)&amp;"")</f>
        <v/>
      </c>
      <c r="H156">
        <f>IF($V156="","",INDEX('Per Line'!$K$2:$K$1501,$V156)&amp;"")</f>
        <v/>
      </c>
      <c r="I156">
        <f>IF($V156="","",INDEX('Per Line'!$M$2:$M$1501,$V156))</f>
        <v/>
      </c>
      <c r="J156" s="7">
        <f>IF($V156="","",I156*T156/100)</f>
        <v/>
      </c>
      <c r="K156" s="7">
        <f>IF($V156="","",SUMIFS('Per Line'!$V$2:$V$1501,'Per Line'!$D$2:$D$1501,$B156,'Per Line'!$AN$2:$AN$1501,1))</f>
        <v/>
      </c>
      <c r="L156">
        <f>IF($V156="","",Settings!$C$7)</f>
        <v/>
      </c>
      <c r="M156" s="7">
        <f>IF($V156="","",SUMIFS('Per Line'!$V$2:$V$1501,'Per Line'!$D$2:$D$1501,$B156,'Per Line'!$AM$2:$AM$1501,0,'Per Line'!$AN$2:$AN$1501,0))</f>
        <v/>
      </c>
      <c r="N156" s="7">
        <f>IF($V156="","",M156*L156)</f>
        <v/>
      </c>
      <c r="O156">
        <f>IF($V156="","",Settings!$C$6)</f>
        <v/>
      </c>
      <c r="P156" s="7">
        <f>IF($V156="","",SUMIFS('Per Line'!$V$2:$V$1501,'Per Line'!$D$2:$D$1501,$B156,'Per Line'!$AM$2:$AM$1501,1,'Per Line'!$AN$2:$AN$1501,0))</f>
        <v/>
      </c>
      <c r="Q156" s="7">
        <f>IF($V156="","",P156*O156)</f>
        <v/>
      </c>
      <c r="R156" s="7">
        <f>IF($V156="","",Q156+N156)</f>
        <v/>
      </c>
      <c r="S156" s="7">
        <f>IF($V156="","",T156-R156)</f>
        <v/>
      </c>
      <c r="T156" s="7">
        <f>IF($V156="","",M156+P156+K156)</f>
        <v/>
      </c>
      <c r="U156" s="7">
        <f>IF($V156="","",T156-R156-J156)</f>
        <v/>
      </c>
      <c r="V156" s="13">
        <f>IF(ROWS($V$2:$V156)&lt;=MAX('Per Line'!$AL$2:$AL$1501),MATCH(ROWS($V$2:$V156),'Per Line'!$AL$2:$AL$1501,0),"")</f>
        <v/>
      </c>
    </row>
    <row r="157">
      <c r="A157" s="12" t="n"/>
      <c r="B157">
        <f>IF($V157="","",INDEX('Per Line'!$D$2:$D$1501,$V157)&amp;"")</f>
        <v/>
      </c>
      <c r="C157">
        <f>IF($V157="","",INDEX('Per Line'!$A$2:$A$1501,$V157))</f>
        <v/>
      </c>
      <c r="D157">
        <f>IF($V157="","",INDEX('Per Line'!$Z$2:$Z$1501,$V157)&amp;"")</f>
        <v/>
      </c>
      <c r="E157" s="11">
        <f>IF($V157="","",INDEX('Per Line'!$F$2:$F$1501,$V157))</f>
        <v/>
      </c>
      <c r="F157">
        <f>IF($V157="","",INDEX('Per Line'!$I$2:$I$1501,$V157)&amp;"")</f>
        <v/>
      </c>
      <c r="G157">
        <f>IF($V157="","",INDEX('Per Line'!$J$2:$J$1501,$V157)&amp;"")</f>
        <v/>
      </c>
      <c r="H157">
        <f>IF($V157="","",INDEX('Per Line'!$K$2:$K$1501,$V157)&amp;"")</f>
        <v/>
      </c>
      <c r="I157">
        <f>IF($V157="","",INDEX('Per Line'!$M$2:$M$1501,$V157))</f>
        <v/>
      </c>
      <c r="J157" s="7">
        <f>IF($V157="","",I157*T157/100)</f>
        <v/>
      </c>
      <c r="K157" s="7">
        <f>IF($V157="","",SUMIFS('Per Line'!$V$2:$V$1501,'Per Line'!$D$2:$D$1501,$B157,'Per Line'!$AN$2:$AN$1501,1))</f>
        <v/>
      </c>
      <c r="L157">
        <f>IF($V157="","",Settings!$C$7)</f>
        <v/>
      </c>
      <c r="M157" s="7">
        <f>IF($V157="","",SUMIFS('Per Line'!$V$2:$V$1501,'Per Line'!$D$2:$D$1501,$B157,'Per Line'!$AM$2:$AM$1501,0,'Per Line'!$AN$2:$AN$1501,0))</f>
        <v/>
      </c>
      <c r="N157" s="7">
        <f>IF($V157="","",M157*L157)</f>
        <v/>
      </c>
      <c r="O157">
        <f>IF($V157="","",Settings!$C$6)</f>
        <v/>
      </c>
      <c r="P157" s="7">
        <f>IF($V157="","",SUMIFS('Per Line'!$V$2:$V$1501,'Per Line'!$D$2:$D$1501,$B157,'Per Line'!$AM$2:$AM$1501,1,'Per Line'!$AN$2:$AN$1501,0))</f>
        <v/>
      </c>
      <c r="Q157" s="7">
        <f>IF($V157="","",P157*O157)</f>
        <v/>
      </c>
      <c r="R157" s="7">
        <f>IF($V157="","",Q157+N157)</f>
        <v/>
      </c>
      <c r="S157" s="7">
        <f>IF($V157="","",T157-R157)</f>
        <v/>
      </c>
      <c r="T157" s="7">
        <f>IF($V157="","",M157+P157+K157)</f>
        <v/>
      </c>
      <c r="U157" s="7">
        <f>IF($V157="","",T157-R157-J157)</f>
        <v/>
      </c>
      <c r="V157" s="13">
        <f>IF(ROWS($V$2:$V157)&lt;=MAX('Per Line'!$AL$2:$AL$1501),MATCH(ROWS($V$2:$V157),'Per Line'!$AL$2:$AL$1501,0),"")</f>
        <v/>
      </c>
    </row>
    <row r="158">
      <c r="A158" s="12" t="n"/>
      <c r="B158">
        <f>IF($V158="","",INDEX('Per Line'!$D$2:$D$1501,$V158)&amp;"")</f>
        <v/>
      </c>
      <c r="C158">
        <f>IF($V158="","",INDEX('Per Line'!$A$2:$A$1501,$V158))</f>
        <v/>
      </c>
      <c r="D158">
        <f>IF($V158="","",INDEX('Per Line'!$Z$2:$Z$1501,$V158)&amp;"")</f>
        <v/>
      </c>
      <c r="E158" s="11">
        <f>IF($V158="","",INDEX('Per Line'!$F$2:$F$1501,$V158))</f>
        <v/>
      </c>
      <c r="F158">
        <f>IF($V158="","",INDEX('Per Line'!$I$2:$I$1501,$V158)&amp;"")</f>
        <v/>
      </c>
      <c r="G158">
        <f>IF($V158="","",INDEX('Per Line'!$J$2:$J$1501,$V158)&amp;"")</f>
        <v/>
      </c>
      <c r="H158">
        <f>IF($V158="","",INDEX('Per Line'!$K$2:$K$1501,$V158)&amp;"")</f>
        <v/>
      </c>
      <c r="I158">
        <f>IF($V158="","",INDEX('Per Line'!$M$2:$M$1501,$V158))</f>
        <v/>
      </c>
      <c r="J158" s="7">
        <f>IF($V158="","",I158*T158/100)</f>
        <v/>
      </c>
      <c r="K158" s="7">
        <f>IF($V158="","",SUMIFS('Per Line'!$V$2:$V$1501,'Per Line'!$D$2:$D$1501,$B158,'Per Line'!$AN$2:$AN$1501,1))</f>
        <v/>
      </c>
      <c r="L158">
        <f>IF($V158="","",Settings!$C$7)</f>
        <v/>
      </c>
      <c r="M158" s="7">
        <f>IF($V158="","",SUMIFS('Per Line'!$V$2:$V$1501,'Per Line'!$D$2:$D$1501,$B158,'Per Line'!$AM$2:$AM$1501,0,'Per Line'!$AN$2:$AN$1501,0))</f>
        <v/>
      </c>
      <c r="N158" s="7">
        <f>IF($V158="","",M158*L158)</f>
        <v/>
      </c>
      <c r="O158">
        <f>IF($V158="","",Settings!$C$6)</f>
        <v/>
      </c>
      <c r="P158" s="7">
        <f>IF($V158="","",SUMIFS('Per Line'!$V$2:$V$1501,'Per Line'!$D$2:$D$1501,$B158,'Per Line'!$AM$2:$AM$1501,1,'Per Line'!$AN$2:$AN$1501,0))</f>
        <v/>
      </c>
      <c r="Q158" s="7">
        <f>IF($V158="","",P158*O158)</f>
        <v/>
      </c>
      <c r="R158" s="7">
        <f>IF($V158="","",Q158+N158)</f>
        <v/>
      </c>
      <c r="S158" s="7">
        <f>IF($V158="","",T158-R158)</f>
        <v/>
      </c>
      <c r="T158" s="7">
        <f>IF($V158="","",M158+P158+K158)</f>
        <v/>
      </c>
      <c r="U158" s="7">
        <f>IF($V158="","",T158-R158-J158)</f>
        <v/>
      </c>
      <c r="V158" s="13">
        <f>IF(ROWS($V$2:$V158)&lt;=MAX('Per Line'!$AL$2:$AL$1501),MATCH(ROWS($V$2:$V158),'Per Line'!$AL$2:$AL$1501,0),"")</f>
        <v/>
      </c>
    </row>
    <row r="159">
      <c r="A159" s="12" t="n"/>
      <c r="B159">
        <f>IF($V159="","",INDEX('Per Line'!$D$2:$D$1501,$V159)&amp;"")</f>
        <v/>
      </c>
      <c r="C159">
        <f>IF($V159="","",INDEX('Per Line'!$A$2:$A$1501,$V159))</f>
        <v/>
      </c>
      <c r="D159">
        <f>IF($V159="","",INDEX('Per Line'!$Z$2:$Z$1501,$V159)&amp;"")</f>
        <v/>
      </c>
      <c r="E159" s="11">
        <f>IF($V159="","",INDEX('Per Line'!$F$2:$F$1501,$V159))</f>
        <v/>
      </c>
      <c r="F159">
        <f>IF($V159="","",INDEX('Per Line'!$I$2:$I$1501,$V159)&amp;"")</f>
        <v/>
      </c>
      <c r="G159">
        <f>IF($V159="","",INDEX('Per Line'!$J$2:$J$1501,$V159)&amp;"")</f>
        <v/>
      </c>
      <c r="H159">
        <f>IF($V159="","",INDEX('Per Line'!$K$2:$K$1501,$V159)&amp;"")</f>
        <v/>
      </c>
      <c r="I159">
        <f>IF($V159="","",INDEX('Per Line'!$M$2:$M$1501,$V159))</f>
        <v/>
      </c>
      <c r="J159" s="7">
        <f>IF($V159="","",I159*T159/100)</f>
        <v/>
      </c>
      <c r="K159" s="7">
        <f>IF($V159="","",SUMIFS('Per Line'!$V$2:$V$1501,'Per Line'!$D$2:$D$1501,$B159,'Per Line'!$AN$2:$AN$1501,1))</f>
        <v/>
      </c>
      <c r="L159">
        <f>IF($V159="","",Settings!$C$7)</f>
        <v/>
      </c>
      <c r="M159" s="7">
        <f>IF($V159="","",SUMIFS('Per Line'!$V$2:$V$1501,'Per Line'!$D$2:$D$1501,$B159,'Per Line'!$AM$2:$AM$1501,0,'Per Line'!$AN$2:$AN$1501,0))</f>
        <v/>
      </c>
      <c r="N159" s="7">
        <f>IF($V159="","",M159*L159)</f>
        <v/>
      </c>
      <c r="O159">
        <f>IF($V159="","",Settings!$C$6)</f>
        <v/>
      </c>
      <c r="P159" s="7">
        <f>IF($V159="","",SUMIFS('Per Line'!$V$2:$V$1501,'Per Line'!$D$2:$D$1501,$B159,'Per Line'!$AM$2:$AM$1501,1,'Per Line'!$AN$2:$AN$1501,0))</f>
        <v/>
      </c>
      <c r="Q159" s="7">
        <f>IF($V159="","",P159*O159)</f>
        <v/>
      </c>
      <c r="R159" s="7">
        <f>IF($V159="","",Q159+N159)</f>
        <v/>
      </c>
      <c r="S159" s="7">
        <f>IF($V159="","",T159-R159)</f>
        <v/>
      </c>
      <c r="T159" s="7">
        <f>IF($V159="","",M159+P159+K159)</f>
        <v/>
      </c>
      <c r="U159" s="7">
        <f>IF($V159="","",T159-R159-J159)</f>
        <v/>
      </c>
      <c r="V159" s="13">
        <f>IF(ROWS($V$2:$V159)&lt;=MAX('Per Line'!$AL$2:$AL$1501),MATCH(ROWS($V$2:$V159),'Per Line'!$AL$2:$AL$1501,0),"")</f>
        <v/>
      </c>
    </row>
    <row r="160">
      <c r="A160" s="12" t="n"/>
      <c r="B160">
        <f>IF($V160="","",INDEX('Per Line'!$D$2:$D$1501,$V160)&amp;"")</f>
        <v/>
      </c>
      <c r="C160">
        <f>IF($V160="","",INDEX('Per Line'!$A$2:$A$1501,$V160))</f>
        <v/>
      </c>
      <c r="D160">
        <f>IF($V160="","",INDEX('Per Line'!$Z$2:$Z$1501,$V160)&amp;"")</f>
        <v/>
      </c>
      <c r="E160" s="11">
        <f>IF($V160="","",INDEX('Per Line'!$F$2:$F$1501,$V160))</f>
        <v/>
      </c>
      <c r="F160">
        <f>IF($V160="","",INDEX('Per Line'!$I$2:$I$1501,$V160)&amp;"")</f>
        <v/>
      </c>
      <c r="G160">
        <f>IF($V160="","",INDEX('Per Line'!$J$2:$J$1501,$V160)&amp;"")</f>
        <v/>
      </c>
      <c r="H160">
        <f>IF($V160="","",INDEX('Per Line'!$K$2:$K$1501,$V160)&amp;"")</f>
        <v/>
      </c>
      <c r="I160">
        <f>IF($V160="","",INDEX('Per Line'!$M$2:$M$1501,$V160))</f>
        <v/>
      </c>
      <c r="J160" s="7">
        <f>IF($V160="","",I160*T160/100)</f>
        <v/>
      </c>
      <c r="K160" s="7">
        <f>IF($V160="","",SUMIFS('Per Line'!$V$2:$V$1501,'Per Line'!$D$2:$D$1501,$B160,'Per Line'!$AN$2:$AN$1501,1))</f>
        <v/>
      </c>
      <c r="L160">
        <f>IF($V160="","",Settings!$C$7)</f>
        <v/>
      </c>
      <c r="M160" s="7">
        <f>IF($V160="","",SUMIFS('Per Line'!$V$2:$V$1501,'Per Line'!$D$2:$D$1501,$B160,'Per Line'!$AM$2:$AM$1501,0,'Per Line'!$AN$2:$AN$1501,0))</f>
        <v/>
      </c>
      <c r="N160" s="7">
        <f>IF($V160="","",M160*L160)</f>
        <v/>
      </c>
      <c r="O160">
        <f>IF($V160="","",Settings!$C$6)</f>
        <v/>
      </c>
      <c r="P160" s="7">
        <f>IF($V160="","",SUMIFS('Per Line'!$V$2:$V$1501,'Per Line'!$D$2:$D$1501,$B160,'Per Line'!$AM$2:$AM$1501,1,'Per Line'!$AN$2:$AN$1501,0))</f>
        <v/>
      </c>
      <c r="Q160" s="7">
        <f>IF($V160="","",P160*O160)</f>
        <v/>
      </c>
      <c r="R160" s="7">
        <f>IF($V160="","",Q160+N160)</f>
        <v/>
      </c>
      <c r="S160" s="7">
        <f>IF($V160="","",T160-R160)</f>
        <v/>
      </c>
      <c r="T160" s="7">
        <f>IF($V160="","",M160+P160+K160)</f>
        <v/>
      </c>
      <c r="U160" s="7">
        <f>IF($V160="","",T160-R160-J160)</f>
        <v/>
      </c>
      <c r="V160" s="13">
        <f>IF(ROWS($V$2:$V160)&lt;=MAX('Per Line'!$AL$2:$AL$1501),MATCH(ROWS($V$2:$V160),'Per Line'!$AL$2:$AL$1501,0),"")</f>
        <v/>
      </c>
    </row>
    <row r="161">
      <c r="A161" s="12" t="n"/>
      <c r="B161">
        <f>IF($V161="","",INDEX('Per Line'!$D$2:$D$1501,$V161)&amp;"")</f>
        <v/>
      </c>
      <c r="C161">
        <f>IF($V161="","",INDEX('Per Line'!$A$2:$A$1501,$V161))</f>
        <v/>
      </c>
      <c r="D161">
        <f>IF($V161="","",INDEX('Per Line'!$Z$2:$Z$1501,$V161)&amp;"")</f>
        <v/>
      </c>
      <c r="E161" s="11">
        <f>IF($V161="","",INDEX('Per Line'!$F$2:$F$1501,$V161))</f>
        <v/>
      </c>
      <c r="F161">
        <f>IF($V161="","",INDEX('Per Line'!$I$2:$I$1501,$V161)&amp;"")</f>
        <v/>
      </c>
      <c r="G161">
        <f>IF($V161="","",INDEX('Per Line'!$J$2:$J$1501,$V161)&amp;"")</f>
        <v/>
      </c>
      <c r="H161">
        <f>IF($V161="","",INDEX('Per Line'!$K$2:$K$1501,$V161)&amp;"")</f>
        <v/>
      </c>
      <c r="I161">
        <f>IF($V161="","",INDEX('Per Line'!$M$2:$M$1501,$V161))</f>
        <v/>
      </c>
      <c r="J161" s="7">
        <f>IF($V161="","",I161*T161/100)</f>
        <v/>
      </c>
      <c r="K161" s="7">
        <f>IF($V161="","",SUMIFS('Per Line'!$V$2:$V$1501,'Per Line'!$D$2:$D$1501,$B161,'Per Line'!$AN$2:$AN$1501,1))</f>
        <v/>
      </c>
      <c r="L161">
        <f>IF($V161="","",Settings!$C$7)</f>
        <v/>
      </c>
      <c r="M161" s="7">
        <f>IF($V161="","",SUMIFS('Per Line'!$V$2:$V$1501,'Per Line'!$D$2:$D$1501,$B161,'Per Line'!$AM$2:$AM$1501,0,'Per Line'!$AN$2:$AN$1501,0))</f>
        <v/>
      </c>
      <c r="N161" s="7">
        <f>IF($V161="","",M161*L161)</f>
        <v/>
      </c>
      <c r="O161">
        <f>IF($V161="","",Settings!$C$6)</f>
        <v/>
      </c>
      <c r="P161" s="7">
        <f>IF($V161="","",SUMIFS('Per Line'!$V$2:$V$1501,'Per Line'!$D$2:$D$1501,$B161,'Per Line'!$AM$2:$AM$1501,1,'Per Line'!$AN$2:$AN$1501,0))</f>
        <v/>
      </c>
      <c r="Q161" s="7">
        <f>IF($V161="","",P161*O161)</f>
        <v/>
      </c>
      <c r="R161" s="7">
        <f>IF($V161="","",Q161+N161)</f>
        <v/>
      </c>
      <c r="S161" s="7">
        <f>IF($V161="","",T161-R161)</f>
        <v/>
      </c>
      <c r="T161" s="7">
        <f>IF($V161="","",M161+P161+K161)</f>
        <v/>
      </c>
      <c r="U161" s="7">
        <f>IF($V161="","",T161-R161-J161)</f>
        <v/>
      </c>
      <c r="V161" s="13">
        <f>IF(ROWS($V$2:$V161)&lt;=MAX('Per Line'!$AL$2:$AL$1501),MATCH(ROWS($V$2:$V161),'Per Line'!$AL$2:$AL$1501,0),"")</f>
        <v/>
      </c>
    </row>
    <row r="162">
      <c r="A162" s="12" t="n"/>
      <c r="B162">
        <f>IF($V162="","",INDEX('Per Line'!$D$2:$D$1501,$V162)&amp;"")</f>
        <v/>
      </c>
      <c r="C162">
        <f>IF($V162="","",INDEX('Per Line'!$A$2:$A$1501,$V162))</f>
        <v/>
      </c>
      <c r="D162">
        <f>IF($V162="","",INDEX('Per Line'!$Z$2:$Z$1501,$V162)&amp;"")</f>
        <v/>
      </c>
      <c r="E162" s="11">
        <f>IF($V162="","",INDEX('Per Line'!$F$2:$F$1501,$V162))</f>
        <v/>
      </c>
      <c r="F162">
        <f>IF($V162="","",INDEX('Per Line'!$I$2:$I$1501,$V162)&amp;"")</f>
        <v/>
      </c>
      <c r="G162">
        <f>IF($V162="","",INDEX('Per Line'!$J$2:$J$1501,$V162)&amp;"")</f>
        <v/>
      </c>
      <c r="H162">
        <f>IF($V162="","",INDEX('Per Line'!$K$2:$K$1501,$V162)&amp;"")</f>
        <v/>
      </c>
      <c r="I162">
        <f>IF($V162="","",INDEX('Per Line'!$M$2:$M$1501,$V162))</f>
        <v/>
      </c>
      <c r="J162" s="7">
        <f>IF($V162="","",I162*T162/100)</f>
        <v/>
      </c>
      <c r="K162" s="7">
        <f>IF($V162="","",SUMIFS('Per Line'!$V$2:$V$1501,'Per Line'!$D$2:$D$1501,$B162,'Per Line'!$AN$2:$AN$1501,1))</f>
        <v/>
      </c>
      <c r="L162">
        <f>IF($V162="","",Settings!$C$7)</f>
        <v/>
      </c>
      <c r="M162" s="7">
        <f>IF($V162="","",SUMIFS('Per Line'!$V$2:$V$1501,'Per Line'!$D$2:$D$1501,$B162,'Per Line'!$AM$2:$AM$1501,0,'Per Line'!$AN$2:$AN$1501,0))</f>
        <v/>
      </c>
      <c r="N162" s="7">
        <f>IF($V162="","",M162*L162)</f>
        <v/>
      </c>
      <c r="O162">
        <f>IF($V162="","",Settings!$C$6)</f>
        <v/>
      </c>
      <c r="P162" s="7">
        <f>IF($V162="","",SUMIFS('Per Line'!$V$2:$V$1501,'Per Line'!$D$2:$D$1501,$B162,'Per Line'!$AM$2:$AM$1501,1,'Per Line'!$AN$2:$AN$1501,0))</f>
        <v/>
      </c>
      <c r="Q162" s="7">
        <f>IF($V162="","",P162*O162)</f>
        <v/>
      </c>
      <c r="R162" s="7">
        <f>IF($V162="","",Q162+N162)</f>
        <v/>
      </c>
      <c r="S162" s="7">
        <f>IF($V162="","",T162-R162)</f>
        <v/>
      </c>
      <c r="T162" s="7">
        <f>IF($V162="","",M162+P162+K162)</f>
        <v/>
      </c>
      <c r="U162" s="7">
        <f>IF($V162="","",T162-R162-J162)</f>
        <v/>
      </c>
      <c r="V162" s="13">
        <f>IF(ROWS($V$2:$V162)&lt;=MAX('Per Line'!$AL$2:$AL$1501),MATCH(ROWS($V$2:$V162),'Per Line'!$AL$2:$AL$1501,0),"")</f>
        <v/>
      </c>
    </row>
    <row r="163">
      <c r="A163" s="12" t="n"/>
      <c r="B163">
        <f>IF($V163="","",INDEX('Per Line'!$D$2:$D$1501,$V163)&amp;"")</f>
        <v/>
      </c>
      <c r="C163">
        <f>IF($V163="","",INDEX('Per Line'!$A$2:$A$1501,$V163))</f>
        <v/>
      </c>
      <c r="D163">
        <f>IF($V163="","",INDEX('Per Line'!$Z$2:$Z$1501,$V163)&amp;"")</f>
        <v/>
      </c>
      <c r="E163" s="11">
        <f>IF($V163="","",INDEX('Per Line'!$F$2:$F$1501,$V163))</f>
        <v/>
      </c>
      <c r="F163">
        <f>IF($V163="","",INDEX('Per Line'!$I$2:$I$1501,$V163)&amp;"")</f>
        <v/>
      </c>
      <c r="G163">
        <f>IF($V163="","",INDEX('Per Line'!$J$2:$J$1501,$V163)&amp;"")</f>
        <v/>
      </c>
      <c r="H163">
        <f>IF($V163="","",INDEX('Per Line'!$K$2:$K$1501,$V163)&amp;"")</f>
        <v/>
      </c>
      <c r="I163">
        <f>IF($V163="","",INDEX('Per Line'!$M$2:$M$1501,$V163))</f>
        <v/>
      </c>
      <c r="J163" s="7">
        <f>IF($V163="","",I163*T163/100)</f>
        <v/>
      </c>
      <c r="K163" s="7">
        <f>IF($V163="","",SUMIFS('Per Line'!$V$2:$V$1501,'Per Line'!$D$2:$D$1501,$B163,'Per Line'!$AN$2:$AN$1501,1))</f>
        <v/>
      </c>
      <c r="L163">
        <f>IF($V163="","",Settings!$C$7)</f>
        <v/>
      </c>
      <c r="M163" s="7">
        <f>IF($V163="","",SUMIFS('Per Line'!$V$2:$V$1501,'Per Line'!$D$2:$D$1501,$B163,'Per Line'!$AM$2:$AM$1501,0,'Per Line'!$AN$2:$AN$1501,0))</f>
        <v/>
      </c>
      <c r="N163" s="7">
        <f>IF($V163="","",M163*L163)</f>
        <v/>
      </c>
      <c r="O163">
        <f>IF($V163="","",Settings!$C$6)</f>
        <v/>
      </c>
      <c r="P163" s="7">
        <f>IF($V163="","",SUMIFS('Per Line'!$V$2:$V$1501,'Per Line'!$D$2:$D$1501,$B163,'Per Line'!$AM$2:$AM$1501,1,'Per Line'!$AN$2:$AN$1501,0))</f>
        <v/>
      </c>
      <c r="Q163" s="7">
        <f>IF($V163="","",P163*O163)</f>
        <v/>
      </c>
      <c r="R163" s="7">
        <f>IF($V163="","",Q163+N163)</f>
        <v/>
      </c>
      <c r="S163" s="7">
        <f>IF($V163="","",T163-R163)</f>
        <v/>
      </c>
      <c r="T163" s="7">
        <f>IF($V163="","",M163+P163+K163)</f>
        <v/>
      </c>
      <c r="U163" s="7">
        <f>IF($V163="","",T163-R163-J163)</f>
        <v/>
      </c>
      <c r="V163" s="13">
        <f>IF(ROWS($V$2:$V163)&lt;=MAX('Per Line'!$AL$2:$AL$1501),MATCH(ROWS($V$2:$V163),'Per Line'!$AL$2:$AL$1501,0),"")</f>
        <v/>
      </c>
    </row>
    <row r="164">
      <c r="A164" s="12" t="n"/>
      <c r="B164">
        <f>IF($V164="","",INDEX('Per Line'!$D$2:$D$1501,$V164)&amp;"")</f>
        <v/>
      </c>
      <c r="C164">
        <f>IF($V164="","",INDEX('Per Line'!$A$2:$A$1501,$V164))</f>
        <v/>
      </c>
      <c r="D164">
        <f>IF($V164="","",INDEX('Per Line'!$Z$2:$Z$1501,$V164)&amp;"")</f>
        <v/>
      </c>
      <c r="E164" s="11">
        <f>IF($V164="","",INDEX('Per Line'!$F$2:$F$1501,$V164))</f>
        <v/>
      </c>
      <c r="F164">
        <f>IF($V164="","",INDEX('Per Line'!$I$2:$I$1501,$V164)&amp;"")</f>
        <v/>
      </c>
      <c r="G164">
        <f>IF($V164="","",INDEX('Per Line'!$J$2:$J$1501,$V164)&amp;"")</f>
        <v/>
      </c>
      <c r="H164">
        <f>IF($V164="","",INDEX('Per Line'!$K$2:$K$1501,$V164)&amp;"")</f>
        <v/>
      </c>
      <c r="I164">
        <f>IF($V164="","",INDEX('Per Line'!$M$2:$M$1501,$V164))</f>
        <v/>
      </c>
      <c r="J164" s="7">
        <f>IF($V164="","",I164*T164/100)</f>
        <v/>
      </c>
      <c r="K164" s="7">
        <f>IF($V164="","",SUMIFS('Per Line'!$V$2:$V$1501,'Per Line'!$D$2:$D$1501,$B164,'Per Line'!$AN$2:$AN$1501,1))</f>
        <v/>
      </c>
      <c r="L164">
        <f>IF($V164="","",Settings!$C$7)</f>
        <v/>
      </c>
      <c r="M164" s="7">
        <f>IF($V164="","",SUMIFS('Per Line'!$V$2:$V$1501,'Per Line'!$D$2:$D$1501,$B164,'Per Line'!$AM$2:$AM$1501,0,'Per Line'!$AN$2:$AN$1501,0))</f>
        <v/>
      </c>
      <c r="N164" s="7">
        <f>IF($V164="","",M164*L164)</f>
        <v/>
      </c>
      <c r="O164">
        <f>IF($V164="","",Settings!$C$6)</f>
        <v/>
      </c>
      <c r="P164" s="7">
        <f>IF($V164="","",SUMIFS('Per Line'!$V$2:$V$1501,'Per Line'!$D$2:$D$1501,$B164,'Per Line'!$AM$2:$AM$1501,1,'Per Line'!$AN$2:$AN$1501,0))</f>
        <v/>
      </c>
      <c r="Q164" s="7">
        <f>IF($V164="","",P164*O164)</f>
        <v/>
      </c>
      <c r="R164" s="7">
        <f>IF($V164="","",Q164+N164)</f>
        <v/>
      </c>
      <c r="S164" s="7">
        <f>IF($V164="","",T164-R164)</f>
        <v/>
      </c>
      <c r="T164" s="7">
        <f>IF($V164="","",M164+P164+K164)</f>
        <v/>
      </c>
      <c r="U164" s="7">
        <f>IF($V164="","",T164-R164-J164)</f>
        <v/>
      </c>
      <c r="V164" s="13">
        <f>IF(ROWS($V$2:$V164)&lt;=MAX('Per Line'!$AL$2:$AL$1501),MATCH(ROWS($V$2:$V164),'Per Line'!$AL$2:$AL$1501,0),"")</f>
        <v/>
      </c>
    </row>
    <row r="165">
      <c r="A165" s="12" t="n"/>
      <c r="B165">
        <f>IF($V165="","",INDEX('Per Line'!$D$2:$D$1501,$V165)&amp;"")</f>
        <v/>
      </c>
      <c r="C165">
        <f>IF($V165="","",INDEX('Per Line'!$A$2:$A$1501,$V165))</f>
        <v/>
      </c>
      <c r="D165">
        <f>IF($V165="","",INDEX('Per Line'!$Z$2:$Z$1501,$V165)&amp;"")</f>
        <v/>
      </c>
      <c r="E165" s="11">
        <f>IF($V165="","",INDEX('Per Line'!$F$2:$F$1501,$V165))</f>
        <v/>
      </c>
      <c r="F165">
        <f>IF($V165="","",INDEX('Per Line'!$I$2:$I$1501,$V165)&amp;"")</f>
        <v/>
      </c>
      <c r="G165">
        <f>IF($V165="","",INDEX('Per Line'!$J$2:$J$1501,$V165)&amp;"")</f>
        <v/>
      </c>
      <c r="H165">
        <f>IF($V165="","",INDEX('Per Line'!$K$2:$K$1501,$V165)&amp;"")</f>
        <v/>
      </c>
      <c r="I165">
        <f>IF($V165="","",INDEX('Per Line'!$M$2:$M$1501,$V165))</f>
        <v/>
      </c>
      <c r="J165" s="7">
        <f>IF($V165="","",I165*T165/100)</f>
        <v/>
      </c>
      <c r="K165" s="7">
        <f>IF($V165="","",SUMIFS('Per Line'!$V$2:$V$1501,'Per Line'!$D$2:$D$1501,$B165,'Per Line'!$AN$2:$AN$1501,1))</f>
        <v/>
      </c>
      <c r="L165">
        <f>IF($V165="","",Settings!$C$7)</f>
        <v/>
      </c>
      <c r="M165" s="7">
        <f>IF($V165="","",SUMIFS('Per Line'!$V$2:$V$1501,'Per Line'!$D$2:$D$1501,$B165,'Per Line'!$AM$2:$AM$1501,0,'Per Line'!$AN$2:$AN$1501,0))</f>
        <v/>
      </c>
      <c r="N165" s="7">
        <f>IF($V165="","",M165*L165)</f>
        <v/>
      </c>
      <c r="O165">
        <f>IF($V165="","",Settings!$C$6)</f>
        <v/>
      </c>
      <c r="P165" s="7">
        <f>IF($V165="","",SUMIFS('Per Line'!$V$2:$V$1501,'Per Line'!$D$2:$D$1501,$B165,'Per Line'!$AM$2:$AM$1501,1,'Per Line'!$AN$2:$AN$1501,0))</f>
        <v/>
      </c>
      <c r="Q165" s="7">
        <f>IF($V165="","",P165*O165)</f>
        <v/>
      </c>
      <c r="R165" s="7">
        <f>IF($V165="","",Q165+N165)</f>
        <v/>
      </c>
      <c r="S165" s="7">
        <f>IF($V165="","",T165-R165)</f>
        <v/>
      </c>
      <c r="T165" s="7">
        <f>IF($V165="","",M165+P165+K165)</f>
        <v/>
      </c>
      <c r="U165" s="7">
        <f>IF($V165="","",T165-R165-J165)</f>
        <v/>
      </c>
      <c r="V165" s="13">
        <f>IF(ROWS($V$2:$V165)&lt;=MAX('Per Line'!$AL$2:$AL$1501),MATCH(ROWS($V$2:$V165),'Per Line'!$AL$2:$AL$1501,0),"")</f>
        <v/>
      </c>
    </row>
    <row r="166">
      <c r="A166" s="12" t="n"/>
      <c r="B166">
        <f>IF($V166="","",INDEX('Per Line'!$D$2:$D$1501,$V166)&amp;"")</f>
        <v/>
      </c>
      <c r="C166">
        <f>IF($V166="","",INDEX('Per Line'!$A$2:$A$1501,$V166))</f>
        <v/>
      </c>
      <c r="D166">
        <f>IF($V166="","",INDEX('Per Line'!$Z$2:$Z$1501,$V166)&amp;"")</f>
        <v/>
      </c>
      <c r="E166" s="11">
        <f>IF($V166="","",INDEX('Per Line'!$F$2:$F$1501,$V166))</f>
        <v/>
      </c>
      <c r="F166">
        <f>IF($V166="","",INDEX('Per Line'!$I$2:$I$1501,$V166)&amp;"")</f>
        <v/>
      </c>
      <c r="G166">
        <f>IF($V166="","",INDEX('Per Line'!$J$2:$J$1501,$V166)&amp;"")</f>
        <v/>
      </c>
      <c r="H166">
        <f>IF($V166="","",INDEX('Per Line'!$K$2:$K$1501,$V166)&amp;"")</f>
        <v/>
      </c>
      <c r="I166">
        <f>IF($V166="","",INDEX('Per Line'!$M$2:$M$1501,$V166))</f>
        <v/>
      </c>
      <c r="J166" s="7">
        <f>IF($V166="","",I166*T166/100)</f>
        <v/>
      </c>
      <c r="K166" s="7">
        <f>IF($V166="","",SUMIFS('Per Line'!$V$2:$V$1501,'Per Line'!$D$2:$D$1501,$B166,'Per Line'!$AN$2:$AN$1501,1))</f>
        <v/>
      </c>
      <c r="L166">
        <f>IF($V166="","",Settings!$C$7)</f>
        <v/>
      </c>
      <c r="M166" s="7">
        <f>IF($V166="","",SUMIFS('Per Line'!$V$2:$V$1501,'Per Line'!$D$2:$D$1501,$B166,'Per Line'!$AM$2:$AM$1501,0,'Per Line'!$AN$2:$AN$1501,0))</f>
        <v/>
      </c>
      <c r="N166" s="7">
        <f>IF($V166="","",M166*L166)</f>
        <v/>
      </c>
      <c r="O166">
        <f>IF($V166="","",Settings!$C$6)</f>
        <v/>
      </c>
      <c r="P166" s="7">
        <f>IF($V166="","",SUMIFS('Per Line'!$V$2:$V$1501,'Per Line'!$D$2:$D$1501,$B166,'Per Line'!$AM$2:$AM$1501,1,'Per Line'!$AN$2:$AN$1501,0))</f>
        <v/>
      </c>
      <c r="Q166" s="7">
        <f>IF($V166="","",P166*O166)</f>
        <v/>
      </c>
      <c r="R166" s="7">
        <f>IF($V166="","",Q166+N166)</f>
        <v/>
      </c>
      <c r="S166" s="7">
        <f>IF($V166="","",T166-R166)</f>
        <v/>
      </c>
      <c r="T166" s="7">
        <f>IF($V166="","",M166+P166+K166)</f>
        <v/>
      </c>
      <c r="U166" s="7">
        <f>IF($V166="","",T166-R166-J166)</f>
        <v/>
      </c>
      <c r="V166" s="13">
        <f>IF(ROWS($V$2:$V166)&lt;=MAX('Per Line'!$AL$2:$AL$1501),MATCH(ROWS($V$2:$V166),'Per Line'!$AL$2:$AL$1501,0),"")</f>
        <v/>
      </c>
    </row>
    <row r="167">
      <c r="A167" s="12" t="n"/>
      <c r="B167">
        <f>IF($V167="","",INDEX('Per Line'!$D$2:$D$1501,$V167)&amp;"")</f>
        <v/>
      </c>
      <c r="C167">
        <f>IF($V167="","",INDEX('Per Line'!$A$2:$A$1501,$V167))</f>
        <v/>
      </c>
      <c r="D167">
        <f>IF($V167="","",INDEX('Per Line'!$Z$2:$Z$1501,$V167)&amp;"")</f>
        <v/>
      </c>
      <c r="E167" s="11">
        <f>IF($V167="","",INDEX('Per Line'!$F$2:$F$1501,$V167))</f>
        <v/>
      </c>
      <c r="F167">
        <f>IF($V167="","",INDEX('Per Line'!$I$2:$I$1501,$V167)&amp;"")</f>
        <v/>
      </c>
      <c r="G167">
        <f>IF($V167="","",INDEX('Per Line'!$J$2:$J$1501,$V167)&amp;"")</f>
        <v/>
      </c>
      <c r="H167">
        <f>IF($V167="","",INDEX('Per Line'!$K$2:$K$1501,$V167)&amp;"")</f>
        <v/>
      </c>
      <c r="I167">
        <f>IF($V167="","",INDEX('Per Line'!$M$2:$M$1501,$V167))</f>
        <v/>
      </c>
      <c r="J167" s="7">
        <f>IF($V167="","",I167*T167/100)</f>
        <v/>
      </c>
      <c r="K167" s="7">
        <f>IF($V167="","",SUMIFS('Per Line'!$V$2:$V$1501,'Per Line'!$D$2:$D$1501,$B167,'Per Line'!$AN$2:$AN$1501,1))</f>
        <v/>
      </c>
      <c r="L167">
        <f>IF($V167="","",Settings!$C$7)</f>
        <v/>
      </c>
      <c r="M167" s="7">
        <f>IF($V167="","",SUMIFS('Per Line'!$V$2:$V$1501,'Per Line'!$D$2:$D$1501,$B167,'Per Line'!$AM$2:$AM$1501,0,'Per Line'!$AN$2:$AN$1501,0))</f>
        <v/>
      </c>
      <c r="N167" s="7">
        <f>IF($V167="","",M167*L167)</f>
        <v/>
      </c>
      <c r="O167">
        <f>IF($V167="","",Settings!$C$6)</f>
        <v/>
      </c>
      <c r="P167" s="7">
        <f>IF($V167="","",SUMIFS('Per Line'!$V$2:$V$1501,'Per Line'!$D$2:$D$1501,$B167,'Per Line'!$AM$2:$AM$1501,1,'Per Line'!$AN$2:$AN$1501,0))</f>
        <v/>
      </c>
      <c r="Q167" s="7">
        <f>IF($V167="","",P167*O167)</f>
        <v/>
      </c>
      <c r="R167" s="7">
        <f>IF($V167="","",Q167+N167)</f>
        <v/>
      </c>
      <c r="S167" s="7">
        <f>IF($V167="","",T167-R167)</f>
        <v/>
      </c>
      <c r="T167" s="7">
        <f>IF($V167="","",M167+P167+K167)</f>
        <v/>
      </c>
      <c r="U167" s="7">
        <f>IF($V167="","",T167-R167-J167)</f>
        <v/>
      </c>
      <c r="V167" s="13">
        <f>IF(ROWS($V$2:$V167)&lt;=MAX('Per Line'!$AL$2:$AL$1501),MATCH(ROWS($V$2:$V167),'Per Line'!$AL$2:$AL$1501,0),"")</f>
        <v/>
      </c>
    </row>
    <row r="168">
      <c r="A168" s="12" t="n"/>
      <c r="B168">
        <f>IF($V168="","",INDEX('Per Line'!$D$2:$D$1501,$V168)&amp;"")</f>
        <v/>
      </c>
      <c r="C168">
        <f>IF($V168="","",INDEX('Per Line'!$A$2:$A$1501,$V168))</f>
        <v/>
      </c>
      <c r="D168">
        <f>IF($V168="","",INDEX('Per Line'!$Z$2:$Z$1501,$V168)&amp;"")</f>
        <v/>
      </c>
      <c r="E168" s="11">
        <f>IF($V168="","",INDEX('Per Line'!$F$2:$F$1501,$V168))</f>
        <v/>
      </c>
      <c r="F168">
        <f>IF($V168="","",INDEX('Per Line'!$I$2:$I$1501,$V168)&amp;"")</f>
        <v/>
      </c>
      <c r="G168">
        <f>IF($V168="","",INDEX('Per Line'!$J$2:$J$1501,$V168)&amp;"")</f>
        <v/>
      </c>
      <c r="H168">
        <f>IF($V168="","",INDEX('Per Line'!$K$2:$K$1501,$V168)&amp;"")</f>
        <v/>
      </c>
      <c r="I168">
        <f>IF($V168="","",INDEX('Per Line'!$M$2:$M$1501,$V168))</f>
        <v/>
      </c>
      <c r="J168" s="7">
        <f>IF($V168="","",I168*T168/100)</f>
        <v/>
      </c>
      <c r="K168" s="7">
        <f>IF($V168="","",SUMIFS('Per Line'!$V$2:$V$1501,'Per Line'!$D$2:$D$1501,$B168,'Per Line'!$AN$2:$AN$1501,1))</f>
        <v/>
      </c>
      <c r="L168">
        <f>IF($V168="","",Settings!$C$7)</f>
        <v/>
      </c>
      <c r="M168" s="7">
        <f>IF($V168="","",SUMIFS('Per Line'!$V$2:$V$1501,'Per Line'!$D$2:$D$1501,$B168,'Per Line'!$AM$2:$AM$1501,0,'Per Line'!$AN$2:$AN$1501,0))</f>
        <v/>
      </c>
      <c r="N168" s="7">
        <f>IF($V168="","",M168*L168)</f>
        <v/>
      </c>
      <c r="O168">
        <f>IF($V168="","",Settings!$C$6)</f>
        <v/>
      </c>
      <c r="P168" s="7">
        <f>IF($V168="","",SUMIFS('Per Line'!$V$2:$V$1501,'Per Line'!$D$2:$D$1501,$B168,'Per Line'!$AM$2:$AM$1501,1,'Per Line'!$AN$2:$AN$1501,0))</f>
        <v/>
      </c>
      <c r="Q168" s="7">
        <f>IF($V168="","",P168*O168)</f>
        <v/>
      </c>
      <c r="R168" s="7">
        <f>IF($V168="","",Q168+N168)</f>
        <v/>
      </c>
      <c r="S168" s="7">
        <f>IF($V168="","",T168-R168)</f>
        <v/>
      </c>
      <c r="T168" s="7">
        <f>IF($V168="","",M168+P168+K168)</f>
        <v/>
      </c>
      <c r="U168" s="7">
        <f>IF($V168="","",T168-R168-J168)</f>
        <v/>
      </c>
      <c r="V168" s="13">
        <f>IF(ROWS($V$2:$V168)&lt;=MAX('Per Line'!$AL$2:$AL$1501),MATCH(ROWS($V$2:$V168),'Per Line'!$AL$2:$AL$1501,0),"")</f>
        <v/>
      </c>
    </row>
    <row r="169">
      <c r="A169" s="12" t="n"/>
      <c r="B169">
        <f>IF($V169="","",INDEX('Per Line'!$D$2:$D$1501,$V169)&amp;"")</f>
        <v/>
      </c>
      <c r="C169">
        <f>IF($V169="","",INDEX('Per Line'!$A$2:$A$1501,$V169))</f>
        <v/>
      </c>
      <c r="D169">
        <f>IF($V169="","",INDEX('Per Line'!$Z$2:$Z$1501,$V169)&amp;"")</f>
        <v/>
      </c>
      <c r="E169" s="11">
        <f>IF($V169="","",INDEX('Per Line'!$F$2:$F$1501,$V169))</f>
        <v/>
      </c>
      <c r="F169">
        <f>IF($V169="","",INDEX('Per Line'!$I$2:$I$1501,$V169)&amp;"")</f>
        <v/>
      </c>
      <c r="G169">
        <f>IF($V169="","",INDEX('Per Line'!$J$2:$J$1501,$V169)&amp;"")</f>
        <v/>
      </c>
      <c r="H169">
        <f>IF($V169="","",INDEX('Per Line'!$K$2:$K$1501,$V169)&amp;"")</f>
        <v/>
      </c>
      <c r="I169">
        <f>IF($V169="","",INDEX('Per Line'!$M$2:$M$1501,$V169))</f>
        <v/>
      </c>
      <c r="J169" s="7">
        <f>IF($V169="","",I169*T169/100)</f>
        <v/>
      </c>
      <c r="K169" s="7">
        <f>IF($V169="","",SUMIFS('Per Line'!$V$2:$V$1501,'Per Line'!$D$2:$D$1501,$B169,'Per Line'!$AN$2:$AN$1501,1))</f>
        <v/>
      </c>
      <c r="L169">
        <f>IF($V169="","",Settings!$C$7)</f>
        <v/>
      </c>
      <c r="M169" s="7">
        <f>IF($V169="","",SUMIFS('Per Line'!$V$2:$V$1501,'Per Line'!$D$2:$D$1501,$B169,'Per Line'!$AM$2:$AM$1501,0,'Per Line'!$AN$2:$AN$1501,0))</f>
        <v/>
      </c>
      <c r="N169" s="7">
        <f>IF($V169="","",M169*L169)</f>
        <v/>
      </c>
      <c r="O169">
        <f>IF($V169="","",Settings!$C$6)</f>
        <v/>
      </c>
      <c r="P169" s="7">
        <f>IF($V169="","",SUMIFS('Per Line'!$V$2:$V$1501,'Per Line'!$D$2:$D$1501,$B169,'Per Line'!$AM$2:$AM$1501,1,'Per Line'!$AN$2:$AN$1501,0))</f>
        <v/>
      </c>
      <c r="Q169" s="7">
        <f>IF($V169="","",P169*O169)</f>
        <v/>
      </c>
      <c r="R169" s="7">
        <f>IF($V169="","",Q169+N169)</f>
        <v/>
      </c>
      <c r="S169" s="7">
        <f>IF($V169="","",T169-R169)</f>
        <v/>
      </c>
      <c r="T169" s="7">
        <f>IF($V169="","",M169+P169+K169)</f>
        <v/>
      </c>
      <c r="U169" s="7">
        <f>IF($V169="","",T169-R169-J169)</f>
        <v/>
      </c>
      <c r="V169" s="13">
        <f>IF(ROWS($V$2:$V169)&lt;=MAX('Per Line'!$AL$2:$AL$1501),MATCH(ROWS($V$2:$V169),'Per Line'!$AL$2:$AL$1501,0),"")</f>
        <v/>
      </c>
    </row>
    <row r="170">
      <c r="A170" s="12" t="n"/>
      <c r="B170">
        <f>IF($V170="","",INDEX('Per Line'!$D$2:$D$1501,$V170)&amp;"")</f>
        <v/>
      </c>
      <c r="C170">
        <f>IF($V170="","",INDEX('Per Line'!$A$2:$A$1501,$V170))</f>
        <v/>
      </c>
      <c r="D170">
        <f>IF($V170="","",INDEX('Per Line'!$Z$2:$Z$1501,$V170)&amp;"")</f>
        <v/>
      </c>
      <c r="E170" s="11">
        <f>IF($V170="","",INDEX('Per Line'!$F$2:$F$1501,$V170))</f>
        <v/>
      </c>
      <c r="F170">
        <f>IF($V170="","",INDEX('Per Line'!$I$2:$I$1501,$V170)&amp;"")</f>
        <v/>
      </c>
      <c r="G170">
        <f>IF($V170="","",INDEX('Per Line'!$J$2:$J$1501,$V170)&amp;"")</f>
        <v/>
      </c>
      <c r="H170">
        <f>IF($V170="","",INDEX('Per Line'!$K$2:$K$1501,$V170)&amp;"")</f>
        <v/>
      </c>
      <c r="I170">
        <f>IF($V170="","",INDEX('Per Line'!$M$2:$M$1501,$V170))</f>
        <v/>
      </c>
      <c r="J170" s="7">
        <f>IF($V170="","",I170*T170/100)</f>
        <v/>
      </c>
      <c r="K170" s="7">
        <f>IF($V170="","",SUMIFS('Per Line'!$V$2:$V$1501,'Per Line'!$D$2:$D$1501,$B170,'Per Line'!$AN$2:$AN$1501,1))</f>
        <v/>
      </c>
      <c r="L170">
        <f>IF($V170="","",Settings!$C$7)</f>
        <v/>
      </c>
      <c r="M170" s="7">
        <f>IF($V170="","",SUMIFS('Per Line'!$V$2:$V$1501,'Per Line'!$D$2:$D$1501,$B170,'Per Line'!$AM$2:$AM$1501,0,'Per Line'!$AN$2:$AN$1501,0))</f>
        <v/>
      </c>
      <c r="N170" s="7">
        <f>IF($V170="","",M170*L170)</f>
        <v/>
      </c>
      <c r="O170">
        <f>IF($V170="","",Settings!$C$6)</f>
        <v/>
      </c>
      <c r="P170" s="7">
        <f>IF($V170="","",SUMIFS('Per Line'!$V$2:$V$1501,'Per Line'!$D$2:$D$1501,$B170,'Per Line'!$AM$2:$AM$1501,1,'Per Line'!$AN$2:$AN$1501,0))</f>
        <v/>
      </c>
      <c r="Q170" s="7">
        <f>IF($V170="","",P170*O170)</f>
        <v/>
      </c>
      <c r="R170" s="7">
        <f>IF($V170="","",Q170+N170)</f>
        <v/>
      </c>
      <c r="S170" s="7">
        <f>IF($V170="","",T170-R170)</f>
        <v/>
      </c>
      <c r="T170" s="7">
        <f>IF($V170="","",M170+P170+K170)</f>
        <v/>
      </c>
      <c r="U170" s="7">
        <f>IF($V170="","",T170-R170-J170)</f>
        <v/>
      </c>
      <c r="V170" s="13">
        <f>IF(ROWS($V$2:$V170)&lt;=MAX('Per Line'!$AL$2:$AL$1501),MATCH(ROWS($V$2:$V170),'Per Line'!$AL$2:$AL$1501,0),"")</f>
        <v/>
      </c>
    </row>
    <row r="171">
      <c r="A171" s="12" t="n"/>
      <c r="B171">
        <f>IF($V171="","",INDEX('Per Line'!$D$2:$D$1501,$V171)&amp;"")</f>
        <v/>
      </c>
      <c r="C171">
        <f>IF($V171="","",INDEX('Per Line'!$A$2:$A$1501,$V171))</f>
        <v/>
      </c>
      <c r="D171">
        <f>IF($V171="","",INDEX('Per Line'!$Z$2:$Z$1501,$V171)&amp;"")</f>
        <v/>
      </c>
      <c r="E171" s="11">
        <f>IF($V171="","",INDEX('Per Line'!$F$2:$F$1501,$V171))</f>
        <v/>
      </c>
      <c r="F171">
        <f>IF($V171="","",INDEX('Per Line'!$I$2:$I$1501,$V171)&amp;"")</f>
        <v/>
      </c>
      <c r="G171">
        <f>IF($V171="","",INDEX('Per Line'!$J$2:$J$1501,$V171)&amp;"")</f>
        <v/>
      </c>
      <c r="H171">
        <f>IF($V171="","",INDEX('Per Line'!$K$2:$K$1501,$V171)&amp;"")</f>
        <v/>
      </c>
      <c r="I171">
        <f>IF($V171="","",INDEX('Per Line'!$M$2:$M$1501,$V171))</f>
        <v/>
      </c>
      <c r="J171" s="7">
        <f>IF($V171="","",I171*T171/100)</f>
        <v/>
      </c>
      <c r="K171" s="7">
        <f>IF($V171="","",SUMIFS('Per Line'!$V$2:$V$1501,'Per Line'!$D$2:$D$1501,$B171,'Per Line'!$AN$2:$AN$1501,1))</f>
        <v/>
      </c>
      <c r="L171">
        <f>IF($V171="","",Settings!$C$7)</f>
        <v/>
      </c>
      <c r="M171" s="7">
        <f>IF($V171="","",SUMIFS('Per Line'!$V$2:$V$1501,'Per Line'!$D$2:$D$1501,$B171,'Per Line'!$AM$2:$AM$1501,0,'Per Line'!$AN$2:$AN$1501,0))</f>
        <v/>
      </c>
      <c r="N171" s="7">
        <f>IF($V171="","",M171*L171)</f>
        <v/>
      </c>
      <c r="O171">
        <f>IF($V171="","",Settings!$C$6)</f>
        <v/>
      </c>
      <c r="P171" s="7">
        <f>IF($V171="","",SUMIFS('Per Line'!$V$2:$V$1501,'Per Line'!$D$2:$D$1501,$B171,'Per Line'!$AM$2:$AM$1501,1,'Per Line'!$AN$2:$AN$1501,0))</f>
        <v/>
      </c>
      <c r="Q171" s="7">
        <f>IF($V171="","",P171*O171)</f>
        <v/>
      </c>
      <c r="R171" s="7">
        <f>IF($V171="","",Q171+N171)</f>
        <v/>
      </c>
      <c r="S171" s="7">
        <f>IF($V171="","",T171-R171)</f>
        <v/>
      </c>
      <c r="T171" s="7">
        <f>IF($V171="","",M171+P171+K171)</f>
        <v/>
      </c>
      <c r="U171" s="7">
        <f>IF($V171="","",T171-R171-J171)</f>
        <v/>
      </c>
      <c r="V171" s="13">
        <f>IF(ROWS($V$2:$V171)&lt;=MAX('Per Line'!$AL$2:$AL$1501),MATCH(ROWS($V$2:$V171),'Per Line'!$AL$2:$AL$1501,0),"")</f>
        <v/>
      </c>
    </row>
    <row r="172">
      <c r="A172" s="12" t="n"/>
      <c r="B172">
        <f>IF($V172="","",INDEX('Per Line'!$D$2:$D$1501,$V172)&amp;"")</f>
        <v/>
      </c>
      <c r="C172">
        <f>IF($V172="","",INDEX('Per Line'!$A$2:$A$1501,$V172))</f>
        <v/>
      </c>
      <c r="D172">
        <f>IF($V172="","",INDEX('Per Line'!$Z$2:$Z$1501,$V172)&amp;"")</f>
        <v/>
      </c>
      <c r="E172" s="11">
        <f>IF($V172="","",INDEX('Per Line'!$F$2:$F$1501,$V172))</f>
        <v/>
      </c>
      <c r="F172">
        <f>IF($V172="","",INDEX('Per Line'!$I$2:$I$1501,$V172)&amp;"")</f>
        <v/>
      </c>
      <c r="G172">
        <f>IF($V172="","",INDEX('Per Line'!$J$2:$J$1501,$V172)&amp;"")</f>
        <v/>
      </c>
      <c r="H172">
        <f>IF($V172="","",INDEX('Per Line'!$K$2:$K$1501,$V172)&amp;"")</f>
        <v/>
      </c>
      <c r="I172">
        <f>IF($V172="","",INDEX('Per Line'!$M$2:$M$1501,$V172))</f>
        <v/>
      </c>
      <c r="J172" s="7">
        <f>IF($V172="","",I172*T172/100)</f>
        <v/>
      </c>
      <c r="K172" s="7">
        <f>IF($V172="","",SUMIFS('Per Line'!$V$2:$V$1501,'Per Line'!$D$2:$D$1501,$B172,'Per Line'!$AN$2:$AN$1501,1))</f>
        <v/>
      </c>
      <c r="L172">
        <f>IF($V172="","",Settings!$C$7)</f>
        <v/>
      </c>
      <c r="M172" s="7">
        <f>IF($V172="","",SUMIFS('Per Line'!$V$2:$V$1501,'Per Line'!$D$2:$D$1501,$B172,'Per Line'!$AM$2:$AM$1501,0,'Per Line'!$AN$2:$AN$1501,0))</f>
        <v/>
      </c>
      <c r="N172" s="7">
        <f>IF($V172="","",M172*L172)</f>
        <v/>
      </c>
      <c r="O172">
        <f>IF($V172="","",Settings!$C$6)</f>
        <v/>
      </c>
      <c r="P172" s="7">
        <f>IF($V172="","",SUMIFS('Per Line'!$V$2:$V$1501,'Per Line'!$D$2:$D$1501,$B172,'Per Line'!$AM$2:$AM$1501,1,'Per Line'!$AN$2:$AN$1501,0))</f>
        <v/>
      </c>
      <c r="Q172" s="7">
        <f>IF($V172="","",P172*O172)</f>
        <v/>
      </c>
      <c r="R172" s="7">
        <f>IF($V172="","",Q172+N172)</f>
        <v/>
      </c>
      <c r="S172" s="7">
        <f>IF($V172="","",T172-R172)</f>
        <v/>
      </c>
      <c r="T172" s="7">
        <f>IF($V172="","",M172+P172+K172)</f>
        <v/>
      </c>
      <c r="U172" s="7">
        <f>IF($V172="","",T172-R172-J172)</f>
        <v/>
      </c>
      <c r="V172" s="13">
        <f>IF(ROWS($V$2:$V172)&lt;=MAX('Per Line'!$AL$2:$AL$1501),MATCH(ROWS($V$2:$V172),'Per Line'!$AL$2:$AL$1501,0),"")</f>
        <v/>
      </c>
    </row>
    <row r="173">
      <c r="A173" s="12" t="n"/>
      <c r="B173">
        <f>IF($V173="","",INDEX('Per Line'!$D$2:$D$1501,$V173)&amp;"")</f>
        <v/>
      </c>
      <c r="C173">
        <f>IF($V173="","",INDEX('Per Line'!$A$2:$A$1501,$V173))</f>
        <v/>
      </c>
      <c r="D173">
        <f>IF($V173="","",INDEX('Per Line'!$Z$2:$Z$1501,$V173)&amp;"")</f>
        <v/>
      </c>
      <c r="E173" s="11">
        <f>IF($V173="","",INDEX('Per Line'!$F$2:$F$1501,$V173))</f>
        <v/>
      </c>
      <c r="F173">
        <f>IF($V173="","",INDEX('Per Line'!$I$2:$I$1501,$V173)&amp;"")</f>
        <v/>
      </c>
      <c r="G173">
        <f>IF($V173="","",INDEX('Per Line'!$J$2:$J$1501,$V173)&amp;"")</f>
        <v/>
      </c>
      <c r="H173">
        <f>IF($V173="","",INDEX('Per Line'!$K$2:$K$1501,$V173)&amp;"")</f>
        <v/>
      </c>
      <c r="I173">
        <f>IF($V173="","",INDEX('Per Line'!$M$2:$M$1501,$V173))</f>
        <v/>
      </c>
      <c r="J173" s="7">
        <f>IF($V173="","",I173*T173/100)</f>
        <v/>
      </c>
      <c r="K173" s="7">
        <f>IF($V173="","",SUMIFS('Per Line'!$V$2:$V$1501,'Per Line'!$D$2:$D$1501,$B173,'Per Line'!$AN$2:$AN$1501,1))</f>
        <v/>
      </c>
      <c r="L173">
        <f>IF($V173="","",Settings!$C$7)</f>
        <v/>
      </c>
      <c r="M173" s="7">
        <f>IF($V173="","",SUMIFS('Per Line'!$V$2:$V$1501,'Per Line'!$D$2:$D$1501,$B173,'Per Line'!$AM$2:$AM$1501,0,'Per Line'!$AN$2:$AN$1501,0))</f>
        <v/>
      </c>
      <c r="N173" s="7">
        <f>IF($V173="","",M173*L173)</f>
        <v/>
      </c>
      <c r="O173">
        <f>IF($V173="","",Settings!$C$6)</f>
        <v/>
      </c>
      <c r="P173" s="7">
        <f>IF($V173="","",SUMIFS('Per Line'!$V$2:$V$1501,'Per Line'!$D$2:$D$1501,$B173,'Per Line'!$AM$2:$AM$1501,1,'Per Line'!$AN$2:$AN$1501,0))</f>
        <v/>
      </c>
      <c r="Q173" s="7">
        <f>IF($V173="","",P173*O173)</f>
        <v/>
      </c>
      <c r="R173" s="7">
        <f>IF($V173="","",Q173+N173)</f>
        <v/>
      </c>
      <c r="S173" s="7">
        <f>IF($V173="","",T173-R173)</f>
        <v/>
      </c>
      <c r="T173" s="7">
        <f>IF($V173="","",M173+P173+K173)</f>
        <v/>
      </c>
      <c r="U173" s="7">
        <f>IF($V173="","",T173-R173-J173)</f>
        <v/>
      </c>
      <c r="V173" s="13">
        <f>IF(ROWS($V$2:$V173)&lt;=MAX('Per Line'!$AL$2:$AL$1501),MATCH(ROWS($V$2:$V173),'Per Line'!$AL$2:$AL$1501,0),"")</f>
        <v/>
      </c>
    </row>
    <row r="174">
      <c r="A174" s="12" t="n"/>
      <c r="B174">
        <f>IF($V174="","",INDEX('Per Line'!$D$2:$D$1501,$V174)&amp;"")</f>
        <v/>
      </c>
      <c r="C174">
        <f>IF($V174="","",INDEX('Per Line'!$A$2:$A$1501,$V174))</f>
        <v/>
      </c>
      <c r="D174">
        <f>IF($V174="","",INDEX('Per Line'!$Z$2:$Z$1501,$V174)&amp;"")</f>
        <v/>
      </c>
      <c r="E174" s="11">
        <f>IF($V174="","",INDEX('Per Line'!$F$2:$F$1501,$V174))</f>
        <v/>
      </c>
      <c r="F174">
        <f>IF($V174="","",INDEX('Per Line'!$I$2:$I$1501,$V174)&amp;"")</f>
        <v/>
      </c>
      <c r="G174">
        <f>IF($V174="","",INDEX('Per Line'!$J$2:$J$1501,$V174)&amp;"")</f>
        <v/>
      </c>
      <c r="H174">
        <f>IF($V174="","",INDEX('Per Line'!$K$2:$K$1501,$V174)&amp;"")</f>
        <v/>
      </c>
      <c r="I174">
        <f>IF($V174="","",INDEX('Per Line'!$M$2:$M$1501,$V174))</f>
        <v/>
      </c>
      <c r="J174" s="7">
        <f>IF($V174="","",I174*T174/100)</f>
        <v/>
      </c>
      <c r="K174" s="7">
        <f>IF($V174="","",SUMIFS('Per Line'!$V$2:$V$1501,'Per Line'!$D$2:$D$1501,$B174,'Per Line'!$AN$2:$AN$1501,1))</f>
        <v/>
      </c>
      <c r="L174">
        <f>IF($V174="","",Settings!$C$7)</f>
        <v/>
      </c>
      <c r="M174" s="7">
        <f>IF($V174="","",SUMIFS('Per Line'!$V$2:$V$1501,'Per Line'!$D$2:$D$1501,$B174,'Per Line'!$AM$2:$AM$1501,0,'Per Line'!$AN$2:$AN$1501,0))</f>
        <v/>
      </c>
      <c r="N174" s="7">
        <f>IF($V174="","",M174*L174)</f>
        <v/>
      </c>
      <c r="O174">
        <f>IF($V174="","",Settings!$C$6)</f>
        <v/>
      </c>
      <c r="P174" s="7">
        <f>IF($V174="","",SUMIFS('Per Line'!$V$2:$V$1501,'Per Line'!$D$2:$D$1501,$B174,'Per Line'!$AM$2:$AM$1501,1,'Per Line'!$AN$2:$AN$1501,0))</f>
        <v/>
      </c>
      <c r="Q174" s="7">
        <f>IF($V174="","",P174*O174)</f>
        <v/>
      </c>
      <c r="R174" s="7">
        <f>IF($V174="","",Q174+N174)</f>
        <v/>
      </c>
      <c r="S174" s="7">
        <f>IF($V174="","",T174-R174)</f>
        <v/>
      </c>
      <c r="T174" s="7">
        <f>IF($V174="","",M174+P174+K174)</f>
        <v/>
      </c>
      <c r="U174" s="7">
        <f>IF($V174="","",T174-R174-J174)</f>
        <v/>
      </c>
      <c r="V174" s="13">
        <f>IF(ROWS($V$2:$V174)&lt;=MAX('Per Line'!$AL$2:$AL$1501),MATCH(ROWS($V$2:$V174),'Per Line'!$AL$2:$AL$1501,0),"")</f>
        <v/>
      </c>
    </row>
    <row r="175">
      <c r="A175" s="12" t="n"/>
      <c r="B175">
        <f>IF($V175="","",INDEX('Per Line'!$D$2:$D$1501,$V175)&amp;"")</f>
        <v/>
      </c>
      <c r="C175">
        <f>IF($V175="","",INDEX('Per Line'!$A$2:$A$1501,$V175))</f>
        <v/>
      </c>
      <c r="D175">
        <f>IF($V175="","",INDEX('Per Line'!$Z$2:$Z$1501,$V175)&amp;"")</f>
        <v/>
      </c>
      <c r="E175" s="11">
        <f>IF($V175="","",INDEX('Per Line'!$F$2:$F$1501,$V175))</f>
        <v/>
      </c>
      <c r="F175">
        <f>IF($V175="","",INDEX('Per Line'!$I$2:$I$1501,$V175)&amp;"")</f>
        <v/>
      </c>
      <c r="G175">
        <f>IF($V175="","",INDEX('Per Line'!$J$2:$J$1501,$V175)&amp;"")</f>
        <v/>
      </c>
      <c r="H175">
        <f>IF($V175="","",INDEX('Per Line'!$K$2:$K$1501,$V175)&amp;"")</f>
        <v/>
      </c>
      <c r="I175">
        <f>IF($V175="","",INDEX('Per Line'!$M$2:$M$1501,$V175))</f>
        <v/>
      </c>
      <c r="J175" s="7">
        <f>IF($V175="","",I175*T175/100)</f>
        <v/>
      </c>
      <c r="K175" s="7">
        <f>IF($V175="","",SUMIFS('Per Line'!$V$2:$V$1501,'Per Line'!$D$2:$D$1501,$B175,'Per Line'!$AN$2:$AN$1501,1))</f>
        <v/>
      </c>
      <c r="L175">
        <f>IF($V175="","",Settings!$C$7)</f>
        <v/>
      </c>
      <c r="M175" s="7">
        <f>IF($V175="","",SUMIFS('Per Line'!$V$2:$V$1501,'Per Line'!$D$2:$D$1501,$B175,'Per Line'!$AM$2:$AM$1501,0,'Per Line'!$AN$2:$AN$1501,0))</f>
        <v/>
      </c>
      <c r="N175" s="7">
        <f>IF($V175="","",M175*L175)</f>
        <v/>
      </c>
      <c r="O175">
        <f>IF($V175="","",Settings!$C$6)</f>
        <v/>
      </c>
      <c r="P175" s="7">
        <f>IF($V175="","",SUMIFS('Per Line'!$V$2:$V$1501,'Per Line'!$D$2:$D$1501,$B175,'Per Line'!$AM$2:$AM$1501,1,'Per Line'!$AN$2:$AN$1501,0))</f>
        <v/>
      </c>
      <c r="Q175" s="7">
        <f>IF($V175="","",P175*O175)</f>
        <v/>
      </c>
      <c r="R175" s="7">
        <f>IF($V175="","",Q175+N175)</f>
        <v/>
      </c>
      <c r="S175" s="7">
        <f>IF($V175="","",T175-R175)</f>
        <v/>
      </c>
      <c r="T175" s="7">
        <f>IF($V175="","",M175+P175+K175)</f>
        <v/>
      </c>
      <c r="U175" s="7">
        <f>IF($V175="","",T175-R175-J175)</f>
        <v/>
      </c>
      <c r="V175" s="13">
        <f>IF(ROWS($V$2:$V175)&lt;=MAX('Per Line'!$AL$2:$AL$1501),MATCH(ROWS($V$2:$V175),'Per Line'!$AL$2:$AL$1501,0),"")</f>
        <v/>
      </c>
    </row>
    <row r="176">
      <c r="A176" s="12" t="n"/>
      <c r="B176">
        <f>IF($V176="","",INDEX('Per Line'!$D$2:$D$1501,$V176)&amp;"")</f>
        <v/>
      </c>
      <c r="C176">
        <f>IF($V176="","",INDEX('Per Line'!$A$2:$A$1501,$V176))</f>
        <v/>
      </c>
      <c r="D176">
        <f>IF($V176="","",INDEX('Per Line'!$Z$2:$Z$1501,$V176)&amp;"")</f>
        <v/>
      </c>
      <c r="E176" s="11">
        <f>IF($V176="","",INDEX('Per Line'!$F$2:$F$1501,$V176))</f>
        <v/>
      </c>
      <c r="F176">
        <f>IF($V176="","",INDEX('Per Line'!$I$2:$I$1501,$V176)&amp;"")</f>
        <v/>
      </c>
      <c r="G176">
        <f>IF($V176="","",INDEX('Per Line'!$J$2:$J$1501,$V176)&amp;"")</f>
        <v/>
      </c>
      <c r="H176">
        <f>IF($V176="","",INDEX('Per Line'!$K$2:$K$1501,$V176)&amp;"")</f>
        <v/>
      </c>
      <c r="I176">
        <f>IF($V176="","",INDEX('Per Line'!$M$2:$M$1501,$V176))</f>
        <v/>
      </c>
      <c r="J176" s="7">
        <f>IF($V176="","",I176*T176/100)</f>
        <v/>
      </c>
      <c r="K176" s="7">
        <f>IF($V176="","",SUMIFS('Per Line'!$V$2:$V$1501,'Per Line'!$D$2:$D$1501,$B176,'Per Line'!$AN$2:$AN$1501,1))</f>
        <v/>
      </c>
      <c r="L176">
        <f>IF($V176="","",Settings!$C$7)</f>
        <v/>
      </c>
      <c r="M176" s="7">
        <f>IF($V176="","",SUMIFS('Per Line'!$V$2:$V$1501,'Per Line'!$D$2:$D$1501,$B176,'Per Line'!$AM$2:$AM$1501,0,'Per Line'!$AN$2:$AN$1501,0))</f>
        <v/>
      </c>
      <c r="N176" s="7">
        <f>IF($V176="","",M176*L176)</f>
        <v/>
      </c>
      <c r="O176">
        <f>IF($V176="","",Settings!$C$6)</f>
        <v/>
      </c>
      <c r="P176" s="7">
        <f>IF($V176="","",SUMIFS('Per Line'!$V$2:$V$1501,'Per Line'!$D$2:$D$1501,$B176,'Per Line'!$AM$2:$AM$1501,1,'Per Line'!$AN$2:$AN$1501,0))</f>
        <v/>
      </c>
      <c r="Q176" s="7">
        <f>IF($V176="","",P176*O176)</f>
        <v/>
      </c>
      <c r="R176" s="7">
        <f>IF($V176="","",Q176+N176)</f>
        <v/>
      </c>
      <c r="S176" s="7">
        <f>IF($V176="","",T176-R176)</f>
        <v/>
      </c>
      <c r="T176" s="7">
        <f>IF($V176="","",M176+P176+K176)</f>
        <v/>
      </c>
      <c r="U176" s="7">
        <f>IF($V176="","",T176-R176-J176)</f>
        <v/>
      </c>
      <c r="V176" s="13">
        <f>IF(ROWS($V$2:$V176)&lt;=MAX('Per Line'!$AL$2:$AL$1501),MATCH(ROWS($V$2:$V176),'Per Line'!$AL$2:$AL$1501,0),"")</f>
        <v/>
      </c>
    </row>
    <row r="177">
      <c r="A177" s="12" t="n"/>
      <c r="B177">
        <f>IF($V177="","",INDEX('Per Line'!$D$2:$D$1501,$V177)&amp;"")</f>
        <v/>
      </c>
      <c r="C177">
        <f>IF($V177="","",INDEX('Per Line'!$A$2:$A$1501,$V177))</f>
        <v/>
      </c>
      <c r="D177">
        <f>IF($V177="","",INDEX('Per Line'!$Z$2:$Z$1501,$V177)&amp;"")</f>
        <v/>
      </c>
      <c r="E177" s="11">
        <f>IF($V177="","",INDEX('Per Line'!$F$2:$F$1501,$V177))</f>
        <v/>
      </c>
      <c r="F177">
        <f>IF($V177="","",INDEX('Per Line'!$I$2:$I$1501,$V177)&amp;"")</f>
        <v/>
      </c>
      <c r="G177">
        <f>IF($V177="","",INDEX('Per Line'!$J$2:$J$1501,$V177)&amp;"")</f>
        <v/>
      </c>
      <c r="H177">
        <f>IF($V177="","",INDEX('Per Line'!$K$2:$K$1501,$V177)&amp;"")</f>
        <v/>
      </c>
      <c r="I177">
        <f>IF($V177="","",INDEX('Per Line'!$M$2:$M$1501,$V177))</f>
        <v/>
      </c>
      <c r="J177" s="7">
        <f>IF($V177="","",I177*T177/100)</f>
        <v/>
      </c>
      <c r="K177" s="7">
        <f>IF($V177="","",SUMIFS('Per Line'!$V$2:$V$1501,'Per Line'!$D$2:$D$1501,$B177,'Per Line'!$AN$2:$AN$1501,1))</f>
        <v/>
      </c>
      <c r="L177">
        <f>IF($V177="","",Settings!$C$7)</f>
        <v/>
      </c>
      <c r="M177" s="7">
        <f>IF($V177="","",SUMIFS('Per Line'!$V$2:$V$1501,'Per Line'!$D$2:$D$1501,$B177,'Per Line'!$AM$2:$AM$1501,0,'Per Line'!$AN$2:$AN$1501,0))</f>
        <v/>
      </c>
      <c r="N177" s="7">
        <f>IF($V177="","",M177*L177)</f>
        <v/>
      </c>
      <c r="O177">
        <f>IF($V177="","",Settings!$C$6)</f>
        <v/>
      </c>
      <c r="P177" s="7">
        <f>IF($V177="","",SUMIFS('Per Line'!$V$2:$V$1501,'Per Line'!$D$2:$D$1501,$B177,'Per Line'!$AM$2:$AM$1501,1,'Per Line'!$AN$2:$AN$1501,0))</f>
        <v/>
      </c>
      <c r="Q177" s="7">
        <f>IF($V177="","",P177*O177)</f>
        <v/>
      </c>
      <c r="R177" s="7">
        <f>IF($V177="","",Q177+N177)</f>
        <v/>
      </c>
      <c r="S177" s="7">
        <f>IF($V177="","",T177-R177)</f>
        <v/>
      </c>
      <c r="T177" s="7">
        <f>IF($V177="","",M177+P177+K177)</f>
        <v/>
      </c>
      <c r="U177" s="7">
        <f>IF($V177="","",T177-R177-J177)</f>
        <v/>
      </c>
      <c r="V177" s="13">
        <f>IF(ROWS($V$2:$V177)&lt;=MAX('Per Line'!$AL$2:$AL$1501),MATCH(ROWS($V$2:$V177),'Per Line'!$AL$2:$AL$1501,0),"")</f>
        <v/>
      </c>
    </row>
    <row r="178">
      <c r="A178" s="12" t="n"/>
      <c r="B178">
        <f>IF($V178="","",INDEX('Per Line'!$D$2:$D$1501,$V178)&amp;"")</f>
        <v/>
      </c>
      <c r="C178">
        <f>IF($V178="","",INDEX('Per Line'!$A$2:$A$1501,$V178))</f>
        <v/>
      </c>
      <c r="D178">
        <f>IF($V178="","",INDEX('Per Line'!$Z$2:$Z$1501,$V178)&amp;"")</f>
        <v/>
      </c>
      <c r="E178" s="11">
        <f>IF($V178="","",INDEX('Per Line'!$F$2:$F$1501,$V178))</f>
        <v/>
      </c>
      <c r="F178">
        <f>IF($V178="","",INDEX('Per Line'!$I$2:$I$1501,$V178)&amp;"")</f>
        <v/>
      </c>
      <c r="G178">
        <f>IF($V178="","",INDEX('Per Line'!$J$2:$J$1501,$V178)&amp;"")</f>
        <v/>
      </c>
      <c r="H178">
        <f>IF($V178="","",INDEX('Per Line'!$K$2:$K$1501,$V178)&amp;"")</f>
        <v/>
      </c>
      <c r="I178">
        <f>IF($V178="","",INDEX('Per Line'!$M$2:$M$1501,$V178))</f>
        <v/>
      </c>
      <c r="J178" s="7">
        <f>IF($V178="","",I178*T178/100)</f>
        <v/>
      </c>
      <c r="K178" s="7">
        <f>IF($V178="","",SUMIFS('Per Line'!$V$2:$V$1501,'Per Line'!$D$2:$D$1501,$B178,'Per Line'!$AN$2:$AN$1501,1))</f>
        <v/>
      </c>
      <c r="L178">
        <f>IF($V178="","",Settings!$C$7)</f>
        <v/>
      </c>
      <c r="M178" s="7">
        <f>IF($V178="","",SUMIFS('Per Line'!$V$2:$V$1501,'Per Line'!$D$2:$D$1501,$B178,'Per Line'!$AM$2:$AM$1501,0,'Per Line'!$AN$2:$AN$1501,0))</f>
        <v/>
      </c>
      <c r="N178" s="7">
        <f>IF($V178="","",M178*L178)</f>
        <v/>
      </c>
      <c r="O178">
        <f>IF($V178="","",Settings!$C$6)</f>
        <v/>
      </c>
      <c r="P178" s="7">
        <f>IF($V178="","",SUMIFS('Per Line'!$V$2:$V$1501,'Per Line'!$D$2:$D$1501,$B178,'Per Line'!$AM$2:$AM$1501,1,'Per Line'!$AN$2:$AN$1501,0))</f>
        <v/>
      </c>
      <c r="Q178" s="7">
        <f>IF($V178="","",P178*O178)</f>
        <v/>
      </c>
      <c r="R178" s="7">
        <f>IF($V178="","",Q178+N178)</f>
        <v/>
      </c>
      <c r="S178" s="7">
        <f>IF($V178="","",T178-R178)</f>
        <v/>
      </c>
      <c r="T178" s="7">
        <f>IF($V178="","",M178+P178+K178)</f>
        <v/>
      </c>
      <c r="U178" s="7">
        <f>IF($V178="","",T178-R178-J178)</f>
        <v/>
      </c>
      <c r="V178" s="13">
        <f>IF(ROWS($V$2:$V178)&lt;=MAX('Per Line'!$AL$2:$AL$1501),MATCH(ROWS($V$2:$V178),'Per Line'!$AL$2:$AL$1501,0),"")</f>
        <v/>
      </c>
    </row>
    <row r="179">
      <c r="A179" s="12" t="n"/>
      <c r="B179">
        <f>IF($V179="","",INDEX('Per Line'!$D$2:$D$1501,$V179)&amp;"")</f>
        <v/>
      </c>
      <c r="C179">
        <f>IF($V179="","",INDEX('Per Line'!$A$2:$A$1501,$V179))</f>
        <v/>
      </c>
      <c r="D179">
        <f>IF($V179="","",INDEX('Per Line'!$Z$2:$Z$1501,$V179)&amp;"")</f>
        <v/>
      </c>
      <c r="E179" s="11">
        <f>IF($V179="","",INDEX('Per Line'!$F$2:$F$1501,$V179))</f>
        <v/>
      </c>
      <c r="F179">
        <f>IF($V179="","",INDEX('Per Line'!$I$2:$I$1501,$V179)&amp;"")</f>
        <v/>
      </c>
      <c r="G179">
        <f>IF($V179="","",INDEX('Per Line'!$J$2:$J$1501,$V179)&amp;"")</f>
        <v/>
      </c>
      <c r="H179">
        <f>IF($V179="","",INDEX('Per Line'!$K$2:$K$1501,$V179)&amp;"")</f>
        <v/>
      </c>
      <c r="I179">
        <f>IF($V179="","",INDEX('Per Line'!$M$2:$M$1501,$V179))</f>
        <v/>
      </c>
      <c r="J179" s="7">
        <f>IF($V179="","",I179*T179/100)</f>
        <v/>
      </c>
      <c r="K179" s="7">
        <f>IF($V179="","",SUMIFS('Per Line'!$V$2:$V$1501,'Per Line'!$D$2:$D$1501,$B179,'Per Line'!$AN$2:$AN$1501,1))</f>
        <v/>
      </c>
      <c r="L179">
        <f>IF($V179="","",Settings!$C$7)</f>
        <v/>
      </c>
      <c r="M179" s="7">
        <f>IF($V179="","",SUMIFS('Per Line'!$V$2:$V$1501,'Per Line'!$D$2:$D$1501,$B179,'Per Line'!$AM$2:$AM$1501,0,'Per Line'!$AN$2:$AN$1501,0))</f>
        <v/>
      </c>
      <c r="N179" s="7">
        <f>IF($V179="","",M179*L179)</f>
        <v/>
      </c>
      <c r="O179">
        <f>IF($V179="","",Settings!$C$6)</f>
        <v/>
      </c>
      <c r="P179" s="7">
        <f>IF($V179="","",SUMIFS('Per Line'!$V$2:$V$1501,'Per Line'!$D$2:$D$1501,$B179,'Per Line'!$AM$2:$AM$1501,1,'Per Line'!$AN$2:$AN$1501,0))</f>
        <v/>
      </c>
      <c r="Q179" s="7">
        <f>IF($V179="","",P179*O179)</f>
        <v/>
      </c>
      <c r="R179" s="7">
        <f>IF($V179="","",Q179+N179)</f>
        <v/>
      </c>
      <c r="S179" s="7">
        <f>IF($V179="","",T179-R179)</f>
        <v/>
      </c>
      <c r="T179" s="7">
        <f>IF($V179="","",M179+P179+K179)</f>
        <v/>
      </c>
      <c r="U179" s="7">
        <f>IF($V179="","",T179-R179-J179)</f>
        <v/>
      </c>
      <c r="V179" s="13">
        <f>IF(ROWS($V$2:$V179)&lt;=MAX('Per Line'!$AL$2:$AL$1501),MATCH(ROWS($V$2:$V179),'Per Line'!$AL$2:$AL$1501,0),"")</f>
        <v/>
      </c>
    </row>
    <row r="180">
      <c r="A180" s="12" t="n"/>
      <c r="B180">
        <f>IF($V180="","",INDEX('Per Line'!$D$2:$D$1501,$V180)&amp;"")</f>
        <v/>
      </c>
      <c r="C180">
        <f>IF($V180="","",INDEX('Per Line'!$A$2:$A$1501,$V180))</f>
        <v/>
      </c>
      <c r="D180">
        <f>IF($V180="","",INDEX('Per Line'!$Z$2:$Z$1501,$V180)&amp;"")</f>
        <v/>
      </c>
      <c r="E180" s="11">
        <f>IF($V180="","",INDEX('Per Line'!$F$2:$F$1501,$V180))</f>
        <v/>
      </c>
      <c r="F180">
        <f>IF($V180="","",INDEX('Per Line'!$I$2:$I$1501,$V180)&amp;"")</f>
        <v/>
      </c>
      <c r="G180">
        <f>IF($V180="","",INDEX('Per Line'!$J$2:$J$1501,$V180)&amp;"")</f>
        <v/>
      </c>
      <c r="H180">
        <f>IF($V180="","",INDEX('Per Line'!$K$2:$K$1501,$V180)&amp;"")</f>
        <v/>
      </c>
      <c r="I180">
        <f>IF($V180="","",INDEX('Per Line'!$M$2:$M$1501,$V180))</f>
        <v/>
      </c>
      <c r="J180" s="7">
        <f>IF($V180="","",I180*T180/100)</f>
        <v/>
      </c>
      <c r="K180" s="7">
        <f>IF($V180="","",SUMIFS('Per Line'!$V$2:$V$1501,'Per Line'!$D$2:$D$1501,$B180,'Per Line'!$AN$2:$AN$1501,1))</f>
        <v/>
      </c>
      <c r="L180">
        <f>IF($V180="","",Settings!$C$7)</f>
        <v/>
      </c>
      <c r="M180" s="7">
        <f>IF($V180="","",SUMIFS('Per Line'!$V$2:$V$1501,'Per Line'!$D$2:$D$1501,$B180,'Per Line'!$AM$2:$AM$1501,0,'Per Line'!$AN$2:$AN$1501,0))</f>
        <v/>
      </c>
      <c r="N180" s="7">
        <f>IF($V180="","",M180*L180)</f>
        <v/>
      </c>
      <c r="O180">
        <f>IF($V180="","",Settings!$C$6)</f>
        <v/>
      </c>
      <c r="P180" s="7">
        <f>IF($V180="","",SUMIFS('Per Line'!$V$2:$V$1501,'Per Line'!$D$2:$D$1501,$B180,'Per Line'!$AM$2:$AM$1501,1,'Per Line'!$AN$2:$AN$1501,0))</f>
        <v/>
      </c>
      <c r="Q180" s="7">
        <f>IF($V180="","",P180*O180)</f>
        <v/>
      </c>
      <c r="R180" s="7">
        <f>IF($V180="","",Q180+N180)</f>
        <v/>
      </c>
      <c r="S180" s="7">
        <f>IF($V180="","",T180-R180)</f>
        <v/>
      </c>
      <c r="T180" s="7">
        <f>IF($V180="","",M180+P180+K180)</f>
        <v/>
      </c>
      <c r="U180" s="7">
        <f>IF($V180="","",T180-R180-J180)</f>
        <v/>
      </c>
      <c r="V180" s="13">
        <f>IF(ROWS($V$2:$V180)&lt;=MAX('Per Line'!$AL$2:$AL$1501),MATCH(ROWS($V$2:$V180),'Per Line'!$AL$2:$AL$1501,0),"")</f>
        <v/>
      </c>
    </row>
    <row r="181">
      <c r="A181" s="12" t="n"/>
      <c r="B181">
        <f>IF($V181="","",INDEX('Per Line'!$D$2:$D$1501,$V181)&amp;"")</f>
        <v/>
      </c>
      <c r="C181">
        <f>IF($V181="","",INDEX('Per Line'!$A$2:$A$1501,$V181))</f>
        <v/>
      </c>
      <c r="D181">
        <f>IF($V181="","",INDEX('Per Line'!$Z$2:$Z$1501,$V181)&amp;"")</f>
        <v/>
      </c>
      <c r="E181" s="11">
        <f>IF($V181="","",INDEX('Per Line'!$F$2:$F$1501,$V181))</f>
        <v/>
      </c>
      <c r="F181">
        <f>IF($V181="","",INDEX('Per Line'!$I$2:$I$1501,$V181)&amp;"")</f>
        <v/>
      </c>
      <c r="G181">
        <f>IF($V181="","",INDEX('Per Line'!$J$2:$J$1501,$V181)&amp;"")</f>
        <v/>
      </c>
      <c r="H181">
        <f>IF($V181="","",INDEX('Per Line'!$K$2:$K$1501,$V181)&amp;"")</f>
        <v/>
      </c>
      <c r="I181">
        <f>IF($V181="","",INDEX('Per Line'!$M$2:$M$1501,$V181))</f>
        <v/>
      </c>
      <c r="J181" s="7">
        <f>IF($V181="","",I181*T181/100)</f>
        <v/>
      </c>
      <c r="K181" s="7">
        <f>IF($V181="","",SUMIFS('Per Line'!$V$2:$V$1501,'Per Line'!$D$2:$D$1501,$B181,'Per Line'!$AN$2:$AN$1501,1))</f>
        <v/>
      </c>
      <c r="L181">
        <f>IF($V181="","",Settings!$C$7)</f>
        <v/>
      </c>
      <c r="M181" s="7">
        <f>IF($V181="","",SUMIFS('Per Line'!$V$2:$V$1501,'Per Line'!$D$2:$D$1501,$B181,'Per Line'!$AM$2:$AM$1501,0,'Per Line'!$AN$2:$AN$1501,0))</f>
        <v/>
      </c>
      <c r="N181" s="7">
        <f>IF($V181="","",M181*L181)</f>
        <v/>
      </c>
      <c r="O181">
        <f>IF($V181="","",Settings!$C$6)</f>
        <v/>
      </c>
      <c r="P181" s="7">
        <f>IF($V181="","",SUMIFS('Per Line'!$V$2:$V$1501,'Per Line'!$D$2:$D$1501,$B181,'Per Line'!$AM$2:$AM$1501,1,'Per Line'!$AN$2:$AN$1501,0))</f>
        <v/>
      </c>
      <c r="Q181" s="7">
        <f>IF($V181="","",P181*O181)</f>
        <v/>
      </c>
      <c r="R181" s="7">
        <f>IF($V181="","",Q181+N181)</f>
        <v/>
      </c>
      <c r="S181" s="7">
        <f>IF($V181="","",T181-R181)</f>
        <v/>
      </c>
      <c r="T181" s="7">
        <f>IF($V181="","",M181+P181+K181)</f>
        <v/>
      </c>
      <c r="U181" s="7">
        <f>IF($V181="","",T181-R181-J181)</f>
        <v/>
      </c>
      <c r="V181" s="13">
        <f>IF(ROWS($V$2:$V181)&lt;=MAX('Per Line'!$AL$2:$AL$1501),MATCH(ROWS($V$2:$V181),'Per Line'!$AL$2:$AL$1501,0),"")</f>
        <v/>
      </c>
    </row>
    <row r="182">
      <c r="A182" s="12" t="n"/>
      <c r="B182">
        <f>IF($V182="","",INDEX('Per Line'!$D$2:$D$1501,$V182)&amp;"")</f>
        <v/>
      </c>
      <c r="C182">
        <f>IF($V182="","",INDEX('Per Line'!$A$2:$A$1501,$V182))</f>
        <v/>
      </c>
      <c r="D182">
        <f>IF($V182="","",INDEX('Per Line'!$Z$2:$Z$1501,$V182)&amp;"")</f>
        <v/>
      </c>
      <c r="E182" s="11">
        <f>IF($V182="","",INDEX('Per Line'!$F$2:$F$1501,$V182))</f>
        <v/>
      </c>
      <c r="F182">
        <f>IF($V182="","",INDEX('Per Line'!$I$2:$I$1501,$V182)&amp;"")</f>
        <v/>
      </c>
      <c r="G182">
        <f>IF($V182="","",INDEX('Per Line'!$J$2:$J$1501,$V182)&amp;"")</f>
        <v/>
      </c>
      <c r="H182">
        <f>IF($V182="","",INDEX('Per Line'!$K$2:$K$1501,$V182)&amp;"")</f>
        <v/>
      </c>
      <c r="I182">
        <f>IF($V182="","",INDEX('Per Line'!$M$2:$M$1501,$V182))</f>
        <v/>
      </c>
      <c r="J182" s="7">
        <f>IF($V182="","",I182*T182/100)</f>
        <v/>
      </c>
      <c r="K182" s="7">
        <f>IF($V182="","",SUMIFS('Per Line'!$V$2:$V$1501,'Per Line'!$D$2:$D$1501,$B182,'Per Line'!$AN$2:$AN$1501,1))</f>
        <v/>
      </c>
      <c r="L182">
        <f>IF($V182="","",Settings!$C$7)</f>
        <v/>
      </c>
      <c r="M182" s="7">
        <f>IF($V182="","",SUMIFS('Per Line'!$V$2:$V$1501,'Per Line'!$D$2:$D$1501,$B182,'Per Line'!$AM$2:$AM$1501,0,'Per Line'!$AN$2:$AN$1501,0))</f>
        <v/>
      </c>
      <c r="N182" s="7">
        <f>IF($V182="","",M182*L182)</f>
        <v/>
      </c>
      <c r="O182">
        <f>IF($V182="","",Settings!$C$6)</f>
        <v/>
      </c>
      <c r="P182" s="7">
        <f>IF($V182="","",SUMIFS('Per Line'!$V$2:$V$1501,'Per Line'!$D$2:$D$1501,$B182,'Per Line'!$AM$2:$AM$1501,1,'Per Line'!$AN$2:$AN$1501,0))</f>
        <v/>
      </c>
      <c r="Q182" s="7">
        <f>IF($V182="","",P182*O182)</f>
        <v/>
      </c>
      <c r="R182" s="7">
        <f>IF($V182="","",Q182+N182)</f>
        <v/>
      </c>
      <c r="S182" s="7">
        <f>IF($V182="","",T182-R182)</f>
        <v/>
      </c>
      <c r="T182" s="7">
        <f>IF($V182="","",M182+P182+K182)</f>
        <v/>
      </c>
      <c r="U182" s="7">
        <f>IF($V182="","",T182-R182-J182)</f>
        <v/>
      </c>
      <c r="V182" s="13">
        <f>IF(ROWS($V$2:$V182)&lt;=MAX('Per Line'!$AL$2:$AL$1501),MATCH(ROWS($V$2:$V182),'Per Line'!$AL$2:$AL$1501,0),"")</f>
        <v/>
      </c>
    </row>
    <row r="183">
      <c r="A183" s="12" t="n"/>
      <c r="B183">
        <f>IF($V183="","",INDEX('Per Line'!$D$2:$D$1501,$V183)&amp;"")</f>
        <v/>
      </c>
      <c r="C183">
        <f>IF($V183="","",INDEX('Per Line'!$A$2:$A$1501,$V183))</f>
        <v/>
      </c>
      <c r="D183">
        <f>IF($V183="","",INDEX('Per Line'!$Z$2:$Z$1501,$V183)&amp;"")</f>
        <v/>
      </c>
      <c r="E183" s="11">
        <f>IF($V183="","",INDEX('Per Line'!$F$2:$F$1501,$V183))</f>
        <v/>
      </c>
      <c r="F183">
        <f>IF($V183="","",INDEX('Per Line'!$I$2:$I$1501,$V183)&amp;"")</f>
        <v/>
      </c>
      <c r="G183">
        <f>IF($V183="","",INDEX('Per Line'!$J$2:$J$1501,$V183)&amp;"")</f>
        <v/>
      </c>
      <c r="H183">
        <f>IF($V183="","",INDEX('Per Line'!$K$2:$K$1501,$V183)&amp;"")</f>
        <v/>
      </c>
      <c r="I183">
        <f>IF($V183="","",INDEX('Per Line'!$M$2:$M$1501,$V183))</f>
        <v/>
      </c>
      <c r="J183" s="7">
        <f>IF($V183="","",I183*T183/100)</f>
        <v/>
      </c>
      <c r="K183" s="7">
        <f>IF($V183="","",SUMIFS('Per Line'!$V$2:$V$1501,'Per Line'!$D$2:$D$1501,$B183,'Per Line'!$AN$2:$AN$1501,1))</f>
        <v/>
      </c>
      <c r="L183">
        <f>IF($V183="","",Settings!$C$7)</f>
        <v/>
      </c>
      <c r="M183" s="7">
        <f>IF($V183="","",SUMIFS('Per Line'!$V$2:$V$1501,'Per Line'!$D$2:$D$1501,$B183,'Per Line'!$AM$2:$AM$1501,0,'Per Line'!$AN$2:$AN$1501,0))</f>
        <v/>
      </c>
      <c r="N183" s="7">
        <f>IF($V183="","",M183*L183)</f>
        <v/>
      </c>
      <c r="O183">
        <f>IF($V183="","",Settings!$C$6)</f>
        <v/>
      </c>
      <c r="P183" s="7">
        <f>IF($V183="","",SUMIFS('Per Line'!$V$2:$V$1501,'Per Line'!$D$2:$D$1501,$B183,'Per Line'!$AM$2:$AM$1501,1,'Per Line'!$AN$2:$AN$1501,0))</f>
        <v/>
      </c>
      <c r="Q183" s="7">
        <f>IF($V183="","",P183*O183)</f>
        <v/>
      </c>
      <c r="R183" s="7">
        <f>IF($V183="","",Q183+N183)</f>
        <v/>
      </c>
      <c r="S183" s="7">
        <f>IF($V183="","",T183-R183)</f>
        <v/>
      </c>
      <c r="T183" s="7">
        <f>IF($V183="","",M183+P183+K183)</f>
        <v/>
      </c>
      <c r="U183" s="7">
        <f>IF($V183="","",T183-R183-J183)</f>
        <v/>
      </c>
      <c r="V183" s="13">
        <f>IF(ROWS($V$2:$V183)&lt;=MAX('Per Line'!$AL$2:$AL$1501),MATCH(ROWS($V$2:$V183),'Per Line'!$AL$2:$AL$1501,0),"")</f>
        <v/>
      </c>
    </row>
    <row r="184">
      <c r="A184" s="12" t="n"/>
      <c r="B184">
        <f>IF($V184="","",INDEX('Per Line'!$D$2:$D$1501,$V184)&amp;"")</f>
        <v/>
      </c>
      <c r="C184">
        <f>IF($V184="","",INDEX('Per Line'!$A$2:$A$1501,$V184))</f>
        <v/>
      </c>
      <c r="D184">
        <f>IF($V184="","",INDEX('Per Line'!$Z$2:$Z$1501,$V184)&amp;"")</f>
        <v/>
      </c>
      <c r="E184" s="11">
        <f>IF($V184="","",INDEX('Per Line'!$F$2:$F$1501,$V184))</f>
        <v/>
      </c>
      <c r="F184">
        <f>IF($V184="","",INDEX('Per Line'!$I$2:$I$1501,$V184)&amp;"")</f>
        <v/>
      </c>
      <c r="G184">
        <f>IF($V184="","",INDEX('Per Line'!$J$2:$J$1501,$V184)&amp;"")</f>
        <v/>
      </c>
      <c r="H184">
        <f>IF($V184="","",INDEX('Per Line'!$K$2:$K$1501,$V184)&amp;"")</f>
        <v/>
      </c>
      <c r="I184">
        <f>IF($V184="","",INDEX('Per Line'!$M$2:$M$1501,$V184))</f>
        <v/>
      </c>
      <c r="J184" s="7">
        <f>IF($V184="","",I184*T184/100)</f>
        <v/>
      </c>
      <c r="K184" s="7">
        <f>IF($V184="","",SUMIFS('Per Line'!$V$2:$V$1501,'Per Line'!$D$2:$D$1501,$B184,'Per Line'!$AN$2:$AN$1501,1))</f>
        <v/>
      </c>
      <c r="L184">
        <f>IF($V184="","",Settings!$C$7)</f>
        <v/>
      </c>
      <c r="M184" s="7">
        <f>IF($V184="","",SUMIFS('Per Line'!$V$2:$V$1501,'Per Line'!$D$2:$D$1501,$B184,'Per Line'!$AM$2:$AM$1501,0,'Per Line'!$AN$2:$AN$1501,0))</f>
        <v/>
      </c>
      <c r="N184" s="7">
        <f>IF($V184="","",M184*L184)</f>
        <v/>
      </c>
      <c r="O184">
        <f>IF($V184="","",Settings!$C$6)</f>
        <v/>
      </c>
      <c r="P184" s="7">
        <f>IF($V184="","",SUMIFS('Per Line'!$V$2:$V$1501,'Per Line'!$D$2:$D$1501,$B184,'Per Line'!$AM$2:$AM$1501,1,'Per Line'!$AN$2:$AN$1501,0))</f>
        <v/>
      </c>
      <c r="Q184" s="7">
        <f>IF($V184="","",P184*O184)</f>
        <v/>
      </c>
      <c r="R184" s="7">
        <f>IF($V184="","",Q184+N184)</f>
        <v/>
      </c>
      <c r="S184" s="7">
        <f>IF($V184="","",T184-R184)</f>
        <v/>
      </c>
      <c r="T184" s="7">
        <f>IF($V184="","",M184+P184+K184)</f>
        <v/>
      </c>
      <c r="U184" s="7">
        <f>IF($V184="","",T184-R184-J184)</f>
        <v/>
      </c>
      <c r="V184" s="13">
        <f>IF(ROWS($V$2:$V184)&lt;=MAX('Per Line'!$AL$2:$AL$1501),MATCH(ROWS($V$2:$V184),'Per Line'!$AL$2:$AL$1501,0),"")</f>
        <v/>
      </c>
    </row>
    <row r="185">
      <c r="A185" s="12" t="n"/>
      <c r="B185">
        <f>IF($V185="","",INDEX('Per Line'!$D$2:$D$1501,$V185)&amp;"")</f>
        <v/>
      </c>
      <c r="C185">
        <f>IF($V185="","",INDEX('Per Line'!$A$2:$A$1501,$V185))</f>
        <v/>
      </c>
      <c r="D185">
        <f>IF($V185="","",INDEX('Per Line'!$Z$2:$Z$1501,$V185)&amp;"")</f>
        <v/>
      </c>
      <c r="E185" s="11">
        <f>IF($V185="","",INDEX('Per Line'!$F$2:$F$1501,$V185))</f>
        <v/>
      </c>
      <c r="F185">
        <f>IF($V185="","",INDEX('Per Line'!$I$2:$I$1501,$V185)&amp;"")</f>
        <v/>
      </c>
      <c r="G185">
        <f>IF($V185="","",INDEX('Per Line'!$J$2:$J$1501,$V185)&amp;"")</f>
        <v/>
      </c>
      <c r="H185">
        <f>IF($V185="","",INDEX('Per Line'!$K$2:$K$1501,$V185)&amp;"")</f>
        <v/>
      </c>
      <c r="I185">
        <f>IF($V185="","",INDEX('Per Line'!$M$2:$M$1501,$V185))</f>
        <v/>
      </c>
      <c r="J185" s="7">
        <f>IF($V185="","",I185*T185/100)</f>
        <v/>
      </c>
      <c r="K185" s="7">
        <f>IF($V185="","",SUMIFS('Per Line'!$V$2:$V$1501,'Per Line'!$D$2:$D$1501,$B185,'Per Line'!$AN$2:$AN$1501,1))</f>
        <v/>
      </c>
      <c r="L185">
        <f>IF($V185="","",Settings!$C$7)</f>
        <v/>
      </c>
      <c r="M185" s="7">
        <f>IF($V185="","",SUMIFS('Per Line'!$V$2:$V$1501,'Per Line'!$D$2:$D$1501,$B185,'Per Line'!$AM$2:$AM$1501,0,'Per Line'!$AN$2:$AN$1501,0))</f>
        <v/>
      </c>
      <c r="N185" s="7">
        <f>IF($V185="","",M185*L185)</f>
        <v/>
      </c>
      <c r="O185">
        <f>IF($V185="","",Settings!$C$6)</f>
        <v/>
      </c>
      <c r="P185" s="7">
        <f>IF($V185="","",SUMIFS('Per Line'!$V$2:$V$1501,'Per Line'!$D$2:$D$1501,$B185,'Per Line'!$AM$2:$AM$1501,1,'Per Line'!$AN$2:$AN$1501,0))</f>
        <v/>
      </c>
      <c r="Q185" s="7">
        <f>IF($V185="","",P185*O185)</f>
        <v/>
      </c>
      <c r="R185" s="7">
        <f>IF($V185="","",Q185+N185)</f>
        <v/>
      </c>
      <c r="S185" s="7">
        <f>IF($V185="","",T185-R185)</f>
        <v/>
      </c>
      <c r="T185" s="7">
        <f>IF($V185="","",M185+P185+K185)</f>
        <v/>
      </c>
      <c r="U185" s="7">
        <f>IF($V185="","",T185-R185-J185)</f>
        <v/>
      </c>
      <c r="V185" s="13">
        <f>IF(ROWS($V$2:$V185)&lt;=MAX('Per Line'!$AL$2:$AL$1501),MATCH(ROWS($V$2:$V185),'Per Line'!$AL$2:$AL$1501,0),"")</f>
        <v/>
      </c>
    </row>
    <row r="186">
      <c r="A186" s="12" t="n"/>
      <c r="B186">
        <f>IF($V186="","",INDEX('Per Line'!$D$2:$D$1501,$V186)&amp;"")</f>
        <v/>
      </c>
      <c r="C186">
        <f>IF($V186="","",INDEX('Per Line'!$A$2:$A$1501,$V186))</f>
        <v/>
      </c>
      <c r="D186">
        <f>IF($V186="","",INDEX('Per Line'!$Z$2:$Z$1501,$V186)&amp;"")</f>
        <v/>
      </c>
      <c r="E186" s="11">
        <f>IF($V186="","",INDEX('Per Line'!$F$2:$F$1501,$V186))</f>
        <v/>
      </c>
      <c r="F186">
        <f>IF($V186="","",INDEX('Per Line'!$I$2:$I$1501,$V186)&amp;"")</f>
        <v/>
      </c>
      <c r="G186">
        <f>IF($V186="","",INDEX('Per Line'!$J$2:$J$1501,$V186)&amp;"")</f>
        <v/>
      </c>
      <c r="H186">
        <f>IF($V186="","",INDEX('Per Line'!$K$2:$K$1501,$V186)&amp;"")</f>
        <v/>
      </c>
      <c r="I186">
        <f>IF($V186="","",INDEX('Per Line'!$M$2:$M$1501,$V186))</f>
        <v/>
      </c>
      <c r="J186" s="7">
        <f>IF($V186="","",I186*T186/100)</f>
        <v/>
      </c>
      <c r="K186" s="7">
        <f>IF($V186="","",SUMIFS('Per Line'!$V$2:$V$1501,'Per Line'!$D$2:$D$1501,$B186,'Per Line'!$AN$2:$AN$1501,1))</f>
        <v/>
      </c>
      <c r="L186">
        <f>IF($V186="","",Settings!$C$7)</f>
        <v/>
      </c>
      <c r="M186" s="7">
        <f>IF($V186="","",SUMIFS('Per Line'!$V$2:$V$1501,'Per Line'!$D$2:$D$1501,$B186,'Per Line'!$AM$2:$AM$1501,0,'Per Line'!$AN$2:$AN$1501,0))</f>
        <v/>
      </c>
      <c r="N186" s="7">
        <f>IF($V186="","",M186*L186)</f>
        <v/>
      </c>
      <c r="O186">
        <f>IF($V186="","",Settings!$C$6)</f>
        <v/>
      </c>
      <c r="P186" s="7">
        <f>IF($V186="","",SUMIFS('Per Line'!$V$2:$V$1501,'Per Line'!$D$2:$D$1501,$B186,'Per Line'!$AM$2:$AM$1501,1,'Per Line'!$AN$2:$AN$1501,0))</f>
        <v/>
      </c>
      <c r="Q186" s="7">
        <f>IF($V186="","",P186*O186)</f>
        <v/>
      </c>
      <c r="R186" s="7">
        <f>IF($V186="","",Q186+N186)</f>
        <v/>
      </c>
      <c r="S186" s="7">
        <f>IF($V186="","",T186-R186)</f>
        <v/>
      </c>
      <c r="T186" s="7">
        <f>IF($V186="","",M186+P186+K186)</f>
        <v/>
      </c>
      <c r="U186" s="7">
        <f>IF($V186="","",T186-R186-J186)</f>
        <v/>
      </c>
      <c r="V186" s="13">
        <f>IF(ROWS($V$2:$V186)&lt;=MAX('Per Line'!$AL$2:$AL$1501),MATCH(ROWS($V$2:$V186),'Per Line'!$AL$2:$AL$1501,0),"")</f>
        <v/>
      </c>
    </row>
    <row r="187">
      <c r="A187" s="12" t="n"/>
      <c r="B187">
        <f>IF($V187="","",INDEX('Per Line'!$D$2:$D$1501,$V187)&amp;"")</f>
        <v/>
      </c>
      <c r="C187">
        <f>IF($V187="","",INDEX('Per Line'!$A$2:$A$1501,$V187))</f>
        <v/>
      </c>
      <c r="D187">
        <f>IF($V187="","",INDEX('Per Line'!$Z$2:$Z$1501,$V187)&amp;"")</f>
        <v/>
      </c>
      <c r="E187" s="11">
        <f>IF($V187="","",INDEX('Per Line'!$F$2:$F$1501,$V187))</f>
        <v/>
      </c>
      <c r="F187">
        <f>IF($V187="","",INDEX('Per Line'!$I$2:$I$1501,$V187)&amp;"")</f>
        <v/>
      </c>
      <c r="G187">
        <f>IF($V187="","",INDEX('Per Line'!$J$2:$J$1501,$V187)&amp;"")</f>
        <v/>
      </c>
      <c r="H187">
        <f>IF($V187="","",INDEX('Per Line'!$K$2:$K$1501,$V187)&amp;"")</f>
        <v/>
      </c>
      <c r="I187">
        <f>IF($V187="","",INDEX('Per Line'!$M$2:$M$1501,$V187))</f>
        <v/>
      </c>
      <c r="J187" s="7">
        <f>IF($V187="","",I187*T187/100)</f>
        <v/>
      </c>
      <c r="K187" s="7">
        <f>IF($V187="","",SUMIFS('Per Line'!$V$2:$V$1501,'Per Line'!$D$2:$D$1501,$B187,'Per Line'!$AN$2:$AN$1501,1))</f>
        <v/>
      </c>
      <c r="L187">
        <f>IF($V187="","",Settings!$C$7)</f>
        <v/>
      </c>
      <c r="M187" s="7">
        <f>IF($V187="","",SUMIFS('Per Line'!$V$2:$V$1501,'Per Line'!$D$2:$D$1501,$B187,'Per Line'!$AM$2:$AM$1501,0,'Per Line'!$AN$2:$AN$1501,0))</f>
        <v/>
      </c>
      <c r="N187" s="7">
        <f>IF($V187="","",M187*L187)</f>
        <v/>
      </c>
      <c r="O187">
        <f>IF($V187="","",Settings!$C$6)</f>
        <v/>
      </c>
      <c r="P187" s="7">
        <f>IF($V187="","",SUMIFS('Per Line'!$V$2:$V$1501,'Per Line'!$D$2:$D$1501,$B187,'Per Line'!$AM$2:$AM$1501,1,'Per Line'!$AN$2:$AN$1501,0))</f>
        <v/>
      </c>
      <c r="Q187" s="7">
        <f>IF($V187="","",P187*O187)</f>
        <v/>
      </c>
      <c r="R187" s="7">
        <f>IF($V187="","",Q187+N187)</f>
        <v/>
      </c>
      <c r="S187" s="7">
        <f>IF($V187="","",T187-R187)</f>
        <v/>
      </c>
      <c r="T187" s="7">
        <f>IF($V187="","",M187+P187+K187)</f>
        <v/>
      </c>
      <c r="U187" s="7">
        <f>IF($V187="","",T187-R187-J187)</f>
        <v/>
      </c>
      <c r="V187" s="13">
        <f>IF(ROWS($V$2:$V187)&lt;=MAX('Per Line'!$AL$2:$AL$1501),MATCH(ROWS($V$2:$V187),'Per Line'!$AL$2:$AL$1501,0),"")</f>
        <v/>
      </c>
    </row>
    <row r="188">
      <c r="A188" s="12" t="n"/>
      <c r="B188">
        <f>IF($V188="","",INDEX('Per Line'!$D$2:$D$1501,$V188)&amp;"")</f>
        <v/>
      </c>
      <c r="C188">
        <f>IF($V188="","",INDEX('Per Line'!$A$2:$A$1501,$V188))</f>
        <v/>
      </c>
      <c r="D188">
        <f>IF($V188="","",INDEX('Per Line'!$Z$2:$Z$1501,$V188)&amp;"")</f>
        <v/>
      </c>
      <c r="E188" s="11">
        <f>IF($V188="","",INDEX('Per Line'!$F$2:$F$1501,$V188))</f>
        <v/>
      </c>
      <c r="F188">
        <f>IF($V188="","",INDEX('Per Line'!$I$2:$I$1501,$V188)&amp;"")</f>
        <v/>
      </c>
      <c r="G188">
        <f>IF($V188="","",INDEX('Per Line'!$J$2:$J$1501,$V188)&amp;"")</f>
        <v/>
      </c>
      <c r="H188">
        <f>IF($V188="","",INDEX('Per Line'!$K$2:$K$1501,$V188)&amp;"")</f>
        <v/>
      </c>
      <c r="I188">
        <f>IF($V188="","",INDEX('Per Line'!$M$2:$M$1501,$V188))</f>
        <v/>
      </c>
      <c r="J188" s="7">
        <f>IF($V188="","",I188*T188/100)</f>
        <v/>
      </c>
      <c r="K188" s="7">
        <f>IF($V188="","",SUMIFS('Per Line'!$V$2:$V$1501,'Per Line'!$D$2:$D$1501,$B188,'Per Line'!$AN$2:$AN$1501,1))</f>
        <v/>
      </c>
      <c r="L188">
        <f>IF($V188="","",Settings!$C$7)</f>
        <v/>
      </c>
      <c r="M188" s="7">
        <f>IF($V188="","",SUMIFS('Per Line'!$V$2:$V$1501,'Per Line'!$D$2:$D$1501,$B188,'Per Line'!$AM$2:$AM$1501,0,'Per Line'!$AN$2:$AN$1501,0))</f>
        <v/>
      </c>
      <c r="N188" s="7">
        <f>IF($V188="","",M188*L188)</f>
        <v/>
      </c>
      <c r="O188">
        <f>IF($V188="","",Settings!$C$6)</f>
        <v/>
      </c>
      <c r="P188" s="7">
        <f>IF($V188="","",SUMIFS('Per Line'!$V$2:$V$1501,'Per Line'!$D$2:$D$1501,$B188,'Per Line'!$AM$2:$AM$1501,1,'Per Line'!$AN$2:$AN$1501,0))</f>
        <v/>
      </c>
      <c r="Q188" s="7">
        <f>IF($V188="","",P188*O188)</f>
        <v/>
      </c>
      <c r="R188" s="7">
        <f>IF($V188="","",Q188+N188)</f>
        <v/>
      </c>
      <c r="S188" s="7">
        <f>IF($V188="","",T188-R188)</f>
        <v/>
      </c>
      <c r="T188" s="7">
        <f>IF($V188="","",M188+P188+K188)</f>
        <v/>
      </c>
      <c r="U188" s="7">
        <f>IF($V188="","",T188-R188-J188)</f>
        <v/>
      </c>
      <c r="V188" s="13">
        <f>IF(ROWS($V$2:$V188)&lt;=MAX('Per Line'!$AL$2:$AL$1501),MATCH(ROWS($V$2:$V188),'Per Line'!$AL$2:$AL$1501,0),"")</f>
        <v/>
      </c>
    </row>
    <row r="189">
      <c r="A189" s="12" t="n"/>
      <c r="B189">
        <f>IF($V189="","",INDEX('Per Line'!$D$2:$D$1501,$V189)&amp;"")</f>
        <v/>
      </c>
      <c r="C189">
        <f>IF($V189="","",INDEX('Per Line'!$A$2:$A$1501,$V189))</f>
        <v/>
      </c>
      <c r="D189">
        <f>IF($V189="","",INDEX('Per Line'!$Z$2:$Z$1501,$V189)&amp;"")</f>
        <v/>
      </c>
      <c r="E189" s="11">
        <f>IF($V189="","",INDEX('Per Line'!$F$2:$F$1501,$V189))</f>
        <v/>
      </c>
      <c r="F189">
        <f>IF($V189="","",INDEX('Per Line'!$I$2:$I$1501,$V189)&amp;"")</f>
        <v/>
      </c>
      <c r="G189">
        <f>IF($V189="","",INDEX('Per Line'!$J$2:$J$1501,$V189)&amp;"")</f>
        <v/>
      </c>
      <c r="H189">
        <f>IF($V189="","",INDEX('Per Line'!$K$2:$K$1501,$V189)&amp;"")</f>
        <v/>
      </c>
      <c r="I189">
        <f>IF($V189="","",INDEX('Per Line'!$M$2:$M$1501,$V189))</f>
        <v/>
      </c>
      <c r="J189" s="7">
        <f>IF($V189="","",I189*T189/100)</f>
        <v/>
      </c>
      <c r="K189" s="7">
        <f>IF($V189="","",SUMIFS('Per Line'!$V$2:$V$1501,'Per Line'!$D$2:$D$1501,$B189,'Per Line'!$AN$2:$AN$1501,1))</f>
        <v/>
      </c>
      <c r="L189">
        <f>IF($V189="","",Settings!$C$7)</f>
        <v/>
      </c>
      <c r="M189" s="7">
        <f>IF($V189="","",SUMIFS('Per Line'!$V$2:$V$1501,'Per Line'!$D$2:$D$1501,$B189,'Per Line'!$AM$2:$AM$1501,0,'Per Line'!$AN$2:$AN$1501,0))</f>
        <v/>
      </c>
      <c r="N189" s="7">
        <f>IF($V189="","",M189*L189)</f>
        <v/>
      </c>
      <c r="O189">
        <f>IF($V189="","",Settings!$C$6)</f>
        <v/>
      </c>
      <c r="P189" s="7">
        <f>IF($V189="","",SUMIFS('Per Line'!$V$2:$V$1501,'Per Line'!$D$2:$D$1501,$B189,'Per Line'!$AM$2:$AM$1501,1,'Per Line'!$AN$2:$AN$1501,0))</f>
        <v/>
      </c>
      <c r="Q189" s="7">
        <f>IF($V189="","",P189*O189)</f>
        <v/>
      </c>
      <c r="R189" s="7">
        <f>IF($V189="","",Q189+N189)</f>
        <v/>
      </c>
      <c r="S189" s="7">
        <f>IF($V189="","",T189-R189)</f>
        <v/>
      </c>
      <c r="T189" s="7">
        <f>IF($V189="","",M189+P189+K189)</f>
        <v/>
      </c>
      <c r="U189" s="7">
        <f>IF($V189="","",T189-R189-J189)</f>
        <v/>
      </c>
      <c r="V189" s="13">
        <f>IF(ROWS($V$2:$V189)&lt;=MAX('Per Line'!$AL$2:$AL$1501),MATCH(ROWS($V$2:$V189),'Per Line'!$AL$2:$AL$1501,0),"")</f>
        <v/>
      </c>
    </row>
    <row r="190">
      <c r="A190" s="12" t="n"/>
      <c r="B190">
        <f>IF($V190="","",INDEX('Per Line'!$D$2:$D$1501,$V190)&amp;"")</f>
        <v/>
      </c>
      <c r="C190">
        <f>IF($V190="","",INDEX('Per Line'!$A$2:$A$1501,$V190))</f>
        <v/>
      </c>
      <c r="D190">
        <f>IF($V190="","",INDEX('Per Line'!$Z$2:$Z$1501,$V190)&amp;"")</f>
        <v/>
      </c>
      <c r="E190" s="11">
        <f>IF($V190="","",INDEX('Per Line'!$F$2:$F$1501,$V190))</f>
        <v/>
      </c>
      <c r="F190">
        <f>IF($V190="","",INDEX('Per Line'!$I$2:$I$1501,$V190)&amp;"")</f>
        <v/>
      </c>
      <c r="G190">
        <f>IF($V190="","",INDEX('Per Line'!$J$2:$J$1501,$V190)&amp;"")</f>
        <v/>
      </c>
      <c r="H190">
        <f>IF($V190="","",INDEX('Per Line'!$K$2:$K$1501,$V190)&amp;"")</f>
        <v/>
      </c>
      <c r="I190">
        <f>IF($V190="","",INDEX('Per Line'!$M$2:$M$1501,$V190))</f>
        <v/>
      </c>
      <c r="J190" s="7">
        <f>IF($V190="","",I190*T190/100)</f>
        <v/>
      </c>
      <c r="K190" s="7">
        <f>IF($V190="","",SUMIFS('Per Line'!$V$2:$V$1501,'Per Line'!$D$2:$D$1501,$B190,'Per Line'!$AN$2:$AN$1501,1))</f>
        <v/>
      </c>
      <c r="L190">
        <f>IF($V190="","",Settings!$C$7)</f>
        <v/>
      </c>
      <c r="M190" s="7">
        <f>IF($V190="","",SUMIFS('Per Line'!$V$2:$V$1501,'Per Line'!$D$2:$D$1501,$B190,'Per Line'!$AM$2:$AM$1501,0,'Per Line'!$AN$2:$AN$1501,0))</f>
        <v/>
      </c>
      <c r="N190" s="7">
        <f>IF($V190="","",M190*L190)</f>
        <v/>
      </c>
      <c r="O190">
        <f>IF($V190="","",Settings!$C$6)</f>
        <v/>
      </c>
      <c r="P190" s="7">
        <f>IF($V190="","",SUMIFS('Per Line'!$V$2:$V$1501,'Per Line'!$D$2:$D$1501,$B190,'Per Line'!$AM$2:$AM$1501,1,'Per Line'!$AN$2:$AN$1501,0))</f>
        <v/>
      </c>
      <c r="Q190" s="7">
        <f>IF($V190="","",P190*O190)</f>
        <v/>
      </c>
      <c r="R190" s="7">
        <f>IF($V190="","",Q190+N190)</f>
        <v/>
      </c>
      <c r="S190" s="7">
        <f>IF($V190="","",T190-R190)</f>
        <v/>
      </c>
      <c r="T190" s="7">
        <f>IF($V190="","",M190+P190+K190)</f>
        <v/>
      </c>
      <c r="U190" s="7">
        <f>IF($V190="","",T190-R190-J190)</f>
        <v/>
      </c>
      <c r="V190" s="13">
        <f>IF(ROWS($V$2:$V190)&lt;=MAX('Per Line'!$AL$2:$AL$1501),MATCH(ROWS($V$2:$V190),'Per Line'!$AL$2:$AL$1501,0),"")</f>
        <v/>
      </c>
    </row>
    <row r="191">
      <c r="A191" s="12" t="n"/>
      <c r="B191">
        <f>IF($V191="","",INDEX('Per Line'!$D$2:$D$1501,$V191)&amp;"")</f>
        <v/>
      </c>
      <c r="C191">
        <f>IF($V191="","",INDEX('Per Line'!$A$2:$A$1501,$V191))</f>
        <v/>
      </c>
      <c r="D191">
        <f>IF($V191="","",INDEX('Per Line'!$Z$2:$Z$1501,$V191)&amp;"")</f>
        <v/>
      </c>
      <c r="E191" s="11">
        <f>IF($V191="","",INDEX('Per Line'!$F$2:$F$1501,$V191))</f>
        <v/>
      </c>
      <c r="F191">
        <f>IF($V191="","",INDEX('Per Line'!$I$2:$I$1501,$V191)&amp;"")</f>
        <v/>
      </c>
      <c r="G191">
        <f>IF($V191="","",INDEX('Per Line'!$J$2:$J$1501,$V191)&amp;"")</f>
        <v/>
      </c>
      <c r="H191">
        <f>IF($V191="","",INDEX('Per Line'!$K$2:$K$1501,$V191)&amp;"")</f>
        <v/>
      </c>
      <c r="I191">
        <f>IF($V191="","",INDEX('Per Line'!$M$2:$M$1501,$V191))</f>
        <v/>
      </c>
      <c r="J191" s="7">
        <f>IF($V191="","",I191*T191/100)</f>
        <v/>
      </c>
      <c r="K191" s="7">
        <f>IF($V191="","",SUMIFS('Per Line'!$V$2:$V$1501,'Per Line'!$D$2:$D$1501,$B191,'Per Line'!$AN$2:$AN$1501,1))</f>
        <v/>
      </c>
      <c r="L191">
        <f>IF($V191="","",Settings!$C$7)</f>
        <v/>
      </c>
      <c r="M191" s="7">
        <f>IF($V191="","",SUMIFS('Per Line'!$V$2:$V$1501,'Per Line'!$D$2:$D$1501,$B191,'Per Line'!$AM$2:$AM$1501,0,'Per Line'!$AN$2:$AN$1501,0))</f>
        <v/>
      </c>
      <c r="N191" s="7">
        <f>IF($V191="","",M191*L191)</f>
        <v/>
      </c>
      <c r="O191">
        <f>IF($V191="","",Settings!$C$6)</f>
        <v/>
      </c>
      <c r="P191" s="7">
        <f>IF($V191="","",SUMIFS('Per Line'!$V$2:$V$1501,'Per Line'!$D$2:$D$1501,$B191,'Per Line'!$AM$2:$AM$1501,1,'Per Line'!$AN$2:$AN$1501,0))</f>
        <v/>
      </c>
      <c r="Q191" s="7">
        <f>IF($V191="","",P191*O191)</f>
        <v/>
      </c>
      <c r="R191" s="7">
        <f>IF($V191="","",Q191+N191)</f>
        <v/>
      </c>
      <c r="S191" s="7">
        <f>IF($V191="","",T191-R191)</f>
        <v/>
      </c>
      <c r="T191" s="7">
        <f>IF($V191="","",M191+P191+K191)</f>
        <v/>
      </c>
      <c r="U191" s="7">
        <f>IF($V191="","",T191-R191-J191)</f>
        <v/>
      </c>
      <c r="V191" s="13">
        <f>IF(ROWS($V$2:$V191)&lt;=MAX('Per Line'!$AL$2:$AL$1501),MATCH(ROWS($V$2:$V191),'Per Line'!$AL$2:$AL$1501,0),"")</f>
        <v/>
      </c>
    </row>
    <row r="192">
      <c r="A192" s="12" t="n"/>
      <c r="B192">
        <f>IF($V192="","",INDEX('Per Line'!$D$2:$D$1501,$V192)&amp;"")</f>
        <v/>
      </c>
      <c r="C192">
        <f>IF($V192="","",INDEX('Per Line'!$A$2:$A$1501,$V192))</f>
        <v/>
      </c>
      <c r="D192">
        <f>IF($V192="","",INDEX('Per Line'!$Z$2:$Z$1501,$V192)&amp;"")</f>
        <v/>
      </c>
      <c r="E192" s="11">
        <f>IF($V192="","",INDEX('Per Line'!$F$2:$F$1501,$V192))</f>
        <v/>
      </c>
      <c r="F192">
        <f>IF($V192="","",INDEX('Per Line'!$I$2:$I$1501,$V192)&amp;"")</f>
        <v/>
      </c>
      <c r="G192">
        <f>IF($V192="","",INDEX('Per Line'!$J$2:$J$1501,$V192)&amp;"")</f>
        <v/>
      </c>
      <c r="H192">
        <f>IF($V192="","",INDEX('Per Line'!$K$2:$K$1501,$V192)&amp;"")</f>
        <v/>
      </c>
      <c r="I192">
        <f>IF($V192="","",INDEX('Per Line'!$M$2:$M$1501,$V192))</f>
        <v/>
      </c>
      <c r="J192" s="7">
        <f>IF($V192="","",I192*T192/100)</f>
        <v/>
      </c>
      <c r="K192" s="7">
        <f>IF($V192="","",SUMIFS('Per Line'!$V$2:$V$1501,'Per Line'!$D$2:$D$1501,$B192,'Per Line'!$AN$2:$AN$1501,1))</f>
        <v/>
      </c>
      <c r="L192">
        <f>IF($V192="","",Settings!$C$7)</f>
        <v/>
      </c>
      <c r="M192" s="7">
        <f>IF($V192="","",SUMIFS('Per Line'!$V$2:$V$1501,'Per Line'!$D$2:$D$1501,$B192,'Per Line'!$AM$2:$AM$1501,0,'Per Line'!$AN$2:$AN$1501,0))</f>
        <v/>
      </c>
      <c r="N192" s="7">
        <f>IF($V192="","",M192*L192)</f>
        <v/>
      </c>
      <c r="O192">
        <f>IF($V192="","",Settings!$C$6)</f>
        <v/>
      </c>
      <c r="P192" s="7">
        <f>IF($V192="","",SUMIFS('Per Line'!$V$2:$V$1501,'Per Line'!$D$2:$D$1501,$B192,'Per Line'!$AM$2:$AM$1501,1,'Per Line'!$AN$2:$AN$1501,0))</f>
        <v/>
      </c>
      <c r="Q192" s="7">
        <f>IF($V192="","",P192*O192)</f>
        <v/>
      </c>
      <c r="R192" s="7">
        <f>IF($V192="","",Q192+N192)</f>
        <v/>
      </c>
      <c r="S192" s="7">
        <f>IF($V192="","",T192-R192)</f>
        <v/>
      </c>
      <c r="T192" s="7">
        <f>IF($V192="","",M192+P192+K192)</f>
        <v/>
      </c>
      <c r="U192" s="7">
        <f>IF($V192="","",T192-R192-J192)</f>
        <v/>
      </c>
      <c r="V192" s="13">
        <f>IF(ROWS($V$2:$V192)&lt;=MAX('Per Line'!$AL$2:$AL$1501),MATCH(ROWS($V$2:$V192),'Per Line'!$AL$2:$AL$1501,0),"")</f>
        <v/>
      </c>
    </row>
    <row r="193">
      <c r="A193" s="12" t="n"/>
      <c r="B193">
        <f>IF($V193="","",INDEX('Per Line'!$D$2:$D$1501,$V193)&amp;"")</f>
        <v/>
      </c>
      <c r="C193">
        <f>IF($V193="","",INDEX('Per Line'!$A$2:$A$1501,$V193))</f>
        <v/>
      </c>
      <c r="D193">
        <f>IF($V193="","",INDEX('Per Line'!$Z$2:$Z$1501,$V193)&amp;"")</f>
        <v/>
      </c>
      <c r="E193" s="11">
        <f>IF($V193="","",INDEX('Per Line'!$F$2:$F$1501,$V193))</f>
        <v/>
      </c>
      <c r="F193">
        <f>IF($V193="","",INDEX('Per Line'!$I$2:$I$1501,$V193)&amp;"")</f>
        <v/>
      </c>
      <c r="G193">
        <f>IF($V193="","",INDEX('Per Line'!$J$2:$J$1501,$V193)&amp;"")</f>
        <v/>
      </c>
      <c r="H193">
        <f>IF($V193="","",INDEX('Per Line'!$K$2:$K$1501,$V193)&amp;"")</f>
        <v/>
      </c>
      <c r="I193">
        <f>IF($V193="","",INDEX('Per Line'!$M$2:$M$1501,$V193))</f>
        <v/>
      </c>
      <c r="J193" s="7">
        <f>IF($V193="","",I193*T193/100)</f>
        <v/>
      </c>
      <c r="K193" s="7">
        <f>IF($V193="","",SUMIFS('Per Line'!$V$2:$V$1501,'Per Line'!$D$2:$D$1501,$B193,'Per Line'!$AN$2:$AN$1501,1))</f>
        <v/>
      </c>
      <c r="L193">
        <f>IF($V193="","",Settings!$C$7)</f>
        <v/>
      </c>
      <c r="M193" s="7">
        <f>IF($V193="","",SUMIFS('Per Line'!$V$2:$V$1501,'Per Line'!$D$2:$D$1501,$B193,'Per Line'!$AM$2:$AM$1501,0,'Per Line'!$AN$2:$AN$1501,0))</f>
        <v/>
      </c>
      <c r="N193" s="7">
        <f>IF($V193="","",M193*L193)</f>
        <v/>
      </c>
      <c r="O193">
        <f>IF($V193="","",Settings!$C$6)</f>
        <v/>
      </c>
      <c r="P193" s="7">
        <f>IF($V193="","",SUMIFS('Per Line'!$V$2:$V$1501,'Per Line'!$D$2:$D$1501,$B193,'Per Line'!$AM$2:$AM$1501,1,'Per Line'!$AN$2:$AN$1501,0))</f>
        <v/>
      </c>
      <c r="Q193" s="7">
        <f>IF($V193="","",P193*O193)</f>
        <v/>
      </c>
      <c r="R193" s="7">
        <f>IF($V193="","",Q193+N193)</f>
        <v/>
      </c>
      <c r="S193" s="7">
        <f>IF($V193="","",T193-R193)</f>
        <v/>
      </c>
      <c r="T193" s="7">
        <f>IF($V193="","",M193+P193+K193)</f>
        <v/>
      </c>
      <c r="U193" s="7">
        <f>IF($V193="","",T193-R193-J193)</f>
        <v/>
      </c>
      <c r="V193" s="13">
        <f>IF(ROWS($V$2:$V193)&lt;=MAX('Per Line'!$AL$2:$AL$1501),MATCH(ROWS($V$2:$V193),'Per Line'!$AL$2:$AL$1501,0),"")</f>
        <v/>
      </c>
    </row>
    <row r="194">
      <c r="A194" s="12" t="n"/>
      <c r="B194">
        <f>IF($V194="","",INDEX('Per Line'!$D$2:$D$1501,$V194)&amp;"")</f>
        <v/>
      </c>
      <c r="C194">
        <f>IF($V194="","",INDEX('Per Line'!$A$2:$A$1501,$V194))</f>
        <v/>
      </c>
      <c r="D194">
        <f>IF($V194="","",INDEX('Per Line'!$Z$2:$Z$1501,$V194)&amp;"")</f>
        <v/>
      </c>
      <c r="E194" s="11">
        <f>IF($V194="","",INDEX('Per Line'!$F$2:$F$1501,$V194))</f>
        <v/>
      </c>
      <c r="F194">
        <f>IF($V194="","",INDEX('Per Line'!$I$2:$I$1501,$V194)&amp;"")</f>
        <v/>
      </c>
      <c r="G194">
        <f>IF($V194="","",INDEX('Per Line'!$J$2:$J$1501,$V194)&amp;"")</f>
        <v/>
      </c>
      <c r="H194">
        <f>IF($V194="","",INDEX('Per Line'!$K$2:$K$1501,$V194)&amp;"")</f>
        <v/>
      </c>
      <c r="I194">
        <f>IF($V194="","",INDEX('Per Line'!$M$2:$M$1501,$V194))</f>
        <v/>
      </c>
      <c r="J194" s="7">
        <f>IF($V194="","",I194*T194/100)</f>
        <v/>
      </c>
      <c r="K194" s="7">
        <f>IF($V194="","",SUMIFS('Per Line'!$V$2:$V$1501,'Per Line'!$D$2:$D$1501,$B194,'Per Line'!$AN$2:$AN$1501,1))</f>
        <v/>
      </c>
      <c r="L194">
        <f>IF($V194="","",Settings!$C$7)</f>
        <v/>
      </c>
      <c r="M194" s="7">
        <f>IF($V194="","",SUMIFS('Per Line'!$V$2:$V$1501,'Per Line'!$D$2:$D$1501,$B194,'Per Line'!$AM$2:$AM$1501,0,'Per Line'!$AN$2:$AN$1501,0))</f>
        <v/>
      </c>
      <c r="N194" s="7">
        <f>IF($V194="","",M194*L194)</f>
        <v/>
      </c>
      <c r="O194">
        <f>IF($V194="","",Settings!$C$6)</f>
        <v/>
      </c>
      <c r="P194" s="7">
        <f>IF($V194="","",SUMIFS('Per Line'!$V$2:$V$1501,'Per Line'!$D$2:$D$1501,$B194,'Per Line'!$AM$2:$AM$1501,1,'Per Line'!$AN$2:$AN$1501,0))</f>
        <v/>
      </c>
      <c r="Q194" s="7">
        <f>IF($V194="","",P194*O194)</f>
        <v/>
      </c>
      <c r="R194" s="7">
        <f>IF($V194="","",Q194+N194)</f>
        <v/>
      </c>
      <c r="S194" s="7">
        <f>IF($V194="","",T194-R194)</f>
        <v/>
      </c>
      <c r="T194" s="7">
        <f>IF($V194="","",M194+P194+K194)</f>
        <v/>
      </c>
      <c r="U194" s="7">
        <f>IF($V194="","",T194-R194-J194)</f>
        <v/>
      </c>
      <c r="V194" s="13">
        <f>IF(ROWS($V$2:$V194)&lt;=MAX('Per Line'!$AL$2:$AL$1501),MATCH(ROWS($V$2:$V194),'Per Line'!$AL$2:$AL$1501,0),"")</f>
        <v/>
      </c>
    </row>
    <row r="195">
      <c r="A195" s="12" t="n"/>
      <c r="B195">
        <f>IF($V195="","",INDEX('Per Line'!$D$2:$D$1501,$V195)&amp;"")</f>
        <v/>
      </c>
      <c r="C195">
        <f>IF($V195="","",INDEX('Per Line'!$A$2:$A$1501,$V195))</f>
        <v/>
      </c>
      <c r="D195">
        <f>IF($V195="","",INDEX('Per Line'!$Z$2:$Z$1501,$V195)&amp;"")</f>
        <v/>
      </c>
      <c r="E195" s="11">
        <f>IF($V195="","",INDEX('Per Line'!$F$2:$F$1501,$V195))</f>
        <v/>
      </c>
      <c r="F195">
        <f>IF($V195="","",INDEX('Per Line'!$I$2:$I$1501,$V195)&amp;"")</f>
        <v/>
      </c>
      <c r="G195">
        <f>IF($V195="","",INDEX('Per Line'!$J$2:$J$1501,$V195)&amp;"")</f>
        <v/>
      </c>
      <c r="H195">
        <f>IF($V195="","",INDEX('Per Line'!$K$2:$K$1501,$V195)&amp;"")</f>
        <v/>
      </c>
      <c r="I195">
        <f>IF($V195="","",INDEX('Per Line'!$M$2:$M$1501,$V195))</f>
        <v/>
      </c>
      <c r="J195" s="7">
        <f>IF($V195="","",I195*T195/100)</f>
        <v/>
      </c>
      <c r="K195" s="7">
        <f>IF($V195="","",SUMIFS('Per Line'!$V$2:$V$1501,'Per Line'!$D$2:$D$1501,$B195,'Per Line'!$AN$2:$AN$1501,1))</f>
        <v/>
      </c>
      <c r="L195">
        <f>IF($V195="","",Settings!$C$7)</f>
        <v/>
      </c>
      <c r="M195" s="7">
        <f>IF($V195="","",SUMIFS('Per Line'!$V$2:$V$1501,'Per Line'!$D$2:$D$1501,$B195,'Per Line'!$AM$2:$AM$1501,0,'Per Line'!$AN$2:$AN$1501,0))</f>
        <v/>
      </c>
      <c r="N195" s="7">
        <f>IF($V195="","",M195*L195)</f>
        <v/>
      </c>
      <c r="O195">
        <f>IF($V195="","",Settings!$C$6)</f>
        <v/>
      </c>
      <c r="P195" s="7">
        <f>IF($V195="","",SUMIFS('Per Line'!$V$2:$V$1501,'Per Line'!$D$2:$D$1501,$B195,'Per Line'!$AM$2:$AM$1501,1,'Per Line'!$AN$2:$AN$1501,0))</f>
        <v/>
      </c>
      <c r="Q195" s="7">
        <f>IF($V195="","",P195*O195)</f>
        <v/>
      </c>
      <c r="R195" s="7">
        <f>IF($V195="","",Q195+N195)</f>
        <v/>
      </c>
      <c r="S195" s="7">
        <f>IF($V195="","",T195-R195)</f>
        <v/>
      </c>
      <c r="T195" s="7">
        <f>IF($V195="","",M195+P195+K195)</f>
        <v/>
      </c>
      <c r="U195" s="7">
        <f>IF($V195="","",T195-R195-J195)</f>
        <v/>
      </c>
      <c r="V195" s="13">
        <f>IF(ROWS($V$2:$V195)&lt;=MAX('Per Line'!$AL$2:$AL$1501),MATCH(ROWS($V$2:$V195),'Per Line'!$AL$2:$AL$1501,0),"")</f>
        <v/>
      </c>
    </row>
    <row r="196">
      <c r="A196" s="12" t="n"/>
      <c r="B196">
        <f>IF($V196="","",INDEX('Per Line'!$D$2:$D$1501,$V196)&amp;"")</f>
        <v/>
      </c>
      <c r="C196">
        <f>IF($V196="","",INDEX('Per Line'!$A$2:$A$1501,$V196))</f>
        <v/>
      </c>
      <c r="D196">
        <f>IF($V196="","",INDEX('Per Line'!$Z$2:$Z$1501,$V196)&amp;"")</f>
        <v/>
      </c>
      <c r="E196" s="11">
        <f>IF($V196="","",INDEX('Per Line'!$F$2:$F$1501,$V196))</f>
        <v/>
      </c>
      <c r="F196">
        <f>IF($V196="","",INDEX('Per Line'!$I$2:$I$1501,$V196)&amp;"")</f>
        <v/>
      </c>
      <c r="G196">
        <f>IF($V196="","",INDEX('Per Line'!$J$2:$J$1501,$V196)&amp;"")</f>
        <v/>
      </c>
      <c r="H196">
        <f>IF($V196="","",INDEX('Per Line'!$K$2:$K$1501,$V196)&amp;"")</f>
        <v/>
      </c>
      <c r="I196">
        <f>IF($V196="","",INDEX('Per Line'!$M$2:$M$1501,$V196))</f>
        <v/>
      </c>
      <c r="J196" s="7">
        <f>IF($V196="","",I196*T196/100)</f>
        <v/>
      </c>
      <c r="K196" s="7">
        <f>IF($V196="","",SUMIFS('Per Line'!$V$2:$V$1501,'Per Line'!$D$2:$D$1501,$B196,'Per Line'!$AN$2:$AN$1501,1))</f>
        <v/>
      </c>
      <c r="L196">
        <f>IF($V196="","",Settings!$C$7)</f>
        <v/>
      </c>
      <c r="M196" s="7">
        <f>IF($V196="","",SUMIFS('Per Line'!$V$2:$V$1501,'Per Line'!$D$2:$D$1501,$B196,'Per Line'!$AM$2:$AM$1501,0,'Per Line'!$AN$2:$AN$1501,0))</f>
        <v/>
      </c>
      <c r="N196" s="7">
        <f>IF($V196="","",M196*L196)</f>
        <v/>
      </c>
      <c r="O196">
        <f>IF($V196="","",Settings!$C$6)</f>
        <v/>
      </c>
      <c r="P196" s="7">
        <f>IF($V196="","",SUMIFS('Per Line'!$V$2:$V$1501,'Per Line'!$D$2:$D$1501,$B196,'Per Line'!$AM$2:$AM$1501,1,'Per Line'!$AN$2:$AN$1501,0))</f>
        <v/>
      </c>
      <c r="Q196" s="7">
        <f>IF($V196="","",P196*O196)</f>
        <v/>
      </c>
      <c r="R196" s="7">
        <f>IF($V196="","",Q196+N196)</f>
        <v/>
      </c>
      <c r="S196" s="7">
        <f>IF($V196="","",T196-R196)</f>
        <v/>
      </c>
      <c r="T196" s="7">
        <f>IF($V196="","",M196+P196+K196)</f>
        <v/>
      </c>
      <c r="U196" s="7">
        <f>IF($V196="","",T196-R196-J196)</f>
        <v/>
      </c>
      <c r="V196" s="13">
        <f>IF(ROWS($V$2:$V196)&lt;=MAX('Per Line'!$AL$2:$AL$1501),MATCH(ROWS($V$2:$V196),'Per Line'!$AL$2:$AL$1501,0),"")</f>
        <v/>
      </c>
    </row>
    <row r="197">
      <c r="A197" s="12" t="n"/>
      <c r="B197">
        <f>IF($V197="","",INDEX('Per Line'!$D$2:$D$1501,$V197)&amp;"")</f>
        <v/>
      </c>
      <c r="C197">
        <f>IF($V197="","",INDEX('Per Line'!$A$2:$A$1501,$V197))</f>
        <v/>
      </c>
      <c r="D197">
        <f>IF($V197="","",INDEX('Per Line'!$Z$2:$Z$1501,$V197)&amp;"")</f>
        <v/>
      </c>
      <c r="E197" s="11">
        <f>IF($V197="","",INDEX('Per Line'!$F$2:$F$1501,$V197))</f>
        <v/>
      </c>
      <c r="F197">
        <f>IF($V197="","",INDEX('Per Line'!$I$2:$I$1501,$V197)&amp;"")</f>
        <v/>
      </c>
      <c r="G197">
        <f>IF($V197="","",INDEX('Per Line'!$J$2:$J$1501,$V197)&amp;"")</f>
        <v/>
      </c>
      <c r="H197">
        <f>IF($V197="","",INDEX('Per Line'!$K$2:$K$1501,$V197)&amp;"")</f>
        <v/>
      </c>
      <c r="I197">
        <f>IF($V197="","",INDEX('Per Line'!$M$2:$M$1501,$V197))</f>
        <v/>
      </c>
      <c r="J197" s="7">
        <f>IF($V197="","",I197*T197/100)</f>
        <v/>
      </c>
      <c r="K197" s="7">
        <f>IF($V197="","",SUMIFS('Per Line'!$V$2:$V$1501,'Per Line'!$D$2:$D$1501,$B197,'Per Line'!$AN$2:$AN$1501,1))</f>
        <v/>
      </c>
      <c r="L197">
        <f>IF($V197="","",Settings!$C$7)</f>
        <v/>
      </c>
      <c r="M197" s="7">
        <f>IF($V197="","",SUMIFS('Per Line'!$V$2:$V$1501,'Per Line'!$D$2:$D$1501,$B197,'Per Line'!$AM$2:$AM$1501,0,'Per Line'!$AN$2:$AN$1501,0))</f>
        <v/>
      </c>
      <c r="N197" s="7">
        <f>IF($V197="","",M197*L197)</f>
        <v/>
      </c>
      <c r="O197">
        <f>IF($V197="","",Settings!$C$6)</f>
        <v/>
      </c>
      <c r="P197" s="7">
        <f>IF($V197="","",SUMIFS('Per Line'!$V$2:$V$1501,'Per Line'!$D$2:$D$1501,$B197,'Per Line'!$AM$2:$AM$1501,1,'Per Line'!$AN$2:$AN$1501,0))</f>
        <v/>
      </c>
      <c r="Q197" s="7">
        <f>IF($V197="","",P197*O197)</f>
        <v/>
      </c>
      <c r="R197" s="7">
        <f>IF($V197="","",Q197+N197)</f>
        <v/>
      </c>
      <c r="S197" s="7">
        <f>IF($V197="","",T197-R197)</f>
        <v/>
      </c>
      <c r="T197" s="7">
        <f>IF($V197="","",M197+P197+K197)</f>
        <v/>
      </c>
      <c r="U197" s="7">
        <f>IF($V197="","",T197-R197-J197)</f>
        <v/>
      </c>
      <c r="V197" s="13">
        <f>IF(ROWS($V$2:$V197)&lt;=MAX('Per Line'!$AL$2:$AL$1501),MATCH(ROWS($V$2:$V197),'Per Line'!$AL$2:$AL$1501,0),"")</f>
        <v/>
      </c>
    </row>
    <row r="198">
      <c r="A198" s="12" t="n"/>
      <c r="B198">
        <f>IF($V198="","",INDEX('Per Line'!$D$2:$D$1501,$V198)&amp;"")</f>
        <v/>
      </c>
      <c r="C198">
        <f>IF($V198="","",INDEX('Per Line'!$A$2:$A$1501,$V198))</f>
        <v/>
      </c>
      <c r="D198">
        <f>IF($V198="","",INDEX('Per Line'!$Z$2:$Z$1501,$V198)&amp;"")</f>
        <v/>
      </c>
      <c r="E198" s="11">
        <f>IF($V198="","",INDEX('Per Line'!$F$2:$F$1501,$V198))</f>
        <v/>
      </c>
      <c r="F198">
        <f>IF($V198="","",INDEX('Per Line'!$I$2:$I$1501,$V198)&amp;"")</f>
        <v/>
      </c>
      <c r="G198">
        <f>IF($V198="","",INDEX('Per Line'!$J$2:$J$1501,$V198)&amp;"")</f>
        <v/>
      </c>
      <c r="H198">
        <f>IF($V198="","",INDEX('Per Line'!$K$2:$K$1501,$V198)&amp;"")</f>
        <v/>
      </c>
      <c r="I198">
        <f>IF($V198="","",INDEX('Per Line'!$M$2:$M$1501,$V198))</f>
        <v/>
      </c>
      <c r="J198" s="7">
        <f>IF($V198="","",I198*T198/100)</f>
        <v/>
      </c>
      <c r="K198" s="7">
        <f>IF($V198="","",SUMIFS('Per Line'!$V$2:$V$1501,'Per Line'!$D$2:$D$1501,$B198,'Per Line'!$AN$2:$AN$1501,1))</f>
        <v/>
      </c>
      <c r="L198">
        <f>IF($V198="","",Settings!$C$7)</f>
        <v/>
      </c>
      <c r="M198" s="7">
        <f>IF($V198="","",SUMIFS('Per Line'!$V$2:$V$1501,'Per Line'!$D$2:$D$1501,$B198,'Per Line'!$AM$2:$AM$1501,0,'Per Line'!$AN$2:$AN$1501,0))</f>
        <v/>
      </c>
      <c r="N198" s="7">
        <f>IF($V198="","",M198*L198)</f>
        <v/>
      </c>
      <c r="O198">
        <f>IF($V198="","",Settings!$C$6)</f>
        <v/>
      </c>
      <c r="P198" s="7">
        <f>IF($V198="","",SUMIFS('Per Line'!$V$2:$V$1501,'Per Line'!$D$2:$D$1501,$B198,'Per Line'!$AM$2:$AM$1501,1,'Per Line'!$AN$2:$AN$1501,0))</f>
        <v/>
      </c>
      <c r="Q198" s="7">
        <f>IF($V198="","",P198*O198)</f>
        <v/>
      </c>
      <c r="R198" s="7">
        <f>IF($V198="","",Q198+N198)</f>
        <v/>
      </c>
      <c r="S198" s="7">
        <f>IF($V198="","",T198-R198)</f>
        <v/>
      </c>
      <c r="T198" s="7">
        <f>IF($V198="","",M198+P198+K198)</f>
        <v/>
      </c>
      <c r="U198" s="7">
        <f>IF($V198="","",T198-R198-J198)</f>
        <v/>
      </c>
      <c r="V198" s="13">
        <f>IF(ROWS($V$2:$V198)&lt;=MAX('Per Line'!$AL$2:$AL$1501),MATCH(ROWS($V$2:$V198),'Per Line'!$AL$2:$AL$1501,0),"")</f>
        <v/>
      </c>
    </row>
    <row r="199">
      <c r="A199" s="12" t="n"/>
      <c r="B199">
        <f>IF($V199="","",INDEX('Per Line'!$D$2:$D$1501,$V199)&amp;"")</f>
        <v/>
      </c>
      <c r="C199">
        <f>IF($V199="","",INDEX('Per Line'!$A$2:$A$1501,$V199))</f>
        <v/>
      </c>
      <c r="D199">
        <f>IF($V199="","",INDEX('Per Line'!$Z$2:$Z$1501,$V199)&amp;"")</f>
        <v/>
      </c>
      <c r="E199" s="11">
        <f>IF($V199="","",INDEX('Per Line'!$F$2:$F$1501,$V199))</f>
        <v/>
      </c>
      <c r="F199">
        <f>IF($V199="","",INDEX('Per Line'!$I$2:$I$1501,$V199)&amp;"")</f>
        <v/>
      </c>
      <c r="G199">
        <f>IF($V199="","",INDEX('Per Line'!$J$2:$J$1501,$V199)&amp;"")</f>
        <v/>
      </c>
      <c r="H199">
        <f>IF($V199="","",INDEX('Per Line'!$K$2:$K$1501,$V199)&amp;"")</f>
        <v/>
      </c>
      <c r="I199">
        <f>IF($V199="","",INDEX('Per Line'!$M$2:$M$1501,$V199))</f>
        <v/>
      </c>
      <c r="J199" s="7">
        <f>IF($V199="","",I199*T199/100)</f>
        <v/>
      </c>
      <c r="K199" s="7">
        <f>IF($V199="","",SUMIFS('Per Line'!$V$2:$V$1501,'Per Line'!$D$2:$D$1501,$B199,'Per Line'!$AN$2:$AN$1501,1))</f>
        <v/>
      </c>
      <c r="L199">
        <f>IF($V199="","",Settings!$C$7)</f>
        <v/>
      </c>
      <c r="M199" s="7">
        <f>IF($V199="","",SUMIFS('Per Line'!$V$2:$V$1501,'Per Line'!$D$2:$D$1501,$B199,'Per Line'!$AM$2:$AM$1501,0,'Per Line'!$AN$2:$AN$1501,0))</f>
        <v/>
      </c>
      <c r="N199" s="7">
        <f>IF($V199="","",M199*L199)</f>
        <v/>
      </c>
      <c r="O199">
        <f>IF($V199="","",Settings!$C$6)</f>
        <v/>
      </c>
      <c r="P199" s="7">
        <f>IF($V199="","",SUMIFS('Per Line'!$V$2:$V$1501,'Per Line'!$D$2:$D$1501,$B199,'Per Line'!$AM$2:$AM$1501,1,'Per Line'!$AN$2:$AN$1501,0))</f>
        <v/>
      </c>
      <c r="Q199" s="7">
        <f>IF($V199="","",P199*O199)</f>
        <v/>
      </c>
      <c r="R199" s="7">
        <f>IF($V199="","",Q199+N199)</f>
        <v/>
      </c>
      <c r="S199" s="7">
        <f>IF($V199="","",T199-R199)</f>
        <v/>
      </c>
      <c r="T199" s="7">
        <f>IF($V199="","",M199+P199+K199)</f>
        <v/>
      </c>
      <c r="U199" s="7">
        <f>IF($V199="","",T199-R199-J199)</f>
        <v/>
      </c>
      <c r="V199" s="13">
        <f>IF(ROWS($V$2:$V199)&lt;=MAX('Per Line'!$AL$2:$AL$1501),MATCH(ROWS($V$2:$V199),'Per Line'!$AL$2:$AL$1501,0),"")</f>
        <v/>
      </c>
    </row>
    <row r="200">
      <c r="A200" s="12" t="n"/>
      <c r="B200">
        <f>IF($V200="","",INDEX('Per Line'!$D$2:$D$1501,$V200)&amp;"")</f>
        <v/>
      </c>
      <c r="C200">
        <f>IF($V200="","",INDEX('Per Line'!$A$2:$A$1501,$V200))</f>
        <v/>
      </c>
      <c r="D200">
        <f>IF($V200="","",INDEX('Per Line'!$Z$2:$Z$1501,$V200)&amp;"")</f>
        <v/>
      </c>
      <c r="E200" s="11">
        <f>IF($V200="","",INDEX('Per Line'!$F$2:$F$1501,$V200))</f>
        <v/>
      </c>
      <c r="F200">
        <f>IF($V200="","",INDEX('Per Line'!$I$2:$I$1501,$V200)&amp;"")</f>
        <v/>
      </c>
      <c r="G200">
        <f>IF($V200="","",INDEX('Per Line'!$J$2:$J$1501,$V200)&amp;"")</f>
        <v/>
      </c>
      <c r="H200">
        <f>IF($V200="","",INDEX('Per Line'!$K$2:$K$1501,$V200)&amp;"")</f>
        <v/>
      </c>
      <c r="I200">
        <f>IF($V200="","",INDEX('Per Line'!$M$2:$M$1501,$V200))</f>
        <v/>
      </c>
      <c r="J200" s="7">
        <f>IF($V200="","",I200*T200/100)</f>
        <v/>
      </c>
      <c r="K200" s="7">
        <f>IF($V200="","",SUMIFS('Per Line'!$V$2:$V$1501,'Per Line'!$D$2:$D$1501,$B200,'Per Line'!$AN$2:$AN$1501,1))</f>
        <v/>
      </c>
      <c r="L200">
        <f>IF($V200="","",Settings!$C$7)</f>
        <v/>
      </c>
      <c r="M200" s="7">
        <f>IF($V200="","",SUMIFS('Per Line'!$V$2:$V$1501,'Per Line'!$D$2:$D$1501,$B200,'Per Line'!$AM$2:$AM$1501,0,'Per Line'!$AN$2:$AN$1501,0))</f>
        <v/>
      </c>
      <c r="N200" s="7">
        <f>IF($V200="","",M200*L200)</f>
        <v/>
      </c>
      <c r="O200">
        <f>IF($V200="","",Settings!$C$6)</f>
        <v/>
      </c>
      <c r="P200" s="7">
        <f>IF($V200="","",SUMIFS('Per Line'!$V$2:$V$1501,'Per Line'!$D$2:$D$1501,$B200,'Per Line'!$AM$2:$AM$1501,1,'Per Line'!$AN$2:$AN$1501,0))</f>
        <v/>
      </c>
      <c r="Q200" s="7">
        <f>IF($V200="","",P200*O200)</f>
        <v/>
      </c>
      <c r="R200" s="7">
        <f>IF($V200="","",Q200+N200)</f>
        <v/>
      </c>
      <c r="S200" s="7">
        <f>IF($V200="","",T200-R200)</f>
        <v/>
      </c>
      <c r="T200" s="7">
        <f>IF($V200="","",M200+P200+K200)</f>
        <v/>
      </c>
      <c r="U200" s="7">
        <f>IF($V200="","",T200-R200-J200)</f>
        <v/>
      </c>
      <c r="V200" s="13">
        <f>IF(ROWS($V$2:$V200)&lt;=MAX('Per Line'!$AL$2:$AL$1501),MATCH(ROWS($V$2:$V200),'Per Line'!$AL$2:$AL$1501,0),"")</f>
        <v/>
      </c>
    </row>
    <row r="201">
      <c r="A201" s="12" t="n"/>
      <c r="B201">
        <f>IF($V201="","",INDEX('Per Line'!$D$2:$D$1501,$V201)&amp;"")</f>
        <v/>
      </c>
      <c r="C201">
        <f>IF($V201="","",INDEX('Per Line'!$A$2:$A$1501,$V201))</f>
        <v/>
      </c>
      <c r="D201">
        <f>IF($V201="","",INDEX('Per Line'!$Z$2:$Z$1501,$V201)&amp;"")</f>
        <v/>
      </c>
      <c r="E201" s="11">
        <f>IF($V201="","",INDEX('Per Line'!$F$2:$F$1501,$V201))</f>
        <v/>
      </c>
      <c r="F201">
        <f>IF($V201="","",INDEX('Per Line'!$I$2:$I$1501,$V201)&amp;"")</f>
        <v/>
      </c>
      <c r="G201">
        <f>IF($V201="","",INDEX('Per Line'!$J$2:$J$1501,$V201)&amp;"")</f>
        <v/>
      </c>
      <c r="H201">
        <f>IF($V201="","",INDEX('Per Line'!$K$2:$K$1501,$V201)&amp;"")</f>
        <v/>
      </c>
      <c r="I201">
        <f>IF($V201="","",INDEX('Per Line'!$M$2:$M$1501,$V201))</f>
        <v/>
      </c>
      <c r="J201" s="7">
        <f>IF($V201="","",I201*T201/100)</f>
        <v/>
      </c>
      <c r="K201" s="7">
        <f>IF($V201="","",SUMIFS('Per Line'!$V$2:$V$1501,'Per Line'!$D$2:$D$1501,$B201,'Per Line'!$AN$2:$AN$1501,1))</f>
        <v/>
      </c>
      <c r="L201">
        <f>IF($V201="","",Settings!$C$7)</f>
        <v/>
      </c>
      <c r="M201" s="7">
        <f>IF($V201="","",SUMIFS('Per Line'!$V$2:$V$1501,'Per Line'!$D$2:$D$1501,$B201,'Per Line'!$AM$2:$AM$1501,0,'Per Line'!$AN$2:$AN$1501,0))</f>
        <v/>
      </c>
      <c r="N201" s="7">
        <f>IF($V201="","",M201*L201)</f>
        <v/>
      </c>
      <c r="O201">
        <f>IF($V201="","",Settings!$C$6)</f>
        <v/>
      </c>
      <c r="P201" s="7">
        <f>IF($V201="","",SUMIFS('Per Line'!$V$2:$V$1501,'Per Line'!$D$2:$D$1501,$B201,'Per Line'!$AM$2:$AM$1501,1,'Per Line'!$AN$2:$AN$1501,0))</f>
        <v/>
      </c>
      <c r="Q201" s="7">
        <f>IF($V201="","",P201*O201)</f>
        <v/>
      </c>
      <c r="R201" s="7">
        <f>IF($V201="","",Q201+N201)</f>
        <v/>
      </c>
      <c r="S201" s="7">
        <f>IF($V201="","",T201-R201)</f>
        <v/>
      </c>
      <c r="T201" s="7">
        <f>IF($V201="","",M201+P201+K201)</f>
        <v/>
      </c>
      <c r="U201" s="7">
        <f>IF($V201="","",T201-R201-J201)</f>
        <v/>
      </c>
      <c r="V201" s="13">
        <f>IF(ROWS($V$2:$V201)&lt;=MAX('Per Line'!$AL$2:$AL$1501),MATCH(ROWS($V$2:$V201),'Per Line'!$AL$2:$AL$1501,0),"")</f>
        <v/>
      </c>
    </row>
    <row r="202">
      <c r="A202" s="12" t="n"/>
      <c r="B202">
        <f>IF($V202="","",INDEX('Per Line'!$D$2:$D$1501,$V202)&amp;"")</f>
        <v/>
      </c>
      <c r="C202">
        <f>IF($V202="","",INDEX('Per Line'!$A$2:$A$1501,$V202))</f>
        <v/>
      </c>
      <c r="D202">
        <f>IF($V202="","",INDEX('Per Line'!$Z$2:$Z$1501,$V202)&amp;"")</f>
        <v/>
      </c>
      <c r="E202" s="11">
        <f>IF($V202="","",INDEX('Per Line'!$F$2:$F$1501,$V202))</f>
        <v/>
      </c>
      <c r="F202">
        <f>IF($V202="","",INDEX('Per Line'!$I$2:$I$1501,$V202)&amp;"")</f>
        <v/>
      </c>
      <c r="G202">
        <f>IF($V202="","",INDEX('Per Line'!$J$2:$J$1501,$V202)&amp;"")</f>
        <v/>
      </c>
      <c r="H202">
        <f>IF($V202="","",INDEX('Per Line'!$K$2:$K$1501,$V202)&amp;"")</f>
        <v/>
      </c>
      <c r="I202">
        <f>IF($V202="","",INDEX('Per Line'!$M$2:$M$1501,$V202))</f>
        <v/>
      </c>
      <c r="J202" s="7">
        <f>IF($V202="","",I202*T202/100)</f>
        <v/>
      </c>
      <c r="K202" s="7">
        <f>IF($V202="","",SUMIFS('Per Line'!$V$2:$V$1501,'Per Line'!$D$2:$D$1501,$B202,'Per Line'!$AN$2:$AN$1501,1))</f>
        <v/>
      </c>
      <c r="L202">
        <f>IF($V202="","",Settings!$C$7)</f>
        <v/>
      </c>
      <c r="M202" s="7">
        <f>IF($V202="","",SUMIFS('Per Line'!$V$2:$V$1501,'Per Line'!$D$2:$D$1501,$B202,'Per Line'!$AM$2:$AM$1501,0,'Per Line'!$AN$2:$AN$1501,0))</f>
        <v/>
      </c>
      <c r="N202" s="7">
        <f>IF($V202="","",M202*L202)</f>
        <v/>
      </c>
      <c r="O202">
        <f>IF($V202="","",Settings!$C$6)</f>
        <v/>
      </c>
      <c r="P202" s="7">
        <f>IF($V202="","",SUMIFS('Per Line'!$V$2:$V$1501,'Per Line'!$D$2:$D$1501,$B202,'Per Line'!$AM$2:$AM$1501,1,'Per Line'!$AN$2:$AN$1501,0))</f>
        <v/>
      </c>
      <c r="Q202" s="7">
        <f>IF($V202="","",P202*O202)</f>
        <v/>
      </c>
      <c r="R202" s="7">
        <f>IF($V202="","",Q202+N202)</f>
        <v/>
      </c>
      <c r="S202" s="7">
        <f>IF($V202="","",T202-R202)</f>
        <v/>
      </c>
      <c r="T202" s="7">
        <f>IF($V202="","",M202+P202+K202)</f>
        <v/>
      </c>
      <c r="U202" s="7">
        <f>IF($V202="","",T202-R202-J202)</f>
        <v/>
      </c>
      <c r="V202" s="13">
        <f>IF(ROWS($V$2:$V202)&lt;=MAX('Per Line'!$AL$2:$AL$1501),MATCH(ROWS($V$2:$V202),'Per Line'!$AL$2:$AL$1501,0),"")</f>
        <v/>
      </c>
    </row>
    <row r="203">
      <c r="A203" s="12" t="n"/>
      <c r="B203">
        <f>IF($V203="","",INDEX('Per Line'!$D$2:$D$1501,$V203)&amp;"")</f>
        <v/>
      </c>
      <c r="C203">
        <f>IF($V203="","",INDEX('Per Line'!$A$2:$A$1501,$V203))</f>
        <v/>
      </c>
      <c r="D203">
        <f>IF($V203="","",INDEX('Per Line'!$Z$2:$Z$1501,$V203)&amp;"")</f>
        <v/>
      </c>
      <c r="E203" s="11">
        <f>IF($V203="","",INDEX('Per Line'!$F$2:$F$1501,$V203))</f>
        <v/>
      </c>
      <c r="F203">
        <f>IF($V203="","",INDEX('Per Line'!$I$2:$I$1501,$V203)&amp;"")</f>
        <v/>
      </c>
      <c r="G203">
        <f>IF($V203="","",INDEX('Per Line'!$J$2:$J$1501,$V203)&amp;"")</f>
        <v/>
      </c>
      <c r="H203">
        <f>IF($V203="","",INDEX('Per Line'!$K$2:$K$1501,$V203)&amp;"")</f>
        <v/>
      </c>
      <c r="I203">
        <f>IF($V203="","",INDEX('Per Line'!$M$2:$M$1501,$V203))</f>
        <v/>
      </c>
      <c r="J203" s="7">
        <f>IF($V203="","",I203*T203/100)</f>
        <v/>
      </c>
      <c r="K203" s="7">
        <f>IF($V203="","",SUMIFS('Per Line'!$V$2:$V$1501,'Per Line'!$D$2:$D$1501,$B203,'Per Line'!$AN$2:$AN$1501,1))</f>
        <v/>
      </c>
      <c r="L203">
        <f>IF($V203="","",Settings!$C$7)</f>
        <v/>
      </c>
      <c r="M203" s="7">
        <f>IF($V203="","",SUMIFS('Per Line'!$V$2:$V$1501,'Per Line'!$D$2:$D$1501,$B203,'Per Line'!$AM$2:$AM$1501,0,'Per Line'!$AN$2:$AN$1501,0))</f>
        <v/>
      </c>
      <c r="N203" s="7">
        <f>IF($V203="","",M203*L203)</f>
        <v/>
      </c>
      <c r="O203">
        <f>IF($V203="","",Settings!$C$6)</f>
        <v/>
      </c>
      <c r="P203" s="7">
        <f>IF($V203="","",SUMIFS('Per Line'!$V$2:$V$1501,'Per Line'!$D$2:$D$1501,$B203,'Per Line'!$AM$2:$AM$1501,1,'Per Line'!$AN$2:$AN$1501,0))</f>
        <v/>
      </c>
      <c r="Q203" s="7">
        <f>IF($V203="","",P203*O203)</f>
        <v/>
      </c>
      <c r="R203" s="7">
        <f>IF($V203="","",Q203+N203)</f>
        <v/>
      </c>
      <c r="S203" s="7">
        <f>IF($V203="","",T203-R203)</f>
        <v/>
      </c>
      <c r="T203" s="7">
        <f>IF($V203="","",M203+P203+K203)</f>
        <v/>
      </c>
      <c r="U203" s="7">
        <f>IF($V203="","",T203-R203-J203)</f>
        <v/>
      </c>
      <c r="V203" s="13">
        <f>IF(ROWS($V$2:$V203)&lt;=MAX('Per Line'!$AL$2:$AL$1501),MATCH(ROWS($V$2:$V203),'Per Line'!$AL$2:$AL$1501,0),"")</f>
        <v/>
      </c>
    </row>
    <row r="204">
      <c r="A204" s="12" t="n"/>
      <c r="B204">
        <f>IF($V204="","",INDEX('Per Line'!$D$2:$D$1501,$V204)&amp;"")</f>
        <v/>
      </c>
      <c r="C204">
        <f>IF($V204="","",INDEX('Per Line'!$A$2:$A$1501,$V204))</f>
        <v/>
      </c>
      <c r="D204">
        <f>IF($V204="","",INDEX('Per Line'!$Z$2:$Z$1501,$V204)&amp;"")</f>
        <v/>
      </c>
      <c r="E204" s="11">
        <f>IF($V204="","",INDEX('Per Line'!$F$2:$F$1501,$V204))</f>
        <v/>
      </c>
      <c r="F204">
        <f>IF($V204="","",INDEX('Per Line'!$I$2:$I$1501,$V204)&amp;"")</f>
        <v/>
      </c>
      <c r="G204">
        <f>IF($V204="","",INDEX('Per Line'!$J$2:$J$1501,$V204)&amp;"")</f>
        <v/>
      </c>
      <c r="H204">
        <f>IF($V204="","",INDEX('Per Line'!$K$2:$K$1501,$V204)&amp;"")</f>
        <v/>
      </c>
      <c r="I204">
        <f>IF($V204="","",INDEX('Per Line'!$M$2:$M$1501,$V204))</f>
        <v/>
      </c>
      <c r="J204" s="7">
        <f>IF($V204="","",I204*T204/100)</f>
        <v/>
      </c>
      <c r="K204" s="7">
        <f>IF($V204="","",SUMIFS('Per Line'!$V$2:$V$1501,'Per Line'!$D$2:$D$1501,$B204,'Per Line'!$AN$2:$AN$1501,1))</f>
        <v/>
      </c>
      <c r="L204">
        <f>IF($V204="","",Settings!$C$7)</f>
        <v/>
      </c>
      <c r="M204" s="7">
        <f>IF($V204="","",SUMIFS('Per Line'!$V$2:$V$1501,'Per Line'!$D$2:$D$1501,$B204,'Per Line'!$AM$2:$AM$1501,0,'Per Line'!$AN$2:$AN$1501,0))</f>
        <v/>
      </c>
      <c r="N204" s="7">
        <f>IF($V204="","",M204*L204)</f>
        <v/>
      </c>
      <c r="O204">
        <f>IF($V204="","",Settings!$C$6)</f>
        <v/>
      </c>
      <c r="P204" s="7">
        <f>IF($V204="","",SUMIFS('Per Line'!$V$2:$V$1501,'Per Line'!$D$2:$D$1501,$B204,'Per Line'!$AM$2:$AM$1501,1,'Per Line'!$AN$2:$AN$1501,0))</f>
        <v/>
      </c>
      <c r="Q204" s="7">
        <f>IF($V204="","",P204*O204)</f>
        <v/>
      </c>
      <c r="R204" s="7">
        <f>IF($V204="","",Q204+N204)</f>
        <v/>
      </c>
      <c r="S204" s="7">
        <f>IF($V204="","",T204-R204)</f>
        <v/>
      </c>
      <c r="T204" s="7">
        <f>IF($V204="","",M204+P204+K204)</f>
        <v/>
      </c>
      <c r="U204" s="7">
        <f>IF($V204="","",T204-R204-J204)</f>
        <v/>
      </c>
      <c r="V204" s="13">
        <f>IF(ROWS($V$2:$V204)&lt;=MAX('Per Line'!$AL$2:$AL$1501),MATCH(ROWS($V$2:$V204),'Per Line'!$AL$2:$AL$1501,0),"")</f>
        <v/>
      </c>
    </row>
    <row r="205">
      <c r="A205" s="12" t="n"/>
      <c r="B205">
        <f>IF($V205="","",INDEX('Per Line'!$D$2:$D$1501,$V205)&amp;"")</f>
        <v/>
      </c>
      <c r="C205">
        <f>IF($V205="","",INDEX('Per Line'!$A$2:$A$1501,$V205))</f>
        <v/>
      </c>
      <c r="D205">
        <f>IF($V205="","",INDEX('Per Line'!$Z$2:$Z$1501,$V205)&amp;"")</f>
        <v/>
      </c>
      <c r="E205" s="11">
        <f>IF($V205="","",INDEX('Per Line'!$F$2:$F$1501,$V205))</f>
        <v/>
      </c>
      <c r="F205">
        <f>IF($V205="","",INDEX('Per Line'!$I$2:$I$1501,$V205)&amp;"")</f>
        <v/>
      </c>
      <c r="G205">
        <f>IF($V205="","",INDEX('Per Line'!$J$2:$J$1501,$V205)&amp;"")</f>
        <v/>
      </c>
      <c r="H205">
        <f>IF($V205="","",INDEX('Per Line'!$K$2:$K$1501,$V205)&amp;"")</f>
        <v/>
      </c>
      <c r="I205">
        <f>IF($V205="","",INDEX('Per Line'!$M$2:$M$1501,$V205))</f>
        <v/>
      </c>
      <c r="J205" s="7">
        <f>IF($V205="","",I205*T205/100)</f>
        <v/>
      </c>
      <c r="K205" s="7">
        <f>IF($V205="","",SUMIFS('Per Line'!$V$2:$V$1501,'Per Line'!$D$2:$D$1501,$B205,'Per Line'!$AN$2:$AN$1501,1))</f>
        <v/>
      </c>
      <c r="L205">
        <f>IF($V205="","",Settings!$C$7)</f>
        <v/>
      </c>
      <c r="M205" s="7">
        <f>IF($V205="","",SUMIFS('Per Line'!$V$2:$V$1501,'Per Line'!$D$2:$D$1501,$B205,'Per Line'!$AM$2:$AM$1501,0,'Per Line'!$AN$2:$AN$1501,0))</f>
        <v/>
      </c>
      <c r="N205" s="7">
        <f>IF($V205="","",M205*L205)</f>
        <v/>
      </c>
      <c r="O205">
        <f>IF($V205="","",Settings!$C$6)</f>
        <v/>
      </c>
      <c r="P205" s="7">
        <f>IF($V205="","",SUMIFS('Per Line'!$V$2:$V$1501,'Per Line'!$D$2:$D$1501,$B205,'Per Line'!$AM$2:$AM$1501,1,'Per Line'!$AN$2:$AN$1501,0))</f>
        <v/>
      </c>
      <c r="Q205" s="7">
        <f>IF($V205="","",P205*O205)</f>
        <v/>
      </c>
      <c r="R205" s="7">
        <f>IF($V205="","",Q205+N205)</f>
        <v/>
      </c>
      <c r="S205" s="7">
        <f>IF($V205="","",T205-R205)</f>
        <v/>
      </c>
      <c r="T205" s="7">
        <f>IF($V205="","",M205+P205+K205)</f>
        <v/>
      </c>
      <c r="U205" s="7">
        <f>IF($V205="","",T205-R205-J205)</f>
        <v/>
      </c>
      <c r="V205" s="13">
        <f>IF(ROWS($V$2:$V205)&lt;=MAX('Per Line'!$AL$2:$AL$1501),MATCH(ROWS($V$2:$V205),'Per Line'!$AL$2:$AL$1501,0),"")</f>
        <v/>
      </c>
    </row>
    <row r="206">
      <c r="A206" s="12" t="n"/>
      <c r="B206">
        <f>IF($V206="","",INDEX('Per Line'!$D$2:$D$1501,$V206)&amp;"")</f>
        <v/>
      </c>
      <c r="C206">
        <f>IF($V206="","",INDEX('Per Line'!$A$2:$A$1501,$V206))</f>
        <v/>
      </c>
      <c r="D206">
        <f>IF($V206="","",INDEX('Per Line'!$Z$2:$Z$1501,$V206)&amp;"")</f>
        <v/>
      </c>
      <c r="E206" s="11">
        <f>IF($V206="","",INDEX('Per Line'!$F$2:$F$1501,$V206))</f>
        <v/>
      </c>
      <c r="F206">
        <f>IF($V206="","",INDEX('Per Line'!$I$2:$I$1501,$V206)&amp;"")</f>
        <v/>
      </c>
      <c r="G206">
        <f>IF($V206="","",INDEX('Per Line'!$J$2:$J$1501,$V206)&amp;"")</f>
        <v/>
      </c>
      <c r="H206">
        <f>IF($V206="","",INDEX('Per Line'!$K$2:$K$1501,$V206)&amp;"")</f>
        <v/>
      </c>
      <c r="I206">
        <f>IF($V206="","",INDEX('Per Line'!$M$2:$M$1501,$V206))</f>
        <v/>
      </c>
      <c r="J206" s="7">
        <f>IF($V206="","",I206*T206/100)</f>
        <v/>
      </c>
      <c r="K206" s="7">
        <f>IF($V206="","",SUMIFS('Per Line'!$V$2:$V$1501,'Per Line'!$D$2:$D$1501,$B206,'Per Line'!$AN$2:$AN$1501,1))</f>
        <v/>
      </c>
      <c r="L206">
        <f>IF($V206="","",Settings!$C$7)</f>
        <v/>
      </c>
      <c r="M206" s="7">
        <f>IF($V206="","",SUMIFS('Per Line'!$V$2:$V$1501,'Per Line'!$D$2:$D$1501,$B206,'Per Line'!$AM$2:$AM$1501,0,'Per Line'!$AN$2:$AN$1501,0))</f>
        <v/>
      </c>
      <c r="N206" s="7">
        <f>IF($V206="","",M206*L206)</f>
        <v/>
      </c>
      <c r="O206">
        <f>IF($V206="","",Settings!$C$6)</f>
        <v/>
      </c>
      <c r="P206" s="7">
        <f>IF($V206="","",SUMIFS('Per Line'!$V$2:$V$1501,'Per Line'!$D$2:$D$1501,$B206,'Per Line'!$AM$2:$AM$1501,1,'Per Line'!$AN$2:$AN$1501,0))</f>
        <v/>
      </c>
      <c r="Q206" s="7">
        <f>IF($V206="","",P206*O206)</f>
        <v/>
      </c>
      <c r="R206" s="7">
        <f>IF($V206="","",Q206+N206)</f>
        <v/>
      </c>
      <c r="S206" s="7">
        <f>IF($V206="","",T206-R206)</f>
        <v/>
      </c>
      <c r="T206" s="7">
        <f>IF($V206="","",M206+P206+K206)</f>
        <v/>
      </c>
      <c r="U206" s="7">
        <f>IF($V206="","",T206-R206-J206)</f>
        <v/>
      </c>
      <c r="V206" s="13">
        <f>IF(ROWS($V$2:$V206)&lt;=MAX('Per Line'!$AL$2:$AL$1501),MATCH(ROWS($V$2:$V206),'Per Line'!$AL$2:$AL$1501,0),"")</f>
        <v/>
      </c>
    </row>
    <row r="207">
      <c r="A207" s="12" t="n"/>
      <c r="B207">
        <f>IF($V207="","",INDEX('Per Line'!$D$2:$D$1501,$V207)&amp;"")</f>
        <v/>
      </c>
      <c r="C207">
        <f>IF($V207="","",INDEX('Per Line'!$A$2:$A$1501,$V207))</f>
        <v/>
      </c>
      <c r="D207">
        <f>IF($V207="","",INDEX('Per Line'!$Z$2:$Z$1501,$V207)&amp;"")</f>
        <v/>
      </c>
      <c r="E207" s="11">
        <f>IF($V207="","",INDEX('Per Line'!$F$2:$F$1501,$V207))</f>
        <v/>
      </c>
      <c r="F207">
        <f>IF($V207="","",INDEX('Per Line'!$I$2:$I$1501,$V207)&amp;"")</f>
        <v/>
      </c>
      <c r="G207">
        <f>IF($V207="","",INDEX('Per Line'!$J$2:$J$1501,$V207)&amp;"")</f>
        <v/>
      </c>
      <c r="H207">
        <f>IF($V207="","",INDEX('Per Line'!$K$2:$K$1501,$V207)&amp;"")</f>
        <v/>
      </c>
      <c r="I207">
        <f>IF($V207="","",INDEX('Per Line'!$M$2:$M$1501,$V207))</f>
        <v/>
      </c>
      <c r="J207" s="7">
        <f>IF($V207="","",I207*T207/100)</f>
        <v/>
      </c>
      <c r="K207" s="7">
        <f>IF($V207="","",SUMIFS('Per Line'!$V$2:$V$1501,'Per Line'!$D$2:$D$1501,$B207,'Per Line'!$AN$2:$AN$1501,1))</f>
        <v/>
      </c>
      <c r="L207">
        <f>IF($V207="","",Settings!$C$7)</f>
        <v/>
      </c>
      <c r="M207" s="7">
        <f>IF($V207="","",SUMIFS('Per Line'!$V$2:$V$1501,'Per Line'!$D$2:$D$1501,$B207,'Per Line'!$AM$2:$AM$1501,0,'Per Line'!$AN$2:$AN$1501,0))</f>
        <v/>
      </c>
      <c r="N207" s="7">
        <f>IF($V207="","",M207*L207)</f>
        <v/>
      </c>
      <c r="O207">
        <f>IF($V207="","",Settings!$C$6)</f>
        <v/>
      </c>
      <c r="P207" s="7">
        <f>IF($V207="","",SUMIFS('Per Line'!$V$2:$V$1501,'Per Line'!$D$2:$D$1501,$B207,'Per Line'!$AM$2:$AM$1501,1,'Per Line'!$AN$2:$AN$1501,0))</f>
        <v/>
      </c>
      <c r="Q207" s="7">
        <f>IF($V207="","",P207*O207)</f>
        <v/>
      </c>
      <c r="R207" s="7">
        <f>IF($V207="","",Q207+N207)</f>
        <v/>
      </c>
      <c r="S207" s="7">
        <f>IF($V207="","",T207-R207)</f>
        <v/>
      </c>
      <c r="T207" s="7">
        <f>IF($V207="","",M207+P207+K207)</f>
        <v/>
      </c>
      <c r="U207" s="7">
        <f>IF($V207="","",T207-R207-J207)</f>
        <v/>
      </c>
      <c r="V207" s="13">
        <f>IF(ROWS($V$2:$V207)&lt;=MAX('Per Line'!$AL$2:$AL$1501),MATCH(ROWS($V$2:$V207),'Per Line'!$AL$2:$AL$1501,0),"")</f>
        <v/>
      </c>
    </row>
    <row r="208">
      <c r="A208" s="12" t="n"/>
      <c r="B208">
        <f>IF($V208="","",INDEX('Per Line'!$D$2:$D$1501,$V208)&amp;"")</f>
        <v/>
      </c>
      <c r="C208">
        <f>IF($V208="","",INDEX('Per Line'!$A$2:$A$1501,$V208))</f>
        <v/>
      </c>
      <c r="D208">
        <f>IF($V208="","",INDEX('Per Line'!$Z$2:$Z$1501,$V208)&amp;"")</f>
        <v/>
      </c>
      <c r="E208" s="11">
        <f>IF($V208="","",INDEX('Per Line'!$F$2:$F$1501,$V208))</f>
        <v/>
      </c>
      <c r="F208">
        <f>IF($V208="","",INDEX('Per Line'!$I$2:$I$1501,$V208)&amp;"")</f>
        <v/>
      </c>
      <c r="G208">
        <f>IF($V208="","",INDEX('Per Line'!$J$2:$J$1501,$V208)&amp;"")</f>
        <v/>
      </c>
      <c r="H208">
        <f>IF($V208="","",INDEX('Per Line'!$K$2:$K$1501,$V208)&amp;"")</f>
        <v/>
      </c>
      <c r="I208">
        <f>IF($V208="","",INDEX('Per Line'!$M$2:$M$1501,$V208))</f>
        <v/>
      </c>
      <c r="J208" s="7">
        <f>IF($V208="","",I208*T208/100)</f>
        <v/>
      </c>
      <c r="K208" s="7">
        <f>IF($V208="","",SUMIFS('Per Line'!$V$2:$V$1501,'Per Line'!$D$2:$D$1501,$B208,'Per Line'!$AN$2:$AN$1501,1))</f>
        <v/>
      </c>
      <c r="L208">
        <f>IF($V208="","",Settings!$C$7)</f>
        <v/>
      </c>
      <c r="M208" s="7">
        <f>IF($V208="","",SUMIFS('Per Line'!$V$2:$V$1501,'Per Line'!$D$2:$D$1501,$B208,'Per Line'!$AM$2:$AM$1501,0,'Per Line'!$AN$2:$AN$1501,0))</f>
        <v/>
      </c>
      <c r="N208" s="7">
        <f>IF($V208="","",M208*L208)</f>
        <v/>
      </c>
      <c r="O208">
        <f>IF($V208="","",Settings!$C$6)</f>
        <v/>
      </c>
      <c r="P208" s="7">
        <f>IF($V208="","",SUMIFS('Per Line'!$V$2:$V$1501,'Per Line'!$D$2:$D$1501,$B208,'Per Line'!$AM$2:$AM$1501,1,'Per Line'!$AN$2:$AN$1501,0))</f>
        <v/>
      </c>
      <c r="Q208" s="7">
        <f>IF($V208="","",P208*O208)</f>
        <v/>
      </c>
      <c r="R208" s="7">
        <f>IF($V208="","",Q208+N208)</f>
        <v/>
      </c>
      <c r="S208" s="7">
        <f>IF($V208="","",T208-R208)</f>
        <v/>
      </c>
      <c r="T208" s="7">
        <f>IF($V208="","",M208+P208+K208)</f>
        <v/>
      </c>
      <c r="U208" s="7">
        <f>IF($V208="","",T208-R208-J208)</f>
        <v/>
      </c>
      <c r="V208" s="13">
        <f>IF(ROWS($V$2:$V208)&lt;=MAX('Per Line'!$AL$2:$AL$1501),MATCH(ROWS($V$2:$V208),'Per Line'!$AL$2:$AL$1501,0),"")</f>
        <v/>
      </c>
    </row>
    <row r="209">
      <c r="A209" s="12" t="n"/>
      <c r="B209">
        <f>IF($V209="","",INDEX('Per Line'!$D$2:$D$1501,$V209)&amp;"")</f>
        <v/>
      </c>
      <c r="C209">
        <f>IF($V209="","",INDEX('Per Line'!$A$2:$A$1501,$V209))</f>
        <v/>
      </c>
      <c r="D209">
        <f>IF($V209="","",INDEX('Per Line'!$Z$2:$Z$1501,$V209)&amp;"")</f>
        <v/>
      </c>
      <c r="E209" s="11">
        <f>IF($V209="","",INDEX('Per Line'!$F$2:$F$1501,$V209))</f>
        <v/>
      </c>
      <c r="F209">
        <f>IF($V209="","",INDEX('Per Line'!$I$2:$I$1501,$V209)&amp;"")</f>
        <v/>
      </c>
      <c r="G209">
        <f>IF($V209="","",INDEX('Per Line'!$J$2:$J$1501,$V209)&amp;"")</f>
        <v/>
      </c>
      <c r="H209">
        <f>IF($V209="","",INDEX('Per Line'!$K$2:$K$1501,$V209)&amp;"")</f>
        <v/>
      </c>
      <c r="I209">
        <f>IF($V209="","",INDEX('Per Line'!$M$2:$M$1501,$V209))</f>
        <v/>
      </c>
      <c r="J209" s="7">
        <f>IF($V209="","",I209*T209/100)</f>
        <v/>
      </c>
      <c r="K209" s="7">
        <f>IF($V209="","",SUMIFS('Per Line'!$V$2:$V$1501,'Per Line'!$D$2:$D$1501,$B209,'Per Line'!$AN$2:$AN$1501,1))</f>
        <v/>
      </c>
      <c r="L209">
        <f>IF($V209="","",Settings!$C$7)</f>
        <v/>
      </c>
      <c r="M209" s="7">
        <f>IF($V209="","",SUMIFS('Per Line'!$V$2:$V$1501,'Per Line'!$D$2:$D$1501,$B209,'Per Line'!$AM$2:$AM$1501,0,'Per Line'!$AN$2:$AN$1501,0))</f>
        <v/>
      </c>
      <c r="N209" s="7">
        <f>IF($V209="","",M209*L209)</f>
        <v/>
      </c>
      <c r="O209">
        <f>IF($V209="","",Settings!$C$6)</f>
        <v/>
      </c>
      <c r="P209" s="7">
        <f>IF($V209="","",SUMIFS('Per Line'!$V$2:$V$1501,'Per Line'!$D$2:$D$1501,$B209,'Per Line'!$AM$2:$AM$1501,1,'Per Line'!$AN$2:$AN$1501,0))</f>
        <v/>
      </c>
      <c r="Q209" s="7">
        <f>IF($V209="","",P209*O209)</f>
        <v/>
      </c>
      <c r="R209" s="7">
        <f>IF($V209="","",Q209+N209)</f>
        <v/>
      </c>
      <c r="S209" s="7">
        <f>IF($V209="","",T209-R209)</f>
        <v/>
      </c>
      <c r="T209" s="7">
        <f>IF($V209="","",M209+P209+K209)</f>
        <v/>
      </c>
      <c r="U209" s="7">
        <f>IF($V209="","",T209-R209-J209)</f>
        <v/>
      </c>
      <c r="V209" s="13">
        <f>IF(ROWS($V$2:$V209)&lt;=MAX('Per Line'!$AL$2:$AL$1501),MATCH(ROWS($V$2:$V209),'Per Line'!$AL$2:$AL$1501,0),"")</f>
        <v/>
      </c>
    </row>
    <row r="210">
      <c r="A210" s="12" t="n"/>
      <c r="B210">
        <f>IF($V210="","",INDEX('Per Line'!$D$2:$D$1501,$V210)&amp;"")</f>
        <v/>
      </c>
      <c r="C210">
        <f>IF($V210="","",INDEX('Per Line'!$A$2:$A$1501,$V210))</f>
        <v/>
      </c>
      <c r="D210">
        <f>IF($V210="","",INDEX('Per Line'!$Z$2:$Z$1501,$V210)&amp;"")</f>
        <v/>
      </c>
      <c r="E210" s="11">
        <f>IF($V210="","",INDEX('Per Line'!$F$2:$F$1501,$V210))</f>
        <v/>
      </c>
      <c r="F210">
        <f>IF($V210="","",INDEX('Per Line'!$I$2:$I$1501,$V210)&amp;"")</f>
        <v/>
      </c>
      <c r="G210">
        <f>IF($V210="","",INDEX('Per Line'!$J$2:$J$1501,$V210)&amp;"")</f>
        <v/>
      </c>
      <c r="H210">
        <f>IF($V210="","",INDEX('Per Line'!$K$2:$K$1501,$V210)&amp;"")</f>
        <v/>
      </c>
      <c r="I210">
        <f>IF($V210="","",INDEX('Per Line'!$M$2:$M$1501,$V210))</f>
        <v/>
      </c>
      <c r="J210" s="7">
        <f>IF($V210="","",I210*T210/100)</f>
        <v/>
      </c>
      <c r="K210" s="7">
        <f>IF($V210="","",SUMIFS('Per Line'!$V$2:$V$1501,'Per Line'!$D$2:$D$1501,$B210,'Per Line'!$AN$2:$AN$1501,1))</f>
        <v/>
      </c>
      <c r="L210">
        <f>IF($V210="","",Settings!$C$7)</f>
        <v/>
      </c>
      <c r="M210" s="7">
        <f>IF($V210="","",SUMIFS('Per Line'!$V$2:$V$1501,'Per Line'!$D$2:$D$1501,$B210,'Per Line'!$AM$2:$AM$1501,0,'Per Line'!$AN$2:$AN$1501,0))</f>
        <v/>
      </c>
      <c r="N210" s="7">
        <f>IF($V210="","",M210*L210)</f>
        <v/>
      </c>
      <c r="O210">
        <f>IF($V210="","",Settings!$C$6)</f>
        <v/>
      </c>
      <c r="P210" s="7">
        <f>IF($V210="","",SUMIFS('Per Line'!$V$2:$V$1501,'Per Line'!$D$2:$D$1501,$B210,'Per Line'!$AM$2:$AM$1501,1,'Per Line'!$AN$2:$AN$1501,0))</f>
        <v/>
      </c>
      <c r="Q210" s="7">
        <f>IF($V210="","",P210*O210)</f>
        <v/>
      </c>
      <c r="R210" s="7">
        <f>IF($V210="","",Q210+N210)</f>
        <v/>
      </c>
      <c r="S210" s="7">
        <f>IF($V210="","",T210-R210)</f>
        <v/>
      </c>
      <c r="T210" s="7">
        <f>IF($V210="","",M210+P210+K210)</f>
        <v/>
      </c>
      <c r="U210" s="7">
        <f>IF($V210="","",T210-R210-J210)</f>
        <v/>
      </c>
      <c r="V210" s="13">
        <f>IF(ROWS($V$2:$V210)&lt;=MAX('Per Line'!$AL$2:$AL$1501),MATCH(ROWS($V$2:$V210),'Per Line'!$AL$2:$AL$1501,0),"")</f>
        <v/>
      </c>
    </row>
    <row r="211">
      <c r="A211" s="12" t="n"/>
      <c r="B211">
        <f>IF($V211="","",INDEX('Per Line'!$D$2:$D$1501,$V211)&amp;"")</f>
        <v/>
      </c>
      <c r="C211">
        <f>IF($V211="","",INDEX('Per Line'!$A$2:$A$1501,$V211))</f>
        <v/>
      </c>
      <c r="D211">
        <f>IF($V211="","",INDEX('Per Line'!$Z$2:$Z$1501,$V211)&amp;"")</f>
        <v/>
      </c>
      <c r="E211" s="11">
        <f>IF($V211="","",INDEX('Per Line'!$F$2:$F$1501,$V211))</f>
        <v/>
      </c>
      <c r="F211">
        <f>IF($V211="","",INDEX('Per Line'!$I$2:$I$1501,$V211)&amp;"")</f>
        <v/>
      </c>
      <c r="G211">
        <f>IF($V211="","",INDEX('Per Line'!$J$2:$J$1501,$V211)&amp;"")</f>
        <v/>
      </c>
      <c r="H211">
        <f>IF($V211="","",INDEX('Per Line'!$K$2:$K$1501,$V211)&amp;"")</f>
        <v/>
      </c>
      <c r="I211">
        <f>IF($V211="","",INDEX('Per Line'!$M$2:$M$1501,$V211))</f>
        <v/>
      </c>
      <c r="J211" s="7">
        <f>IF($V211="","",I211*T211/100)</f>
        <v/>
      </c>
      <c r="K211" s="7">
        <f>IF($V211="","",SUMIFS('Per Line'!$V$2:$V$1501,'Per Line'!$D$2:$D$1501,$B211,'Per Line'!$AN$2:$AN$1501,1))</f>
        <v/>
      </c>
      <c r="L211">
        <f>IF($V211="","",Settings!$C$7)</f>
        <v/>
      </c>
      <c r="M211" s="7">
        <f>IF($V211="","",SUMIFS('Per Line'!$V$2:$V$1501,'Per Line'!$D$2:$D$1501,$B211,'Per Line'!$AM$2:$AM$1501,0,'Per Line'!$AN$2:$AN$1501,0))</f>
        <v/>
      </c>
      <c r="N211" s="7">
        <f>IF($V211="","",M211*L211)</f>
        <v/>
      </c>
      <c r="O211">
        <f>IF($V211="","",Settings!$C$6)</f>
        <v/>
      </c>
      <c r="P211" s="7">
        <f>IF($V211="","",SUMIFS('Per Line'!$V$2:$V$1501,'Per Line'!$D$2:$D$1501,$B211,'Per Line'!$AM$2:$AM$1501,1,'Per Line'!$AN$2:$AN$1501,0))</f>
        <v/>
      </c>
      <c r="Q211" s="7">
        <f>IF($V211="","",P211*O211)</f>
        <v/>
      </c>
      <c r="R211" s="7">
        <f>IF($V211="","",Q211+N211)</f>
        <v/>
      </c>
      <c r="S211" s="7">
        <f>IF($V211="","",T211-R211)</f>
        <v/>
      </c>
      <c r="T211" s="7">
        <f>IF($V211="","",M211+P211+K211)</f>
        <v/>
      </c>
      <c r="U211" s="7">
        <f>IF($V211="","",T211-R211-J211)</f>
        <v/>
      </c>
      <c r="V211" s="13">
        <f>IF(ROWS($V$2:$V211)&lt;=MAX('Per Line'!$AL$2:$AL$1501),MATCH(ROWS($V$2:$V211),'Per Line'!$AL$2:$AL$1501,0),"")</f>
        <v/>
      </c>
    </row>
    <row r="212">
      <c r="A212" s="12" t="n"/>
      <c r="B212">
        <f>IF($V212="","",INDEX('Per Line'!$D$2:$D$1501,$V212)&amp;"")</f>
        <v/>
      </c>
      <c r="C212">
        <f>IF($V212="","",INDEX('Per Line'!$A$2:$A$1501,$V212))</f>
        <v/>
      </c>
      <c r="D212">
        <f>IF($V212="","",INDEX('Per Line'!$Z$2:$Z$1501,$V212)&amp;"")</f>
        <v/>
      </c>
      <c r="E212" s="11">
        <f>IF($V212="","",INDEX('Per Line'!$F$2:$F$1501,$V212))</f>
        <v/>
      </c>
      <c r="F212">
        <f>IF($V212="","",INDEX('Per Line'!$I$2:$I$1501,$V212)&amp;"")</f>
        <v/>
      </c>
      <c r="G212">
        <f>IF($V212="","",INDEX('Per Line'!$J$2:$J$1501,$V212)&amp;"")</f>
        <v/>
      </c>
      <c r="H212">
        <f>IF($V212="","",INDEX('Per Line'!$K$2:$K$1501,$V212)&amp;"")</f>
        <v/>
      </c>
      <c r="I212">
        <f>IF($V212="","",INDEX('Per Line'!$M$2:$M$1501,$V212))</f>
        <v/>
      </c>
      <c r="J212" s="7">
        <f>IF($V212="","",I212*T212/100)</f>
        <v/>
      </c>
      <c r="K212" s="7">
        <f>IF($V212="","",SUMIFS('Per Line'!$V$2:$V$1501,'Per Line'!$D$2:$D$1501,$B212,'Per Line'!$AN$2:$AN$1501,1))</f>
        <v/>
      </c>
      <c r="L212">
        <f>IF($V212="","",Settings!$C$7)</f>
        <v/>
      </c>
      <c r="M212" s="7">
        <f>IF($V212="","",SUMIFS('Per Line'!$V$2:$V$1501,'Per Line'!$D$2:$D$1501,$B212,'Per Line'!$AM$2:$AM$1501,0,'Per Line'!$AN$2:$AN$1501,0))</f>
        <v/>
      </c>
      <c r="N212" s="7">
        <f>IF($V212="","",M212*L212)</f>
        <v/>
      </c>
      <c r="O212">
        <f>IF($V212="","",Settings!$C$6)</f>
        <v/>
      </c>
      <c r="P212" s="7">
        <f>IF($V212="","",SUMIFS('Per Line'!$V$2:$V$1501,'Per Line'!$D$2:$D$1501,$B212,'Per Line'!$AM$2:$AM$1501,1,'Per Line'!$AN$2:$AN$1501,0))</f>
        <v/>
      </c>
      <c r="Q212" s="7">
        <f>IF($V212="","",P212*O212)</f>
        <v/>
      </c>
      <c r="R212" s="7">
        <f>IF($V212="","",Q212+N212)</f>
        <v/>
      </c>
      <c r="S212" s="7">
        <f>IF($V212="","",T212-R212)</f>
        <v/>
      </c>
      <c r="T212" s="7">
        <f>IF($V212="","",M212+P212+K212)</f>
        <v/>
      </c>
      <c r="U212" s="7">
        <f>IF($V212="","",T212-R212-J212)</f>
        <v/>
      </c>
      <c r="V212" s="13">
        <f>IF(ROWS($V$2:$V212)&lt;=MAX('Per Line'!$AL$2:$AL$1501),MATCH(ROWS($V$2:$V212),'Per Line'!$AL$2:$AL$1501,0),"")</f>
        <v/>
      </c>
    </row>
    <row r="213">
      <c r="A213" s="12" t="n"/>
      <c r="B213">
        <f>IF($V213="","",INDEX('Per Line'!$D$2:$D$1501,$V213)&amp;"")</f>
        <v/>
      </c>
      <c r="C213">
        <f>IF($V213="","",INDEX('Per Line'!$A$2:$A$1501,$V213))</f>
        <v/>
      </c>
      <c r="D213">
        <f>IF($V213="","",INDEX('Per Line'!$Z$2:$Z$1501,$V213)&amp;"")</f>
        <v/>
      </c>
      <c r="E213" s="11">
        <f>IF($V213="","",INDEX('Per Line'!$F$2:$F$1501,$V213))</f>
        <v/>
      </c>
      <c r="F213">
        <f>IF($V213="","",INDEX('Per Line'!$I$2:$I$1501,$V213)&amp;"")</f>
        <v/>
      </c>
      <c r="G213">
        <f>IF($V213="","",INDEX('Per Line'!$J$2:$J$1501,$V213)&amp;"")</f>
        <v/>
      </c>
      <c r="H213">
        <f>IF($V213="","",INDEX('Per Line'!$K$2:$K$1501,$V213)&amp;"")</f>
        <v/>
      </c>
      <c r="I213">
        <f>IF($V213="","",INDEX('Per Line'!$M$2:$M$1501,$V213))</f>
        <v/>
      </c>
      <c r="J213" s="7">
        <f>IF($V213="","",I213*T213/100)</f>
        <v/>
      </c>
      <c r="K213" s="7">
        <f>IF($V213="","",SUMIFS('Per Line'!$V$2:$V$1501,'Per Line'!$D$2:$D$1501,$B213,'Per Line'!$AN$2:$AN$1501,1))</f>
        <v/>
      </c>
      <c r="L213">
        <f>IF($V213="","",Settings!$C$7)</f>
        <v/>
      </c>
      <c r="M213" s="7">
        <f>IF($V213="","",SUMIFS('Per Line'!$V$2:$V$1501,'Per Line'!$D$2:$D$1501,$B213,'Per Line'!$AM$2:$AM$1501,0,'Per Line'!$AN$2:$AN$1501,0))</f>
        <v/>
      </c>
      <c r="N213" s="7">
        <f>IF($V213="","",M213*L213)</f>
        <v/>
      </c>
      <c r="O213">
        <f>IF($V213="","",Settings!$C$6)</f>
        <v/>
      </c>
      <c r="P213" s="7">
        <f>IF($V213="","",SUMIFS('Per Line'!$V$2:$V$1501,'Per Line'!$D$2:$D$1501,$B213,'Per Line'!$AM$2:$AM$1501,1,'Per Line'!$AN$2:$AN$1501,0))</f>
        <v/>
      </c>
      <c r="Q213" s="7">
        <f>IF($V213="","",P213*O213)</f>
        <v/>
      </c>
      <c r="R213" s="7">
        <f>IF($V213="","",Q213+N213)</f>
        <v/>
      </c>
      <c r="S213" s="7">
        <f>IF($V213="","",T213-R213)</f>
        <v/>
      </c>
      <c r="T213" s="7">
        <f>IF($V213="","",M213+P213+K213)</f>
        <v/>
      </c>
      <c r="U213" s="7">
        <f>IF($V213="","",T213-R213-J213)</f>
        <v/>
      </c>
      <c r="V213" s="13">
        <f>IF(ROWS($V$2:$V213)&lt;=MAX('Per Line'!$AL$2:$AL$1501),MATCH(ROWS($V$2:$V213),'Per Line'!$AL$2:$AL$1501,0),"")</f>
        <v/>
      </c>
    </row>
    <row r="214">
      <c r="A214" s="12" t="n"/>
      <c r="B214">
        <f>IF($V214="","",INDEX('Per Line'!$D$2:$D$1501,$V214)&amp;"")</f>
        <v/>
      </c>
      <c r="C214">
        <f>IF($V214="","",INDEX('Per Line'!$A$2:$A$1501,$V214))</f>
        <v/>
      </c>
      <c r="D214">
        <f>IF($V214="","",INDEX('Per Line'!$Z$2:$Z$1501,$V214)&amp;"")</f>
        <v/>
      </c>
      <c r="E214" s="11">
        <f>IF($V214="","",INDEX('Per Line'!$F$2:$F$1501,$V214))</f>
        <v/>
      </c>
      <c r="F214">
        <f>IF($V214="","",INDEX('Per Line'!$I$2:$I$1501,$V214)&amp;"")</f>
        <v/>
      </c>
      <c r="G214">
        <f>IF($V214="","",INDEX('Per Line'!$J$2:$J$1501,$V214)&amp;"")</f>
        <v/>
      </c>
      <c r="H214">
        <f>IF($V214="","",INDEX('Per Line'!$K$2:$K$1501,$V214)&amp;"")</f>
        <v/>
      </c>
      <c r="I214">
        <f>IF($V214="","",INDEX('Per Line'!$M$2:$M$1501,$V214))</f>
        <v/>
      </c>
      <c r="J214" s="7">
        <f>IF($V214="","",I214*T214/100)</f>
        <v/>
      </c>
      <c r="K214" s="7">
        <f>IF($V214="","",SUMIFS('Per Line'!$V$2:$V$1501,'Per Line'!$D$2:$D$1501,$B214,'Per Line'!$AN$2:$AN$1501,1))</f>
        <v/>
      </c>
      <c r="L214">
        <f>IF($V214="","",Settings!$C$7)</f>
        <v/>
      </c>
      <c r="M214" s="7">
        <f>IF($V214="","",SUMIFS('Per Line'!$V$2:$V$1501,'Per Line'!$D$2:$D$1501,$B214,'Per Line'!$AM$2:$AM$1501,0,'Per Line'!$AN$2:$AN$1501,0))</f>
        <v/>
      </c>
      <c r="N214" s="7">
        <f>IF($V214="","",M214*L214)</f>
        <v/>
      </c>
      <c r="O214">
        <f>IF($V214="","",Settings!$C$6)</f>
        <v/>
      </c>
      <c r="P214" s="7">
        <f>IF($V214="","",SUMIFS('Per Line'!$V$2:$V$1501,'Per Line'!$D$2:$D$1501,$B214,'Per Line'!$AM$2:$AM$1501,1,'Per Line'!$AN$2:$AN$1501,0))</f>
        <v/>
      </c>
      <c r="Q214" s="7">
        <f>IF($V214="","",P214*O214)</f>
        <v/>
      </c>
      <c r="R214" s="7">
        <f>IF($V214="","",Q214+N214)</f>
        <v/>
      </c>
      <c r="S214" s="7">
        <f>IF($V214="","",T214-R214)</f>
        <v/>
      </c>
      <c r="T214" s="7">
        <f>IF($V214="","",M214+P214+K214)</f>
        <v/>
      </c>
      <c r="U214" s="7">
        <f>IF($V214="","",T214-R214-J214)</f>
        <v/>
      </c>
      <c r="V214" s="13">
        <f>IF(ROWS($V$2:$V214)&lt;=MAX('Per Line'!$AL$2:$AL$1501),MATCH(ROWS($V$2:$V214),'Per Line'!$AL$2:$AL$1501,0),"")</f>
        <v/>
      </c>
    </row>
    <row r="215">
      <c r="A215" s="12" t="n"/>
      <c r="B215">
        <f>IF($V215="","",INDEX('Per Line'!$D$2:$D$1501,$V215)&amp;"")</f>
        <v/>
      </c>
      <c r="C215">
        <f>IF($V215="","",INDEX('Per Line'!$A$2:$A$1501,$V215))</f>
        <v/>
      </c>
      <c r="D215">
        <f>IF($V215="","",INDEX('Per Line'!$Z$2:$Z$1501,$V215)&amp;"")</f>
        <v/>
      </c>
      <c r="E215" s="11">
        <f>IF($V215="","",INDEX('Per Line'!$F$2:$F$1501,$V215))</f>
        <v/>
      </c>
      <c r="F215">
        <f>IF($V215="","",INDEX('Per Line'!$I$2:$I$1501,$V215)&amp;"")</f>
        <v/>
      </c>
      <c r="G215">
        <f>IF($V215="","",INDEX('Per Line'!$J$2:$J$1501,$V215)&amp;"")</f>
        <v/>
      </c>
      <c r="H215">
        <f>IF($V215="","",INDEX('Per Line'!$K$2:$K$1501,$V215)&amp;"")</f>
        <v/>
      </c>
      <c r="I215">
        <f>IF($V215="","",INDEX('Per Line'!$M$2:$M$1501,$V215))</f>
        <v/>
      </c>
      <c r="J215" s="7">
        <f>IF($V215="","",I215*T215/100)</f>
        <v/>
      </c>
      <c r="K215" s="7">
        <f>IF($V215="","",SUMIFS('Per Line'!$V$2:$V$1501,'Per Line'!$D$2:$D$1501,$B215,'Per Line'!$AN$2:$AN$1501,1))</f>
        <v/>
      </c>
      <c r="L215">
        <f>IF($V215="","",Settings!$C$7)</f>
        <v/>
      </c>
      <c r="M215" s="7">
        <f>IF($V215="","",SUMIFS('Per Line'!$V$2:$V$1501,'Per Line'!$D$2:$D$1501,$B215,'Per Line'!$AM$2:$AM$1501,0,'Per Line'!$AN$2:$AN$1501,0))</f>
        <v/>
      </c>
      <c r="N215" s="7">
        <f>IF($V215="","",M215*L215)</f>
        <v/>
      </c>
      <c r="O215">
        <f>IF($V215="","",Settings!$C$6)</f>
        <v/>
      </c>
      <c r="P215" s="7">
        <f>IF($V215="","",SUMIFS('Per Line'!$V$2:$V$1501,'Per Line'!$D$2:$D$1501,$B215,'Per Line'!$AM$2:$AM$1501,1,'Per Line'!$AN$2:$AN$1501,0))</f>
        <v/>
      </c>
      <c r="Q215" s="7">
        <f>IF($V215="","",P215*O215)</f>
        <v/>
      </c>
      <c r="R215" s="7">
        <f>IF($V215="","",Q215+N215)</f>
        <v/>
      </c>
      <c r="S215" s="7">
        <f>IF($V215="","",T215-R215)</f>
        <v/>
      </c>
      <c r="T215" s="7">
        <f>IF($V215="","",M215+P215+K215)</f>
        <v/>
      </c>
      <c r="U215" s="7">
        <f>IF($V215="","",T215-R215-J215)</f>
        <v/>
      </c>
      <c r="V215" s="13">
        <f>IF(ROWS($V$2:$V215)&lt;=MAX('Per Line'!$AL$2:$AL$1501),MATCH(ROWS($V$2:$V215),'Per Line'!$AL$2:$AL$1501,0),"")</f>
        <v/>
      </c>
    </row>
    <row r="216">
      <c r="A216" s="12" t="n"/>
      <c r="B216">
        <f>IF($V216="","",INDEX('Per Line'!$D$2:$D$1501,$V216)&amp;"")</f>
        <v/>
      </c>
      <c r="C216">
        <f>IF($V216="","",INDEX('Per Line'!$A$2:$A$1501,$V216))</f>
        <v/>
      </c>
      <c r="D216">
        <f>IF($V216="","",INDEX('Per Line'!$Z$2:$Z$1501,$V216)&amp;"")</f>
        <v/>
      </c>
      <c r="E216" s="11">
        <f>IF($V216="","",INDEX('Per Line'!$F$2:$F$1501,$V216))</f>
        <v/>
      </c>
      <c r="F216">
        <f>IF($V216="","",INDEX('Per Line'!$I$2:$I$1501,$V216)&amp;"")</f>
        <v/>
      </c>
      <c r="G216">
        <f>IF($V216="","",INDEX('Per Line'!$J$2:$J$1501,$V216)&amp;"")</f>
        <v/>
      </c>
      <c r="H216">
        <f>IF($V216="","",INDEX('Per Line'!$K$2:$K$1501,$V216)&amp;"")</f>
        <v/>
      </c>
      <c r="I216">
        <f>IF($V216="","",INDEX('Per Line'!$M$2:$M$1501,$V216))</f>
        <v/>
      </c>
      <c r="J216" s="7">
        <f>IF($V216="","",I216*T216/100)</f>
        <v/>
      </c>
      <c r="K216" s="7">
        <f>IF($V216="","",SUMIFS('Per Line'!$V$2:$V$1501,'Per Line'!$D$2:$D$1501,$B216,'Per Line'!$AN$2:$AN$1501,1))</f>
        <v/>
      </c>
      <c r="L216">
        <f>IF($V216="","",Settings!$C$7)</f>
        <v/>
      </c>
      <c r="M216" s="7">
        <f>IF($V216="","",SUMIFS('Per Line'!$V$2:$V$1501,'Per Line'!$D$2:$D$1501,$B216,'Per Line'!$AM$2:$AM$1501,0,'Per Line'!$AN$2:$AN$1501,0))</f>
        <v/>
      </c>
      <c r="N216" s="7">
        <f>IF($V216="","",M216*L216)</f>
        <v/>
      </c>
      <c r="O216">
        <f>IF($V216="","",Settings!$C$6)</f>
        <v/>
      </c>
      <c r="P216" s="7">
        <f>IF($V216="","",SUMIFS('Per Line'!$V$2:$V$1501,'Per Line'!$D$2:$D$1501,$B216,'Per Line'!$AM$2:$AM$1501,1,'Per Line'!$AN$2:$AN$1501,0))</f>
        <v/>
      </c>
      <c r="Q216" s="7">
        <f>IF($V216="","",P216*O216)</f>
        <v/>
      </c>
      <c r="R216" s="7">
        <f>IF($V216="","",Q216+N216)</f>
        <v/>
      </c>
      <c r="S216" s="7">
        <f>IF($V216="","",T216-R216)</f>
        <v/>
      </c>
      <c r="T216" s="7">
        <f>IF($V216="","",M216+P216+K216)</f>
        <v/>
      </c>
      <c r="U216" s="7">
        <f>IF($V216="","",T216-R216-J216)</f>
        <v/>
      </c>
      <c r="V216" s="13">
        <f>IF(ROWS($V$2:$V216)&lt;=MAX('Per Line'!$AL$2:$AL$1501),MATCH(ROWS($V$2:$V216),'Per Line'!$AL$2:$AL$1501,0),"")</f>
        <v/>
      </c>
    </row>
    <row r="217">
      <c r="A217" s="12" t="n"/>
      <c r="B217">
        <f>IF($V217="","",INDEX('Per Line'!$D$2:$D$1501,$V217)&amp;"")</f>
        <v/>
      </c>
      <c r="C217">
        <f>IF($V217="","",INDEX('Per Line'!$A$2:$A$1501,$V217))</f>
        <v/>
      </c>
      <c r="D217">
        <f>IF($V217="","",INDEX('Per Line'!$Z$2:$Z$1501,$V217)&amp;"")</f>
        <v/>
      </c>
      <c r="E217" s="11">
        <f>IF($V217="","",INDEX('Per Line'!$F$2:$F$1501,$V217))</f>
        <v/>
      </c>
      <c r="F217">
        <f>IF($V217="","",INDEX('Per Line'!$I$2:$I$1501,$V217)&amp;"")</f>
        <v/>
      </c>
      <c r="G217">
        <f>IF($V217="","",INDEX('Per Line'!$J$2:$J$1501,$V217)&amp;"")</f>
        <v/>
      </c>
      <c r="H217">
        <f>IF($V217="","",INDEX('Per Line'!$K$2:$K$1501,$V217)&amp;"")</f>
        <v/>
      </c>
      <c r="I217">
        <f>IF($V217="","",INDEX('Per Line'!$M$2:$M$1501,$V217))</f>
        <v/>
      </c>
      <c r="J217" s="7">
        <f>IF($V217="","",I217*T217/100)</f>
        <v/>
      </c>
      <c r="K217" s="7">
        <f>IF($V217="","",SUMIFS('Per Line'!$V$2:$V$1501,'Per Line'!$D$2:$D$1501,$B217,'Per Line'!$AN$2:$AN$1501,1))</f>
        <v/>
      </c>
      <c r="L217">
        <f>IF($V217="","",Settings!$C$7)</f>
        <v/>
      </c>
      <c r="M217" s="7">
        <f>IF($V217="","",SUMIFS('Per Line'!$V$2:$V$1501,'Per Line'!$D$2:$D$1501,$B217,'Per Line'!$AM$2:$AM$1501,0,'Per Line'!$AN$2:$AN$1501,0))</f>
        <v/>
      </c>
      <c r="N217" s="7">
        <f>IF($V217="","",M217*L217)</f>
        <v/>
      </c>
      <c r="O217">
        <f>IF($V217="","",Settings!$C$6)</f>
        <v/>
      </c>
      <c r="P217" s="7">
        <f>IF($V217="","",SUMIFS('Per Line'!$V$2:$V$1501,'Per Line'!$D$2:$D$1501,$B217,'Per Line'!$AM$2:$AM$1501,1,'Per Line'!$AN$2:$AN$1501,0))</f>
        <v/>
      </c>
      <c r="Q217" s="7">
        <f>IF($V217="","",P217*O217)</f>
        <v/>
      </c>
      <c r="R217" s="7">
        <f>IF($V217="","",Q217+N217)</f>
        <v/>
      </c>
      <c r="S217" s="7">
        <f>IF($V217="","",T217-R217)</f>
        <v/>
      </c>
      <c r="T217" s="7">
        <f>IF($V217="","",M217+P217+K217)</f>
        <v/>
      </c>
      <c r="U217" s="7">
        <f>IF($V217="","",T217-R217-J217)</f>
        <v/>
      </c>
      <c r="V217" s="13">
        <f>IF(ROWS($V$2:$V217)&lt;=MAX('Per Line'!$AL$2:$AL$1501),MATCH(ROWS($V$2:$V217),'Per Line'!$AL$2:$AL$1501,0),"")</f>
        <v/>
      </c>
    </row>
    <row r="218">
      <c r="A218" s="12" t="n"/>
      <c r="B218">
        <f>IF($V218="","",INDEX('Per Line'!$D$2:$D$1501,$V218)&amp;"")</f>
        <v/>
      </c>
      <c r="C218">
        <f>IF($V218="","",INDEX('Per Line'!$A$2:$A$1501,$V218))</f>
        <v/>
      </c>
      <c r="D218">
        <f>IF($V218="","",INDEX('Per Line'!$Z$2:$Z$1501,$V218)&amp;"")</f>
        <v/>
      </c>
      <c r="E218" s="11">
        <f>IF($V218="","",INDEX('Per Line'!$F$2:$F$1501,$V218))</f>
        <v/>
      </c>
      <c r="F218">
        <f>IF($V218="","",INDEX('Per Line'!$I$2:$I$1501,$V218)&amp;"")</f>
        <v/>
      </c>
      <c r="G218">
        <f>IF($V218="","",INDEX('Per Line'!$J$2:$J$1501,$V218)&amp;"")</f>
        <v/>
      </c>
      <c r="H218">
        <f>IF($V218="","",INDEX('Per Line'!$K$2:$K$1501,$V218)&amp;"")</f>
        <v/>
      </c>
      <c r="I218">
        <f>IF($V218="","",INDEX('Per Line'!$M$2:$M$1501,$V218))</f>
        <v/>
      </c>
      <c r="J218" s="7">
        <f>IF($V218="","",I218*T218/100)</f>
        <v/>
      </c>
      <c r="K218" s="7">
        <f>IF($V218="","",SUMIFS('Per Line'!$V$2:$V$1501,'Per Line'!$D$2:$D$1501,$B218,'Per Line'!$AN$2:$AN$1501,1))</f>
        <v/>
      </c>
      <c r="L218">
        <f>IF($V218="","",Settings!$C$7)</f>
        <v/>
      </c>
      <c r="M218" s="7">
        <f>IF($V218="","",SUMIFS('Per Line'!$V$2:$V$1501,'Per Line'!$D$2:$D$1501,$B218,'Per Line'!$AM$2:$AM$1501,0,'Per Line'!$AN$2:$AN$1501,0))</f>
        <v/>
      </c>
      <c r="N218" s="7">
        <f>IF($V218="","",M218*L218)</f>
        <v/>
      </c>
      <c r="O218">
        <f>IF($V218="","",Settings!$C$6)</f>
        <v/>
      </c>
      <c r="P218" s="7">
        <f>IF($V218="","",SUMIFS('Per Line'!$V$2:$V$1501,'Per Line'!$D$2:$D$1501,$B218,'Per Line'!$AM$2:$AM$1501,1,'Per Line'!$AN$2:$AN$1501,0))</f>
        <v/>
      </c>
      <c r="Q218" s="7">
        <f>IF($V218="","",P218*O218)</f>
        <v/>
      </c>
      <c r="R218" s="7">
        <f>IF($V218="","",Q218+N218)</f>
        <v/>
      </c>
      <c r="S218" s="7">
        <f>IF($V218="","",T218-R218)</f>
        <v/>
      </c>
      <c r="T218" s="7">
        <f>IF($V218="","",M218+P218+K218)</f>
        <v/>
      </c>
      <c r="U218" s="7">
        <f>IF($V218="","",T218-R218-J218)</f>
        <v/>
      </c>
      <c r="V218" s="13">
        <f>IF(ROWS($V$2:$V218)&lt;=MAX('Per Line'!$AL$2:$AL$1501),MATCH(ROWS($V$2:$V218),'Per Line'!$AL$2:$AL$1501,0),"")</f>
        <v/>
      </c>
    </row>
    <row r="219">
      <c r="A219" s="12" t="n"/>
      <c r="B219">
        <f>IF($V219="","",INDEX('Per Line'!$D$2:$D$1501,$V219)&amp;"")</f>
        <v/>
      </c>
      <c r="C219">
        <f>IF($V219="","",INDEX('Per Line'!$A$2:$A$1501,$V219))</f>
        <v/>
      </c>
      <c r="D219">
        <f>IF($V219="","",INDEX('Per Line'!$Z$2:$Z$1501,$V219)&amp;"")</f>
        <v/>
      </c>
      <c r="E219" s="11">
        <f>IF($V219="","",INDEX('Per Line'!$F$2:$F$1501,$V219))</f>
        <v/>
      </c>
      <c r="F219">
        <f>IF($V219="","",INDEX('Per Line'!$I$2:$I$1501,$V219)&amp;"")</f>
        <v/>
      </c>
      <c r="G219">
        <f>IF($V219="","",INDEX('Per Line'!$J$2:$J$1501,$V219)&amp;"")</f>
        <v/>
      </c>
      <c r="H219">
        <f>IF($V219="","",INDEX('Per Line'!$K$2:$K$1501,$V219)&amp;"")</f>
        <v/>
      </c>
      <c r="I219">
        <f>IF($V219="","",INDEX('Per Line'!$M$2:$M$1501,$V219))</f>
        <v/>
      </c>
      <c r="J219" s="7">
        <f>IF($V219="","",I219*T219/100)</f>
        <v/>
      </c>
      <c r="K219" s="7">
        <f>IF($V219="","",SUMIFS('Per Line'!$V$2:$V$1501,'Per Line'!$D$2:$D$1501,$B219,'Per Line'!$AN$2:$AN$1501,1))</f>
        <v/>
      </c>
      <c r="L219">
        <f>IF($V219="","",Settings!$C$7)</f>
        <v/>
      </c>
      <c r="M219" s="7">
        <f>IF($V219="","",SUMIFS('Per Line'!$V$2:$V$1501,'Per Line'!$D$2:$D$1501,$B219,'Per Line'!$AM$2:$AM$1501,0,'Per Line'!$AN$2:$AN$1501,0))</f>
        <v/>
      </c>
      <c r="N219" s="7">
        <f>IF($V219="","",M219*L219)</f>
        <v/>
      </c>
      <c r="O219">
        <f>IF($V219="","",Settings!$C$6)</f>
        <v/>
      </c>
      <c r="P219" s="7">
        <f>IF($V219="","",SUMIFS('Per Line'!$V$2:$V$1501,'Per Line'!$D$2:$D$1501,$B219,'Per Line'!$AM$2:$AM$1501,1,'Per Line'!$AN$2:$AN$1501,0))</f>
        <v/>
      </c>
      <c r="Q219" s="7">
        <f>IF($V219="","",P219*O219)</f>
        <v/>
      </c>
      <c r="R219" s="7">
        <f>IF($V219="","",Q219+N219)</f>
        <v/>
      </c>
      <c r="S219" s="7">
        <f>IF($V219="","",T219-R219)</f>
        <v/>
      </c>
      <c r="T219" s="7">
        <f>IF($V219="","",M219+P219+K219)</f>
        <v/>
      </c>
      <c r="U219" s="7">
        <f>IF($V219="","",T219-R219-J219)</f>
        <v/>
      </c>
      <c r="V219" s="13">
        <f>IF(ROWS($V$2:$V219)&lt;=MAX('Per Line'!$AL$2:$AL$1501),MATCH(ROWS($V$2:$V219),'Per Line'!$AL$2:$AL$1501,0),"")</f>
        <v/>
      </c>
    </row>
    <row r="220">
      <c r="A220" s="12" t="n"/>
      <c r="B220">
        <f>IF($V220="","",INDEX('Per Line'!$D$2:$D$1501,$V220)&amp;"")</f>
        <v/>
      </c>
      <c r="C220">
        <f>IF($V220="","",INDEX('Per Line'!$A$2:$A$1501,$V220))</f>
        <v/>
      </c>
      <c r="D220">
        <f>IF($V220="","",INDEX('Per Line'!$Z$2:$Z$1501,$V220)&amp;"")</f>
        <v/>
      </c>
      <c r="E220" s="11">
        <f>IF($V220="","",INDEX('Per Line'!$F$2:$F$1501,$V220))</f>
        <v/>
      </c>
      <c r="F220">
        <f>IF($V220="","",INDEX('Per Line'!$I$2:$I$1501,$V220)&amp;"")</f>
        <v/>
      </c>
      <c r="G220">
        <f>IF($V220="","",INDEX('Per Line'!$J$2:$J$1501,$V220)&amp;"")</f>
        <v/>
      </c>
      <c r="H220">
        <f>IF($V220="","",INDEX('Per Line'!$K$2:$K$1501,$V220)&amp;"")</f>
        <v/>
      </c>
      <c r="I220">
        <f>IF($V220="","",INDEX('Per Line'!$M$2:$M$1501,$V220))</f>
        <v/>
      </c>
      <c r="J220" s="7">
        <f>IF($V220="","",I220*T220/100)</f>
        <v/>
      </c>
      <c r="K220" s="7">
        <f>IF($V220="","",SUMIFS('Per Line'!$V$2:$V$1501,'Per Line'!$D$2:$D$1501,$B220,'Per Line'!$AN$2:$AN$1501,1))</f>
        <v/>
      </c>
      <c r="L220">
        <f>IF($V220="","",Settings!$C$7)</f>
        <v/>
      </c>
      <c r="M220" s="7">
        <f>IF($V220="","",SUMIFS('Per Line'!$V$2:$V$1501,'Per Line'!$D$2:$D$1501,$B220,'Per Line'!$AM$2:$AM$1501,0,'Per Line'!$AN$2:$AN$1501,0))</f>
        <v/>
      </c>
      <c r="N220" s="7">
        <f>IF($V220="","",M220*L220)</f>
        <v/>
      </c>
      <c r="O220">
        <f>IF($V220="","",Settings!$C$6)</f>
        <v/>
      </c>
      <c r="P220" s="7">
        <f>IF($V220="","",SUMIFS('Per Line'!$V$2:$V$1501,'Per Line'!$D$2:$D$1501,$B220,'Per Line'!$AM$2:$AM$1501,1,'Per Line'!$AN$2:$AN$1501,0))</f>
        <v/>
      </c>
      <c r="Q220" s="7">
        <f>IF($V220="","",P220*O220)</f>
        <v/>
      </c>
      <c r="R220" s="7">
        <f>IF($V220="","",Q220+N220)</f>
        <v/>
      </c>
      <c r="S220" s="7">
        <f>IF($V220="","",T220-R220)</f>
        <v/>
      </c>
      <c r="T220" s="7">
        <f>IF($V220="","",M220+P220+K220)</f>
        <v/>
      </c>
      <c r="U220" s="7">
        <f>IF($V220="","",T220-R220-J220)</f>
        <v/>
      </c>
      <c r="V220" s="13">
        <f>IF(ROWS($V$2:$V220)&lt;=MAX('Per Line'!$AL$2:$AL$1501),MATCH(ROWS($V$2:$V220),'Per Line'!$AL$2:$AL$1501,0),"")</f>
        <v/>
      </c>
    </row>
    <row r="221">
      <c r="A221" s="12" t="n"/>
      <c r="B221">
        <f>IF($V221="","",INDEX('Per Line'!$D$2:$D$1501,$V221)&amp;"")</f>
        <v/>
      </c>
      <c r="C221">
        <f>IF($V221="","",INDEX('Per Line'!$A$2:$A$1501,$V221))</f>
        <v/>
      </c>
      <c r="D221">
        <f>IF($V221="","",INDEX('Per Line'!$Z$2:$Z$1501,$V221)&amp;"")</f>
        <v/>
      </c>
      <c r="E221" s="11">
        <f>IF($V221="","",INDEX('Per Line'!$F$2:$F$1501,$V221))</f>
        <v/>
      </c>
      <c r="F221">
        <f>IF($V221="","",INDEX('Per Line'!$I$2:$I$1501,$V221)&amp;"")</f>
        <v/>
      </c>
      <c r="G221">
        <f>IF($V221="","",INDEX('Per Line'!$J$2:$J$1501,$V221)&amp;"")</f>
        <v/>
      </c>
      <c r="H221">
        <f>IF($V221="","",INDEX('Per Line'!$K$2:$K$1501,$V221)&amp;"")</f>
        <v/>
      </c>
      <c r="I221">
        <f>IF($V221="","",INDEX('Per Line'!$M$2:$M$1501,$V221))</f>
        <v/>
      </c>
      <c r="J221" s="7">
        <f>IF($V221="","",I221*T221/100)</f>
        <v/>
      </c>
      <c r="K221" s="7">
        <f>IF($V221="","",SUMIFS('Per Line'!$V$2:$V$1501,'Per Line'!$D$2:$D$1501,$B221,'Per Line'!$AN$2:$AN$1501,1))</f>
        <v/>
      </c>
      <c r="L221">
        <f>IF($V221="","",Settings!$C$7)</f>
        <v/>
      </c>
      <c r="M221" s="7">
        <f>IF($V221="","",SUMIFS('Per Line'!$V$2:$V$1501,'Per Line'!$D$2:$D$1501,$B221,'Per Line'!$AM$2:$AM$1501,0,'Per Line'!$AN$2:$AN$1501,0))</f>
        <v/>
      </c>
      <c r="N221" s="7">
        <f>IF($V221="","",M221*L221)</f>
        <v/>
      </c>
      <c r="O221">
        <f>IF($V221="","",Settings!$C$6)</f>
        <v/>
      </c>
      <c r="P221" s="7">
        <f>IF($V221="","",SUMIFS('Per Line'!$V$2:$V$1501,'Per Line'!$D$2:$D$1501,$B221,'Per Line'!$AM$2:$AM$1501,1,'Per Line'!$AN$2:$AN$1501,0))</f>
        <v/>
      </c>
      <c r="Q221" s="7">
        <f>IF($V221="","",P221*O221)</f>
        <v/>
      </c>
      <c r="R221" s="7">
        <f>IF($V221="","",Q221+N221)</f>
        <v/>
      </c>
      <c r="S221" s="7">
        <f>IF($V221="","",T221-R221)</f>
        <v/>
      </c>
      <c r="T221" s="7">
        <f>IF($V221="","",M221+P221+K221)</f>
        <v/>
      </c>
      <c r="U221" s="7">
        <f>IF($V221="","",T221-R221-J221)</f>
        <v/>
      </c>
      <c r="V221" s="13">
        <f>IF(ROWS($V$2:$V221)&lt;=MAX('Per Line'!$AL$2:$AL$1501),MATCH(ROWS($V$2:$V221),'Per Line'!$AL$2:$AL$1501,0),"")</f>
        <v/>
      </c>
    </row>
    <row r="222">
      <c r="A222" s="12" t="n"/>
      <c r="B222">
        <f>IF($V222="","",INDEX('Per Line'!$D$2:$D$1501,$V222)&amp;"")</f>
        <v/>
      </c>
      <c r="C222">
        <f>IF($V222="","",INDEX('Per Line'!$A$2:$A$1501,$V222))</f>
        <v/>
      </c>
      <c r="D222">
        <f>IF($V222="","",INDEX('Per Line'!$Z$2:$Z$1501,$V222)&amp;"")</f>
        <v/>
      </c>
      <c r="E222" s="11">
        <f>IF($V222="","",INDEX('Per Line'!$F$2:$F$1501,$V222))</f>
        <v/>
      </c>
      <c r="F222">
        <f>IF($V222="","",INDEX('Per Line'!$I$2:$I$1501,$V222)&amp;"")</f>
        <v/>
      </c>
      <c r="G222">
        <f>IF($V222="","",INDEX('Per Line'!$J$2:$J$1501,$V222)&amp;"")</f>
        <v/>
      </c>
      <c r="H222">
        <f>IF($V222="","",INDEX('Per Line'!$K$2:$K$1501,$V222)&amp;"")</f>
        <v/>
      </c>
      <c r="I222">
        <f>IF($V222="","",INDEX('Per Line'!$M$2:$M$1501,$V222))</f>
        <v/>
      </c>
      <c r="J222" s="7">
        <f>IF($V222="","",I222*T222/100)</f>
        <v/>
      </c>
      <c r="K222" s="7">
        <f>IF($V222="","",SUMIFS('Per Line'!$V$2:$V$1501,'Per Line'!$D$2:$D$1501,$B222,'Per Line'!$AN$2:$AN$1501,1))</f>
        <v/>
      </c>
      <c r="L222">
        <f>IF($V222="","",Settings!$C$7)</f>
        <v/>
      </c>
      <c r="M222" s="7">
        <f>IF($V222="","",SUMIFS('Per Line'!$V$2:$V$1501,'Per Line'!$D$2:$D$1501,$B222,'Per Line'!$AM$2:$AM$1501,0,'Per Line'!$AN$2:$AN$1501,0))</f>
        <v/>
      </c>
      <c r="N222" s="7">
        <f>IF($V222="","",M222*L222)</f>
        <v/>
      </c>
      <c r="O222">
        <f>IF($V222="","",Settings!$C$6)</f>
        <v/>
      </c>
      <c r="P222" s="7">
        <f>IF($V222="","",SUMIFS('Per Line'!$V$2:$V$1501,'Per Line'!$D$2:$D$1501,$B222,'Per Line'!$AM$2:$AM$1501,1,'Per Line'!$AN$2:$AN$1501,0))</f>
        <v/>
      </c>
      <c r="Q222" s="7">
        <f>IF($V222="","",P222*O222)</f>
        <v/>
      </c>
      <c r="R222" s="7">
        <f>IF($V222="","",Q222+N222)</f>
        <v/>
      </c>
      <c r="S222" s="7">
        <f>IF($V222="","",T222-R222)</f>
        <v/>
      </c>
      <c r="T222" s="7">
        <f>IF($V222="","",M222+P222+K222)</f>
        <v/>
      </c>
      <c r="U222" s="7">
        <f>IF($V222="","",T222-R222-J222)</f>
        <v/>
      </c>
      <c r="V222" s="13">
        <f>IF(ROWS($V$2:$V222)&lt;=MAX('Per Line'!$AL$2:$AL$1501),MATCH(ROWS($V$2:$V222),'Per Line'!$AL$2:$AL$1501,0),"")</f>
        <v/>
      </c>
    </row>
    <row r="223">
      <c r="A223" s="12" t="n"/>
      <c r="B223">
        <f>IF($V223="","",INDEX('Per Line'!$D$2:$D$1501,$V223)&amp;"")</f>
        <v/>
      </c>
      <c r="C223">
        <f>IF($V223="","",INDEX('Per Line'!$A$2:$A$1501,$V223))</f>
        <v/>
      </c>
      <c r="D223">
        <f>IF($V223="","",INDEX('Per Line'!$Z$2:$Z$1501,$V223)&amp;"")</f>
        <v/>
      </c>
      <c r="E223" s="11">
        <f>IF($V223="","",INDEX('Per Line'!$F$2:$F$1501,$V223))</f>
        <v/>
      </c>
      <c r="F223">
        <f>IF($V223="","",INDEX('Per Line'!$I$2:$I$1501,$V223)&amp;"")</f>
        <v/>
      </c>
      <c r="G223">
        <f>IF($V223="","",INDEX('Per Line'!$J$2:$J$1501,$V223)&amp;"")</f>
        <v/>
      </c>
      <c r="H223">
        <f>IF($V223="","",INDEX('Per Line'!$K$2:$K$1501,$V223)&amp;"")</f>
        <v/>
      </c>
      <c r="I223">
        <f>IF($V223="","",INDEX('Per Line'!$M$2:$M$1501,$V223))</f>
        <v/>
      </c>
      <c r="J223" s="7">
        <f>IF($V223="","",I223*T223/100)</f>
        <v/>
      </c>
      <c r="K223" s="7">
        <f>IF($V223="","",SUMIFS('Per Line'!$V$2:$V$1501,'Per Line'!$D$2:$D$1501,$B223,'Per Line'!$AN$2:$AN$1501,1))</f>
        <v/>
      </c>
      <c r="L223">
        <f>IF($V223="","",Settings!$C$7)</f>
        <v/>
      </c>
      <c r="M223" s="7">
        <f>IF($V223="","",SUMIFS('Per Line'!$V$2:$V$1501,'Per Line'!$D$2:$D$1501,$B223,'Per Line'!$AM$2:$AM$1501,0,'Per Line'!$AN$2:$AN$1501,0))</f>
        <v/>
      </c>
      <c r="N223" s="7">
        <f>IF($V223="","",M223*L223)</f>
        <v/>
      </c>
      <c r="O223">
        <f>IF($V223="","",Settings!$C$6)</f>
        <v/>
      </c>
      <c r="P223" s="7">
        <f>IF($V223="","",SUMIFS('Per Line'!$V$2:$V$1501,'Per Line'!$D$2:$D$1501,$B223,'Per Line'!$AM$2:$AM$1501,1,'Per Line'!$AN$2:$AN$1501,0))</f>
        <v/>
      </c>
      <c r="Q223" s="7">
        <f>IF($V223="","",P223*O223)</f>
        <v/>
      </c>
      <c r="R223" s="7">
        <f>IF($V223="","",Q223+N223)</f>
        <v/>
      </c>
      <c r="S223" s="7">
        <f>IF($V223="","",T223-R223)</f>
        <v/>
      </c>
      <c r="T223" s="7">
        <f>IF($V223="","",M223+P223+K223)</f>
        <v/>
      </c>
      <c r="U223" s="7">
        <f>IF($V223="","",T223-R223-J223)</f>
        <v/>
      </c>
      <c r="V223" s="13">
        <f>IF(ROWS($V$2:$V223)&lt;=MAX('Per Line'!$AL$2:$AL$1501),MATCH(ROWS($V$2:$V223),'Per Line'!$AL$2:$AL$1501,0),"")</f>
        <v/>
      </c>
    </row>
    <row r="224">
      <c r="A224" s="12" t="n"/>
      <c r="B224">
        <f>IF($V224="","",INDEX('Per Line'!$D$2:$D$1501,$V224)&amp;"")</f>
        <v/>
      </c>
      <c r="C224">
        <f>IF($V224="","",INDEX('Per Line'!$A$2:$A$1501,$V224))</f>
        <v/>
      </c>
      <c r="D224">
        <f>IF($V224="","",INDEX('Per Line'!$Z$2:$Z$1501,$V224)&amp;"")</f>
        <v/>
      </c>
      <c r="E224" s="11">
        <f>IF($V224="","",INDEX('Per Line'!$F$2:$F$1501,$V224))</f>
        <v/>
      </c>
      <c r="F224">
        <f>IF($V224="","",INDEX('Per Line'!$I$2:$I$1501,$V224)&amp;"")</f>
        <v/>
      </c>
      <c r="G224">
        <f>IF($V224="","",INDEX('Per Line'!$J$2:$J$1501,$V224)&amp;"")</f>
        <v/>
      </c>
      <c r="H224">
        <f>IF($V224="","",INDEX('Per Line'!$K$2:$K$1501,$V224)&amp;"")</f>
        <v/>
      </c>
      <c r="I224">
        <f>IF($V224="","",INDEX('Per Line'!$M$2:$M$1501,$V224))</f>
        <v/>
      </c>
      <c r="J224" s="7">
        <f>IF($V224="","",I224*T224/100)</f>
        <v/>
      </c>
      <c r="K224" s="7">
        <f>IF($V224="","",SUMIFS('Per Line'!$V$2:$V$1501,'Per Line'!$D$2:$D$1501,$B224,'Per Line'!$AN$2:$AN$1501,1))</f>
        <v/>
      </c>
      <c r="L224">
        <f>IF($V224="","",Settings!$C$7)</f>
        <v/>
      </c>
      <c r="M224" s="7">
        <f>IF($V224="","",SUMIFS('Per Line'!$V$2:$V$1501,'Per Line'!$D$2:$D$1501,$B224,'Per Line'!$AM$2:$AM$1501,0,'Per Line'!$AN$2:$AN$1501,0))</f>
        <v/>
      </c>
      <c r="N224" s="7">
        <f>IF($V224="","",M224*L224)</f>
        <v/>
      </c>
      <c r="O224">
        <f>IF($V224="","",Settings!$C$6)</f>
        <v/>
      </c>
      <c r="P224" s="7">
        <f>IF($V224="","",SUMIFS('Per Line'!$V$2:$V$1501,'Per Line'!$D$2:$D$1501,$B224,'Per Line'!$AM$2:$AM$1501,1,'Per Line'!$AN$2:$AN$1501,0))</f>
        <v/>
      </c>
      <c r="Q224" s="7">
        <f>IF($V224="","",P224*O224)</f>
        <v/>
      </c>
      <c r="R224" s="7">
        <f>IF($V224="","",Q224+N224)</f>
        <v/>
      </c>
      <c r="S224" s="7">
        <f>IF($V224="","",T224-R224)</f>
        <v/>
      </c>
      <c r="T224" s="7">
        <f>IF($V224="","",M224+P224+K224)</f>
        <v/>
      </c>
      <c r="U224" s="7">
        <f>IF($V224="","",T224-R224-J224)</f>
        <v/>
      </c>
      <c r="V224" s="13">
        <f>IF(ROWS($V$2:$V224)&lt;=MAX('Per Line'!$AL$2:$AL$1501),MATCH(ROWS($V$2:$V224),'Per Line'!$AL$2:$AL$1501,0),"")</f>
        <v/>
      </c>
    </row>
    <row r="225">
      <c r="A225" s="12" t="n"/>
      <c r="B225">
        <f>IF($V225="","",INDEX('Per Line'!$D$2:$D$1501,$V225)&amp;"")</f>
        <v/>
      </c>
      <c r="C225">
        <f>IF($V225="","",INDEX('Per Line'!$A$2:$A$1501,$V225))</f>
        <v/>
      </c>
      <c r="D225">
        <f>IF($V225="","",INDEX('Per Line'!$Z$2:$Z$1501,$V225)&amp;"")</f>
        <v/>
      </c>
      <c r="E225" s="11">
        <f>IF($V225="","",INDEX('Per Line'!$F$2:$F$1501,$V225))</f>
        <v/>
      </c>
      <c r="F225">
        <f>IF($V225="","",INDEX('Per Line'!$I$2:$I$1501,$V225)&amp;"")</f>
        <v/>
      </c>
      <c r="G225">
        <f>IF($V225="","",INDEX('Per Line'!$J$2:$J$1501,$V225)&amp;"")</f>
        <v/>
      </c>
      <c r="H225">
        <f>IF($V225="","",INDEX('Per Line'!$K$2:$K$1501,$V225)&amp;"")</f>
        <v/>
      </c>
      <c r="I225">
        <f>IF($V225="","",INDEX('Per Line'!$M$2:$M$1501,$V225))</f>
        <v/>
      </c>
      <c r="J225" s="7">
        <f>IF($V225="","",I225*T225/100)</f>
        <v/>
      </c>
      <c r="K225" s="7">
        <f>IF($V225="","",SUMIFS('Per Line'!$V$2:$V$1501,'Per Line'!$D$2:$D$1501,$B225,'Per Line'!$AN$2:$AN$1501,1))</f>
        <v/>
      </c>
      <c r="L225">
        <f>IF($V225="","",Settings!$C$7)</f>
        <v/>
      </c>
      <c r="M225" s="7">
        <f>IF($V225="","",SUMIFS('Per Line'!$V$2:$V$1501,'Per Line'!$D$2:$D$1501,$B225,'Per Line'!$AM$2:$AM$1501,0,'Per Line'!$AN$2:$AN$1501,0))</f>
        <v/>
      </c>
      <c r="N225" s="7">
        <f>IF($V225="","",M225*L225)</f>
        <v/>
      </c>
      <c r="O225">
        <f>IF($V225="","",Settings!$C$6)</f>
        <v/>
      </c>
      <c r="P225" s="7">
        <f>IF($V225="","",SUMIFS('Per Line'!$V$2:$V$1501,'Per Line'!$D$2:$D$1501,$B225,'Per Line'!$AM$2:$AM$1501,1,'Per Line'!$AN$2:$AN$1501,0))</f>
        <v/>
      </c>
      <c r="Q225" s="7">
        <f>IF($V225="","",P225*O225)</f>
        <v/>
      </c>
      <c r="R225" s="7">
        <f>IF($V225="","",Q225+N225)</f>
        <v/>
      </c>
      <c r="S225" s="7">
        <f>IF($V225="","",T225-R225)</f>
        <v/>
      </c>
      <c r="T225" s="7">
        <f>IF($V225="","",M225+P225+K225)</f>
        <v/>
      </c>
      <c r="U225" s="7">
        <f>IF($V225="","",T225-R225-J225)</f>
        <v/>
      </c>
      <c r="V225" s="13">
        <f>IF(ROWS($V$2:$V225)&lt;=MAX('Per Line'!$AL$2:$AL$1501),MATCH(ROWS($V$2:$V225),'Per Line'!$AL$2:$AL$1501,0),"")</f>
        <v/>
      </c>
    </row>
    <row r="226">
      <c r="A226" s="12" t="n"/>
      <c r="B226">
        <f>IF($V226="","",INDEX('Per Line'!$D$2:$D$1501,$V226)&amp;"")</f>
        <v/>
      </c>
      <c r="C226">
        <f>IF($V226="","",INDEX('Per Line'!$A$2:$A$1501,$V226))</f>
        <v/>
      </c>
      <c r="D226">
        <f>IF($V226="","",INDEX('Per Line'!$Z$2:$Z$1501,$V226)&amp;"")</f>
        <v/>
      </c>
      <c r="E226" s="11">
        <f>IF($V226="","",INDEX('Per Line'!$F$2:$F$1501,$V226))</f>
        <v/>
      </c>
      <c r="F226">
        <f>IF($V226="","",INDEX('Per Line'!$I$2:$I$1501,$V226)&amp;"")</f>
        <v/>
      </c>
      <c r="G226">
        <f>IF($V226="","",INDEX('Per Line'!$J$2:$J$1501,$V226)&amp;"")</f>
        <v/>
      </c>
      <c r="H226">
        <f>IF($V226="","",INDEX('Per Line'!$K$2:$K$1501,$V226)&amp;"")</f>
        <v/>
      </c>
      <c r="I226">
        <f>IF($V226="","",INDEX('Per Line'!$M$2:$M$1501,$V226))</f>
        <v/>
      </c>
      <c r="J226" s="7">
        <f>IF($V226="","",I226*T226/100)</f>
        <v/>
      </c>
      <c r="K226" s="7">
        <f>IF($V226="","",SUMIFS('Per Line'!$V$2:$V$1501,'Per Line'!$D$2:$D$1501,$B226,'Per Line'!$AN$2:$AN$1501,1))</f>
        <v/>
      </c>
      <c r="L226">
        <f>IF($V226="","",Settings!$C$7)</f>
        <v/>
      </c>
      <c r="M226" s="7">
        <f>IF($V226="","",SUMIFS('Per Line'!$V$2:$V$1501,'Per Line'!$D$2:$D$1501,$B226,'Per Line'!$AM$2:$AM$1501,0,'Per Line'!$AN$2:$AN$1501,0))</f>
        <v/>
      </c>
      <c r="N226" s="7">
        <f>IF($V226="","",M226*L226)</f>
        <v/>
      </c>
      <c r="O226">
        <f>IF($V226="","",Settings!$C$6)</f>
        <v/>
      </c>
      <c r="P226" s="7">
        <f>IF($V226="","",SUMIFS('Per Line'!$V$2:$V$1501,'Per Line'!$D$2:$D$1501,$B226,'Per Line'!$AM$2:$AM$1501,1,'Per Line'!$AN$2:$AN$1501,0))</f>
        <v/>
      </c>
      <c r="Q226" s="7">
        <f>IF($V226="","",P226*O226)</f>
        <v/>
      </c>
      <c r="R226" s="7">
        <f>IF($V226="","",Q226+N226)</f>
        <v/>
      </c>
      <c r="S226" s="7">
        <f>IF($V226="","",T226-R226)</f>
        <v/>
      </c>
      <c r="T226" s="7">
        <f>IF($V226="","",M226+P226+K226)</f>
        <v/>
      </c>
      <c r="U226" s="7">
        <f>IF($V226="","",T226-R226-J226)</f>
        <v/>
      </c>
      <c r="V226" s="13">
        <f>IF(ROWS($V$2:$V226)&lt;=MAX('Per Line'!$AL$2:$AL$1501),MATCH(ROWS($V$2:$V226),'Per Line'!$AL$2:$AL$1501,0),"")</f>
        <v/>
      </c>
    </row>
    <row r="227">
      <c r="A227" s="12" t="n"/>
      <c r="B227">
        <f>IF($V227="","",INDEX('Per Line'!$D$2:$D$1501,$V227)&amp;"")</f>
        <v/>
      </c>
      <c r="C227">
        <f>IF($V227="","",INDEX('Per Line'!$A$2:$A$1501,$V227))</f>
        <v/>
      </c>
      <c r="D227">
        <f>IF($V227="","",INDEX('Per Line'!$Z$2:$Z$1501,$V227)&amp;"")</f>
        <v/>
      </c>
      <c r="E227" s="11">
        <f>IF($V227="","",INDEX('Per Line'!$F$2:$F$1501,$V227))</f>
        <v/>
      </c>
      <c r="F227">
        <f>IF($V227="","",INDEX('Per Line'!$I$2:$I$1501,$V227)&amp;"")</f>
        <v/>
      </c>
      <c r="G227">
        <f>IF($V227="","",INDEX('Per Line'!$J$2:$J$1501,$V227)&amp;"")</f>
        <v/>
      </c>
      <c r="H227">
        <f>IF($V227="","",INDEX('Per Line'!$K$2:$K$1501,$V227)&amp;"")</f>
        <v/>
      </c>
      <c r="I227">
        <f>IF($V227="","",INDEX('Per Line'!$M$2:$M$1501,$V227))</f>
        <v/>
      </c>
      <c r="J227" s="7">
        <f>IF($V227="","",I227*T227/100)</f>
        <v/>
      </c>
      <c r="K227" s="7">
        <f>IF($V227="","",SUMIFS('Per Line'!$V$2:$V$1501,'Per Line'!$D$2:$D$1501,$B227,'Per Line'!$AN$2:$AN$1501,1))</f>
        <v/>
      </c>
      <c r="L227">
        <f>IF($V227="","",Settings!$C$7)</f>
        <v/>
      </c>
      <c r="M227" s="7">
        <f>IF($V227="","",SUMIFS('Per Line'!$V$2:$V$1501,'Per Line'!$D$2:$D$1501,$B227,'Per Line'!$AM$2:$AM$1501,0,'Per Line'!$AN$2:$AN$1501,0))</f>
        <v/>
      </c>
      <c r="N227" s="7">
        <f>IF($V227="","",M227*L227)</f>
        <v/>
      </c>
      <c r="O227">
        <f>IF($V227="","",Settings!$C$6)</f>
        <v/>
      </c>
      <c r="P227" s="7">
        <f>IF($V227="","",SUMIFS('Per Line'!$V$2:$V$1501,'Per Line'!$D$2:$D$1501,$B227,'Per Line'!$AM$2:$AM$1501,1,'Per Line'!$AN$2:$AN$1501,0))</f>
        <v/>
      </c>
      <c r="Q227" s="7">
        <f>IF($V227="","",P227*O227)</f>
        <v/>
      </c>
      <c r="R227" s="7">
        <f>IF($V227="","",Q227+N227)</f>
        <v/>
      </c>
      <c r="S227" s="7">
        <f>IF($V227="","",T227-R227)</f>
        <v/>
      </c>
      <c r="T227" s="7">
        <f>IF($V227="","",M227+P227+K227)</f>
        <v/>
      </c>
      <c r="U227" s="7">
        <f>IF($V227="","",T227-R227-J227)</f>
        <v/>
      </c>
      <c r="V227" s="13">
        <f>IF(ROWS($V$2:$V227)&lt;=MAX('Per Line'!$AL$2:$AL$1501),MATCH(ROWS($V$2:$V227),'Per Line'!$AL$2:$AL$1501,0),"")</f>
        <v/>
      </c>
    </row>
    <row r="228">
      <c r="A228" s="12" t="n"/>
      <c r="B228">
        <f>IF($V228="","",INDEX('Per Line'!$D$2:$D$1501,$V228)&amp;"")</f>
        <v/>
      </c>
      <c r="C228">
        <f>IF($V228="","",INDEX('Per Line'!$A$2:$A$1501,$V228))</f>
        <v/>
      </c>
      <c r="D228">
        <f>IF($V228="","",INDEX('Per Line'!$Z$2:$Z$1501,$V228)&amp;"")</f>
        <v/>
      </c>
      <c r="E228" s="11">
        <f>IF($V228="","",INDEX('Per Line'!$F$2:$F$1501,$V228))</f>
        <v/>
      </c>
      <c r="F228">
        <f>IF($V228="","",INDEX('Per Line'!$I$2:$I$1501,$V228)&amp;"")</f>
        <v/>
      </c>
      <c r="G228">
        <f>IF($V228="","",INDEX('Per Line'!$J$2:$J$1501,$V228)&amp;"")</f>
        <v/>
      </c>
      <c r="H228">
        <f>IF($V228="","",INDEX('Per Line'!$K$2:$K$1501,$V228)&amp;"")</f>
        <v/>
      </c>
      <c r="I228">
        <f>IF($V228="","",INDEX('Per Line'!$M$2:$M$1501,$V228))</f>
        <v/>
      </c>
      <c r="J228" s="7">
        <f>IF($V228="","",I228*T228/100)</f>
        <v/>
      </c>
      <c r="K228" s="7">
        <f>IF($V228="","",SUMIFS('Per Line'!$V$2:$V$1501,'Per Line'!$D$2:$D$1501,$B228,'Per Line'!$AN$2:$AN$1501,1))</f>
        <v/>
      </c>
      <c r="L228">
        <f>IF($V228="","",Settings!$C$7)</f>
        <v/>
      </c>
      <c r="M228" s="7">
        <f>IF($V228="","",SUMIFS('Per Line'!$V$2:$V$1501,'Per Line'!$D$2:$D$1501,$B228,'Per Line'!$AM$2:$AM$1501,0,'Per Line'!$AN$2:$AN$1501,0))</f>
        <v/>
      </c>
      <c r="N228" s="7">
        <f>IF($V228="","",M228*L228)</f>
        <v/>
      </c>
      <c r="O228">
        <f>IF($V228="","",Settings!$C$6)</f>
        <v/>
      </c>
      <c r="P228" s="7">
        <f>IF($V228="","",SUMIFS('Per Line'!$V$2:$V$1501,'Per Line'!$D$2:$D$1501,$B228,'Per Line'!$AM$2:$AM$1501,1,'Per Line'!$AN$2:$AN$1501,0))</f>
        <v/>
      </c>
      <c r="Q228" s="7">
        <f>IF($V228="","",P228*O228)</f>
        <v/>
      </c>
      <c r="R228" s="7">
        <f>IF($V228="","",Q228+N228)</f>
        <v/>
      </c>
      <c r="S228" s="7">
        <f>IF($V228="","",T228-R228)</f>
        <v/>
      </c>
      <c r="T228" s="7">
        <f>IF($V228="","",M228+P228+K228)</f>
        <v/>
      </c>
      <c r="U228" s="7">
        <f>IF($V228="","",T228-R228-J228)</f>
        <v/>
      </c>
      <c r="V228" s="13">
        <f>IF(ROWS($V$2:$V228)&lt;=MAX('Per Line'!$AL$2:$AL$1501),MATCH(ROWS($V$2:$V228),'Per Line'!$AL$2:$AL$1501,0),"")</f>
        <v/>
      </c>
    </row>
    <row r="229">
      <c r="A229" s="12" t="n"/>
      <c r="B229">
        <f>IF($V229="","",INDEX('Per Line'!$D$2:$D$1501,$V229)&amp;"")</f>
        <v/>
      </c>
      <c r="C229">
        <f>IF($V229="","",INDEX('Per Line'!$A$2:$A$1501,$V229))</f>
        <v/>
      </c>
      <c r="D229">
        <f>IF($V229="","",INDEX('Per Line'!$Z$2:$Z$1501,$V229)&amp;"")</f>
        <v/>
      </c>
      <c r="E229" s="11">
        <f>IF($V229="","",INDEX('Per Line'!$F$2:$F$1501,$V229))</f>
        <v/>
      </c>
      <c r="F229">
        <f>IF($V229="","",INDEX('Per Line'!$I$2:$I$1501,$V229)&amp;"")</f>
        <v/>
      </c>
      <c r="G229">
        <f>IF($V229="","",INDEX('Per Line'!$J$2:$J$1501,$V229)&amp;"")</f>
        <v/>
      </c>
      <c r="H229">
        <f>IF($V229="","",INDEX('Per Line'!$K$2:$K$1501,$V229)&amp;"")</f>
        <v/>
      </c>
      <c r="I229">
        <f>IF($V229="","",INDEX('Per Line'!$M$2:$M$1501,$V229))</f>
        <v/>
      </c>
      <c r="J229" s="7">
        <f>IF($V229="","",I229*T229/100)</f>
        <v/>
      </c>
      <c r="K229" s="7">
        <f>IF($V229="","",SUMIFS('Per Line'!$V$2:$V$1501,'Per Line'!$D$2:$D$1501,$B229,'Per Line'!$AN$2:$AN$1501,1))</f>
        <v/>
      </c>
      <c r="L229">
        <f>IF($V229="","",Settings!$C$7)</f>
        <v/>
      </c>
      <c r="M229" s="7">
        <f>IF($V229="","",SUMIFS('Per Line'!$V$2:$V$1501,'Per Line'!$D$2:$D$1501,$B229,'Per Line'!$AM$2:$AM$1501,0,'Per Line'!$AN$2:$AN$1501,0))</f>
        <v/>
      </c>
      <c r="N229" s="7">
        <f>IF($V229="","",M229*L229)</f>
        <v/>
      </c>
      <c r="O229">
        <f>IF($V229="","",Settings!$C$6)</f>
        <v/>
      </c>
      <c r="P229" s="7">
        <f>IF($V229="","",SUMIFS('Per Line'!$V$2:$V$1501,'Per Line'!$D$2:$D$1501,$B229,'Per Line'!$AM$2:$AM$1501,1,'Per Line'!$AN$2:$AN$1501,0))</f>
        <v/>
      </c>
      <c r="Q229" s="7">
        <f>IF($V229="","",P229*O229)</f>
        <v/>
      </c>
      <c r="R229" s="7">
        <f>IF($V229="","",Q229+N229)</f>
        <v/>
      </c>
      <c r="S229" s="7">
        <f>IF($V229="","",T229-R229)</f>
        <v/>
      </c>
      <c r="T229" s="7">
        <f>IF($V229="","",M229+P229+K229)</f>
        <v/>
      </c>
      <c r="U229" s="7">
        <f>IF($V229="","",T229-R229-J229)</f>
        <v/>
      </c>
      <c r="V229" s="13">
        <f>IF(ROWS($V$2:$V229)&lt;=MAX('Per Line'!$AL$2:$AL$1501),MATCH(ROWS($V$2:$V229),'Per Line'!$AL$2:$AL$1501,0),"")</f>
        <v/>
      </c>
    </row>
    <row r="230">
      <c r="A230" s="12" t="n"/>
      <c r="B230">
        <f>IF($V230="","",INDEX('Per Line'!$D$2:$D$1501,$V230)&amp;"")</f>
        <v/>
      </c>
      <c r="C230">
        <f>IF($V230="","",INDEX('Per Line'!$A$2:$A$1501,$V230))</f>
        <v/>
      </c>
      <c r="D230">
        <f>IF($V230="","",INDEX('Per Line'!$Z$2:$Z$1501,$V230)&amp;"")</f>
        <v/>
      </c>
      <c r="E230" s="11">
        <f>IF($V230="","",INDEX('Per Line'!$F$2:$F$1501,$V230))</f>
        <v/>
      </c>
      <c r="F230">
        <f>IF($V230="","",INDEX('Per Line'!$I$2:$I$1501,$V230)&amp;"")</f>
        <v/>
      </c>
      <c r="G230">
        <f>IF($V230="","",INDEX('Per Line'!$J$2:$J$1501,$V230)&amp;"")</f>
        <v/>
      </c>
      <c r="H230">
        <f>IF($V230="","",INDEX('Per Line'!$K$2:$K$1501,$V230)&amp;"")</f>
        <v/>
      </c>
      <c r="I230">
        <f>IF($V230="","",INDEX('Per Line'!$M$2:$M$1501,$V230))</f>
        <v/>
      </c>
      <c r="J230" s="7">
        <f>IF($V230="","",I230*T230/100)</f>
        <v/>
      </c>
      <c r="K230" s="7">
        <f>IF($V230="","",SUMIFS('Per Line'!$V$2:$V$1501,'Per Line'!$D$2:$D$1501,$B230,'Per Line'!$AN$2:$AN$1501,1))</f>
        <v/>
      </c>
      <c r="L230">
        <f>IF($V230="","",Settings!$C$7)</f>
        <v/>
      </c>
      <c r="M230" s="7">
        <f>IF($V230="","",SUMIFS('Per Line'!$V$2:$V$1501,'Per Line'!$D$2:$D$1501,$B230,'Per Line'!$AM$2:$AM$1501,0,'Per Line'!$AN$2:$AN$1501,0))</f>
        <v/>
      </c>
      <c r="N230" s="7">
        <f>IF($V230="","",M230*L230)</f>
        <v/>
      </c>
      <c r="O230">
        <f>IF($V230="","",Settings!$C$6)</f>
        <v/>
      </c>
      <c r="P230" s="7">
        <f>IF($V230="","",SUMIFS('Per Line'!$V$2:$V$1501,'Per Line'!$D$2:$D$1501,$B230,'Per Line'!$AM$2:$AM$1501,1,'Per Line'!$AN$2:$AN$1501,0))</f>
        <v/>
      </c>
      <c r="Q230" s="7">
        <f>IF($V230="","",P230*O230)</f>
        <v/>
      </c>
      <c r="R230" s="7">
        <f>IF($V230="","",Q230+N230)</f>
        <v/>
      </c>
      <c r="S230" s="7">
        <f>IF($V230="","",T230-R230)</f>
        <v/>
      </c>
      <c r="T230" s="7">
        <f>IF($V230="","",M230+P230+K230)</f>
        <v/>
      </c>
      <c r="U230" s="7">
        <f>IF($V230="","",T230-R230-J230)</f>
        <v/>
      </c>
      <c r="V230" s="13">
        <f>IF(ROWS($V$2:$V230)&lt;=MAX('Per Line'!$AL$2:$AL$1501),MATCH(ROWS($V$2:$V230),'Per Line'!$AL$2:$AL$1501,0),"")</f>
        <v/>
      </c>
    </row>
    <row r="231">
      <c r="A231" s="12" t="n"/>
      <c r="B231">
        <f>IF($V231="","",INDEX('Per Line'!$D$2:$D$1501,$V231)&amp;"")</f>
        <v/>
      </c>
      <c r="C231">
        <f>IF($V231="","",INDEX('Per Line'!$A$2:$A$1501,$V231))</f>
        <v/>
      </c>
      <c r="D231">
        <f>IF($V231="","",INDEX('Per Line'!$Z$2:$Z$1501,$V231)&amp;"")</f>
        <v/>
      </c>
      <c r="E231" s="11">
        <f>IF($V231="","",INDEX('Per Line'!$F$2:$F$1501,$V231))</f>
        <v/>
      </c>
      <c r="F231">
        <f>IF($V231="","",INDEX('Per Line'!$I$2:$I$1501,$V231)&amp;"")</f>
        <v/>
      </c>
      <c r="G231">
        <f>IF($V231="","",INDEX('Per Line'!$J$2:$J$1501,$V231)&amp;"")</f>
        <v/>
      </c>
      <c r="H231">
        <f>IF($V231="","",INDEX('Per Line'!$K$2:$K$1501,$V231)&amp;"")</f>
        <v/>
      </c>
      <c r="I231">
        <f>IF($V231="","",INDEX('Per Line'!$M$2:$M$1501,$V231))</f>
        <v/>
      </c>
      <c r="J231" s="7">
        <f>IF($V231="","",I231*T231/100)</f>
        <v/>
      </c>
      <c r="K231" s="7">
        <f>IF($V231="","",SUMIFS('Per Line'!$V$2:$V$1501,'Per Line'!$D$2:$D$1501,$B231,'Per Line'!$AN$2:$AN$1501,1))</f>
        <v/>
      </c>
      <c r="L231">
        <f>IF($V231="","",Settings!$C$7)</f>
        <v/>
      </c>
      <c r="M231" s="7">
        <f>IF($V231="","",SUMIFS('Per Line'!$V$2:$V$1501,'Per Line'!$D$2:$D$1501,$B231,'Per Line'!$AM$2:$AM$1501,0,'Per Line'!$AN$2:$AN$1501,0))</f>
        <v/>
      </c>
      <c r="N231" s="7">
        <f>IF($V231="","",M231*L231)</f>
        <v/>
      </c>
      <c r="O231">
        <f>IF($V231="","",Settings!$C$6)</f>
        <v/>
      </c>
      <c r="P231" s="7">
        <f>IF($V231="","",SUMIFS('Per Line'!$V$2:$V$1501,'Per Line'!$D$2:$D$1501,$B231,'Per Line'!$AM$2:$AM$1501,1,'Per Line'!$AN$2:$AN$1501,0))</f>
        <v/>
      </c>
      <c r="Q231" s="7">
        <f>IF($V231="","",P231*O231)</f>
        <v/>
      </c>
      <c r="R231" s="7">
        <f>IF($V231="","",Q231+N231)</f>
        <v/>
      </c>
      <c r="S231" s="7">
        <f>IF($V231="","",T231-R231)</f>
        <v/>
      </c>
      <c r="T231" s="7">
        <f>IF($V231="","",M231+P231+K231)</f>
        <v/>
      </c>
      <c r="U231" s="7">
        <f>IF($V231="","",T231-R231-J231)</f>
        <v/>
      </c>
      <c r="V231" s="13">
        <f>IF(ROWS($V$2:$V231)&lt;=MAX('Per Line'!$AL$2:$AL$1501),MATCH(ROWS($V$2:$V231),'Per Line'!$AL$2:$AL$1501,0),"")</f>
        <v/>
      </c>
    </row>
    <row r="232">
      <c r="A232" s="12" t="n"/>
      <c r="B232">
        <f>IF($V232="","",INDEX('Per Line'!$D$2:$D$1501,$V232)&amp;"")</f>
        <v/>
      </c>
      <c r="C232">
        <f>IF($V232="","",INDEX('Per Line'!$A$2:$A$1501,$V232))</f>
        <v/>
      </c>
      <c r="D232">
        <f>IF($V232="","",INDEX('Per Line'!$Z$2:$Z$1501,$V232)&amp;"")</f>
        <v/>
      </c>
      <c r="E232" s="11">
        <f>IF($V232="","",INDEX('Per Line'!$F$2:$F$1501,$V232))</f>
        <v/>
      </c>
      <c r="F232">
        <f>IF($V232="","",INDEX('Per Line'!$I$2:$I$1501,$V232)&amp;"")</f>
        <v/>
      </c>
      <c r="G232">
        <f>IF($V232="","",INDEX('Per Line'!$J$2:$J$1501,$V232)&amp;"")</f>
        <v/>
      </c>
      <c r="H232">
        <f>IF($V232="","",INDEX('Per Line'!$K$2:$K$1501,$V232)&amp;"")</f>
        <v/>
      </c>
      <c r="I232">
        <f>IF($V232="","",INDEX('Per Line'!$M$2:$M$1501,$V232))</f>
        <v/>
      </c>
      <c r="J232" s="7">
        <f>IF($V232="","",I232*T232/100)</f>
        <v/>
      </c>
      <c r="K232" s="7">
        <f>IF($V232="","",SUMIFS('Per Line'!$V$2:$V$1501,'Per Line'!$D$2:$D$1501,$B232,'Per Line'!$AN$2:$AN$1501,1))</f>
        <v/>
      </c>
      <c r="L232">
        <f>IF($V232="","",Settings!$C$7)</f>
        <v/>
      </c>
      <c r="M232" s="7">
        <f>IF($V232="","",SUMIFS('Per Line'!$V$2:$V$1501,'Per Line'!$D$2:$D$1501,$B232,'Per Line'!$AM$2:$AM$1501,0,'Per Line'!$AN$2:$AN$1501,0))</f>
        <v/>
      </c>
      <c r="N232" s="7">
        <f>IF($V232="","",M232*L232)</f>
        <v/>
      </c>
      <c r="O232">
        <f>IF($V232="","",Settings!$C$6)</f>
        <v/>
      </c>
      <c r="P232" s="7">
        <f>IF($V232="","",SUMIFS('Per Line'!$V$2:$V$1501,'Per Line'!$D$2:$D$1501,$B232,'Per Line'!$AM$2:$AM$1501,1,'Per Line'!$AN$2:$AN$1501,0))</f>
        <v/>
      </c>
      <c r="Q232" s="7">
        <f>IF($V232="","",P232*O232)</f>
        <v/>
      </c>
      <c r="R232" s="7">
        <f>IF($V232="","",Q232+N232)</f>
        <v/>
      </c>
      <c r="S232" s="7">
        <f>IF($V232="","",T232-R232)</f>
        <v/>
      </c>
      <c r="T232" s="7">
        <f>IF($V232="","",M232+P232+K232)</f>
        <v/>
      </c>
      <c r="U232" s="7">
        <f>IF($V232="","",T232-R232-J232)</f>
        <v/>
      </c>
      <c r="V232" s="13">
        <f>IF(ROWS($V$2:$V232)&lt;=MAX('Per Line'!$AL$2:$AL$1501),MATCH(ROWS($V$2:$V232),'Per Line'!$AL$2:$AL$1501,0),"")</f>
        <v/>
      </c>
    </row>
    <row r="233">
      <c r="A233" s="12" t="n"/>
      <c r="B233">
        <f>IF($V233="","",INDEX('Per Line'!$D$2:$D$1501,$V233)&amp;"")</f>
        <v/>
      </c>
      <c r="C233">
        <f>IF($V233="","",INDEX('Per Line'!$A$2:$A$1501,$V233))</f>
        <v/>
      </c>
      <c r="D233">
        <f>IF($V233="","",INDEX('Per Line'!$Z$2:$Z$1501,$V233)&amp;"")</f>
        <v/>
      </c>
      <c r="E233" s="11">
        <f>IF($V233="","",INDEX('Per Line'!$F$2:$F$1501,$V233))</f>
        <v/>
      </c>
      <c r="F233">
        <f>IF($V233="","",INDEX('Per Line'!$I$2:$I$1501,$V233)&amp;"")</f>
        <v/>
      </c>
      <c r="G233">
        <f>IF($V233="","",INDEX('Per Line'!$J$2:$J$1501,$V233)&amp;"")</f>
        <v/>
      </c>
      <c r="H233">
        <f>IF($V233="","",INDEX('Per Line'!$K$2:$K$1501,$V233)&amp;"")</f>
        <v/>
      </c>
      <c r="I233">
        <f>IF($V233="","",INDEX('Per Line'!$M$2:$M$1501,$V233))</f>
        <v/>
      </c>
      <c r="J233" s="7">
        <f>IF($V233="","",I233*T233/100)</f>
        <v/>
      </c>
      <c r="K233" s="7">
        <f>IF($V233="","",SUMIFS('Per Line'!$V$2:$V$1501,'Per Line'!$D$2:$D$1501,$B233,'Per Line'!$AN$2:$AN$1501,1))</f>
        <v/>
      </c>
      <c r="L233">
        <f>IF($V233="","",Settings!$C$7)</f>
        <v/>
      </c>
      <c r="M233" s="7">
        <f>IF($V233="","",SUMIFS('Per Line'!$V$2:$V$1501,'Per Line'!$D$2:$D$1501,$B233,'Per Line'!$AM$2:$AM$1501,0,'Per Line'!$AN$2:$AN$1501,0))</f>
        <v/>
      </c>
      <c r="N233" s="7">
        <f>IF($V233="","",M233*L233)</f>
        <v/>
      </c>
      <c r="O233">
        <f>IF($V233="","",Settings!$C$6)</f>
        <v/>
      </c>
      <c r="P233" s="7">
        <f>IF($V233="","",SUMIFS('Per Line'!$V$2:$V$1501,'Per Line'!$D$2:$D$1501,$B233,'Per Line'!$AM$2:$AM$1501,1,'Per Line'!$AN$2:$AN$1501,0))</f>
        <v/>
      </c>
      <c r="Q233" s="7">
        <f>IF($V233="","",P233*O233)</f>
        <v/>
      </c>
      <c r="R233" s="7">
        <f>IF($V233="","",Q233+N233)</f>
        <v/>
      </c>
      <c r="S233" s="7">
        <f>IF($V233="","",T233-R233)</f>
        <v/>
      </c>
      <c r="T233" s="7">
        <f>IF($V233="","",M233+P233+K233)</f>
        <v/>
      </c>
      <c r="U233" s="7">
        <f>IF($V233="","",T233-R233-J233)</f>
        <v/>
      </c>
      <c r="V233" s="13">
        <f>IF(ROWS($V$2:$V233)&lt;=MAX('Per Line'!$AL$2:$AL$1501),MATCH(ROWS($V$2:$V233),'Per Line'!$AL$2:$AL$1501,0),"")</f>
        <v/>
      </c>
    </row>
    <row r="234">
      <c r="A234" s="12" t="n"/>
      <c r="B234">
        <f>IF($V234="","",INDEX('Per Line'!$D$2:$D$1501,$V234)&amp;"")</f>
        <v/>
      </c>
      <c r="C234">
        <f>IF($V234="","",INDEX('Per Line'!$A$2:$A$1501,$V234))</f>
        <v/>
      </c>
      <c r="D234">
        <f>IF($V234="","",INDEX('Per Line'!$Z$2:$Z$1501,$V234)&amp;"")</f>
        <v/>
      </c>
      <c r="E234" s="11">
        <f>IF($V234="","",INDEX('Per Line'!$F$2:$F$1501,$V234))</f>
        <v/>
      </c>
      <c r="F234">
        <f>IF($V234="","",INDEX('Per Line'!$I$2:$I$1501,$V234)&amp;"")</f>
        <v/>
      </c>
      <c r="G234">
        <f>IF($V234="","",INDEX('Per Line'!$J$2:$J$1501,$V234)&amp;"")</f>
        <v/>
      </c>
      <c r="H234">
        <f>IF($V234="","",INDEX('Per Line'!$K$2:$K$1501,$V234)&amp;"")</f>
        <v/>
      </c>
      <c r="I234">
        <f>IF($V234="","",INDEX('Per Line'!$M$2:$M$1501,$V234))</f>
        <v/>
      </c>
      <c r="J234" s="7">
        <f>IF($V234="","",I234*T234/100)</f>
        <v/>
      </c>
      <c r="K234" s="7">
        <f>IF($V234="","",SUMIFS('Per Line'!$V$2:$V$1501,'Per Line'!$D$2:$D$1501,$B234,'Per Line'!$AN$2:$AN$1501,1))</f>
        <v/>
      </c>
      <c r="L234">
        <f>IF($V234="","",Settings!$C$7)</f>
        <v/>
      </c>
      <c r="M234" s="7">
        <f>IF($V234="","",SUMIFS('Per Line'!$V$2:$V$1501,'Per Line'!$D$2:$D$1501,$B234,'Per Line'!$AM$2:$AM$1501,0,'Per Line'!$AN$2:$AN$1501,0))</f>
        <v/>
      </c>
      <c r="N234" s="7">
        <f>IF($V234="","",M234*L234)</f>
        <v/>
      </c>
      <c r="O234">
        <f>IF($V234="","",Settings!$C$6)</f>
        <v/>
      </c>
      <c r="P234" s="7">
        <f>IF($V234="","",SUMIFS('Per Line'!$V$2:$V$1501,'Per Line'!$D$2:$D$1501,$B234,'Per Line'!$AM$2:$AM$1501,1,'Per Line'!$AN$2:$AN$1501,0))</f>
        <v/>
      </c>
      <c r="Q234" s="7">
        <f>IF($V234="","",P234*O234)</f>
        <v/>
      </c>
      <c r="R234" s="7">
        <f>IF($V234="","",Q234+N234)</f>
        <v/>
      </c>
      <c r="S234" s="7">
        <f>IF($V234="","",T234-R234)</f>
        <v/>
      </c>
      <c r="T234" s="7">
        <f>IF($V234="","",M234+P234+K234)</f>
        <v/>
      </c>
      <c r="U234" s="7">
        <f>IF($V234="","",T234-R234-J234)</f>
        <v/>
      </c>
      <c r="V234" s="13">
        <f>IF(ROWS($V$2:$V234)&lt;=MAX('Per Line'!$AL$2:$AL$1501),MATCH(ROWS($V$2:$V234),'Per Line'!$AL$2:$AL$1501,0),"")</f>
        <v/>
      </c>
    </row>
    <row r="235">
      <c r="A235" s="12" t="n"/>
      <c r="B235">
        <f>IF($V235="","",INDEX('Per Line'!$D$2:$D$1501,$V235)&amp;"")</f>
        <v/>
      </c>
      <c r="C235">
        <f>IF($V235="","",INDEX('Per Line'!$A$2:$A$1501,$V235))</f>
        <v/>
      </c>
      <c r="D235">
        <f>IF($V235="","",INDEX('Per Line'!$Z$2:$Z$1501,$V235)&amp;"")</f>
        <v/>
      </c>
      <c r="E235" s="11">
        <f>IF($V235="","",INDEX('Per Line'!$F$2:$F$1501,$V235))</f>
        <v/>
      </c>
      <c r="F235">
        <f>IF($V235="","",INDEX('Per Line'!$I$2:$I$1501,$V235)&amp;"")</f>
        <v/>
      </c>
      <c r="G235">
        <f>IF($V235="","",INDEX('Per Line'!$J$2:$J$1501,$V235)&amp;"")</f>
        <v/>
      </c>
      <c r="H235">
        <f>IF($V235="","",INDEX('Per Line'!$K$2:$K$1501,$V235)&amp;"")</f>
        <v/>
      </c>
      <c r="I235">
        <f>IF($V235="","",INDEX('Per Line'!$M$2:$M$1501,$V235))</f>
        <v/>
      </c>
      <c r="J235" s="7">
        <f>IF($V235="","",I235*T235/100)</f>
        <v/>
      </c>
      <c r="K235" s="7">
        <f>IF($V235="","",SUMIFS('Per Line'!$V$2:$V$1501,'Per Line'!$D$2:$D$1501,$B235,'Per Line'!$AN$2:$AN$1501,1))</f>
        <v/>
      </c>
      <c r="L235">
        <f>IF($V235="","",Settings!$C$7)</f>
        <v/>
      </c>
      <c r="M235" s="7">
        <f>IF($V235="","",SUMIFS('Per Line'!$V$2:$V$1501,'Per Line'!$D$2:$D$1501,$B235,'Per Line'!$AM$2:$AM$1501,0,'Per Line'!$AN$2:$AN$1501,0))</f>
        <v/>
      </c>
      <c r="N235" s="7">
        <f>IF($V235="","",M235*L235)</f>
        <v/>
      </c>
      <c r="O235">
        <f>IF($V235="","",Settings!$C$6)</f>
        <v/>
      </c>
      <c r="P235" s="7">
        <f>IF($V235="","",SUMIFS('Per Line'!$V$2:$V$1501,'Per Line'!$D$2:$D$1501,$B235,'Per Line'!$AM$2:$AM$1501,1,'Per Line'!$AN$2:$AN$1501,0))</f>
        <v/>
      </c>
      <c r="Q235" s="7">
        <f>IF($V235="","",P235*O235)</f>
        <v/>
      </c>
      <c r="R235" s="7">
        <f>IF($V235="","",Q235+N235)</f>
        <v/>
      </c>
      <c r="S235" s="7">
        <f>IF($V235="","",T235-R235)</f>
        <v/>
      </c>
      <c r="T235" s="7">
        <f>IF($V235="","",M235+P235+K235)</f>
        <v/>
      </c>
      <c r="U235" s="7">
        <f>IF($V235="","",T235-R235-J235)</f>
        <v/>
      </c>
      <c r="V235" s="13">
        <f>IF(ROWS($V$2:$V235)&lt;=MAX('Per Line'!$AL$2:$AL$1501),MATCH(ROWS($V$2:$V235),'Per Line'!$AL$2:$AL$1501,0),"")</f>
        <v/>
      </c>
    </row>
    <row r="236">
      <c r="A236" s="12" t="n"/>
      <c r="B236">
        <f>IF($V236="","",INDEX('Per Line'!$D$2:$D$1501,$V236)&amp;"")</f>
        <v/>
      </c>
      <c r="C236">
        <f>IF($V236="","",INDEX('Per Line'!$A$2:$A$1501,$V236))</f>
        <v/>
      </c>
      <c r="D236">
        <f>IF($V236="","",INDEX('Per Line'!$Z$2:$Z$1501,$V236)&amp;"")</f>
        <v/>
      </c>
      <c r="E236" s="11">
        <f>IF($V236="","",INDEX('Per Line'!$F$2:$F$1501,$V236))</f>
        <v/>
      </c>
      <c r="F236">
        <f>IF($V236="","",INDEX('Per Line'!$I$2:$I$1501,$V236)&amp;"")</f>
        <v/>
      </c>
      <c r="G236">
        <f>IF($V236="","",INDEX('Per Line'!$J$2:$J$1501,$V236)&amp;"")</f>
        <v/>
      </c>
      <c r="H236">
        <f>IF($V236="","",INDEX('Per Line'!$K$2:$K$1501,$V236)&amp;"")</f>
        <v/>
      </c>
      <c r="I236">
        <f>IF($V236="","",INDEX('Per Line'!$M$2:$M$1501,$V236))</f>
        <v/>
      </c>
      <c r="J236" s="7">
        <f>IF($V236="","",I236*T236/100)</f>
        <v/>
      </c>
      <c r="K236" s="7">
        <f>IF($V236="","",SUMIFS('Per Line'!$V$2:$V$1501,'Per Line'!$D$2:$D$1501,$B236,'Per Line'!$AN$2:$AN$1501,1))</f>
        <v/>
      </c>
      <c r="L236">
        <f>IF($V236="","",Settings!$C$7)</f>
        <v/>
      </c>
      <c r="M236" s="7">
        <f>IF($V236="","",SUMIFS('Per Line'!$V$2:$V$1501,'Per Line'!$D$2:$D$1501,$B236,'Per Line'!$AM$2:$AM$1501,0,'Per Line'!$AN$2:$AN$1501,0))</f>
        <v/>
      </c>
      <c r="N236" s="7">
        <f>IF($V236="","",M236*L236)</f>
        <v/>
      </c>
      <c r="O236">
        <f>IF($V236="","",Settings!$C$6)</f>
        <v/>
      </c>
      <c r="P236" s="7">
        <f>IF($V236="","",SUMIFS('Per Line'!$V$2:$V$1501,'Per Line'!$D$2:$D$1501,$B236,'Per Line'!$AM$2:$AM$1501,1,'Per Line'!$AN$2:$AN$1501,0))</f>
        <v/>
      </c>
      <c r="Q236" s="7">
        <f>IF($V236="","",P236*O236)</f>
        <v/>
      </c>
      <c r="R236" s="7">
        <f>IF($V236="","",Q236+N236)</f>
        <v/>
      </c>
      <c r="S236" s="7">
        <f>IF($V236="","",T236-R236)</f>
        <v/>
      </c>
      <c r="T236" s="7">
        <f>IF($V236="","",M236+P236+K236)</f>
        <v/>
      </c>
      <c r="U236" s="7">
        <f>IF($V236="","",T236-R236-J236)</f>
        <v/>
      </c>
      <c r="V236" s="13">
        <f>IF(ROWS($V$2:$V236)&lt;=MAX('Per Line'!$AL$2:$AL$1501),MATCH(ROWS($V$2:$V236),'Per Line'!$AL$2:$AL$1501,0),"")</f>
        <v/>
      </c>
    </row>
    <row r="237">
      <c r="A237" s="12" t="n"/>
      <c r="B237">
        <f>IF($V237="","",INDEX('Per Line'!$D$2:$D$1501,$V237)&amp;"")</f>
        <v/>
      </c>
      <c r="C237">
        <f>IF($V237="","",INDEX('Per Line'!$A$2:$A$1501,$V237))</f>
        <v/>
      </c>
      <c r="D237">
        <f>IF($V237="","",INDEX('Per Line'!$Z$2:$Z$1501,$V237)&amp;"")</f>
        <v/>
      </c>
      <c r="E237" s="11">
        <f>IF($V237="","",INDEX('Per Line'!$F$2:$F$1501,$V237))</f>
        <v/>
      </c>
      <c r="F237">
        <f>IF($V237="","",INDEX('Per Line'!$I$2:$I$1501,$V237)&amp;"")</f>
        <v/>
      </c>
      <c r="G237">
        <f>IF($V237="","",INDEX('Per Line'!$J$2:$J$1501,$V237)&amp;"")</f>
        <v/>
      </c>
      <c r="H237">
        <f>IF($V237="","",INDEX('Per Line'!$K$2:$K$1501,$V237)&amp;"")</f>
        <v/>
      </c>
      <c r="I237">
        <f>IF($V237="","",INDEX('Per Line'!$M$2:$M$1501,$V237))</f>
        <v/>
      </c>
      <c r="J237" s="7">
        <f>IF($V237="","",I237*T237/100)</f>
        <v/>
      </c>
      <c r="K237" s="7">
        <f>IF($V237="","",SUMIFS('Per Line'!$V$2:$V$1501,'Per Line'!$D$2:$D$1501,$B237,'Per Line'!$AN$2:$AN$1501,1))</f>
        <v/>
      </c>
      <c r="L237">
        <f>IF($V237="","",Settings!$C$7)</f>
        <v/>
      </c>
      <c r="M237" s="7">
        <f>IF($V237="","",SUMIFS('Per Line'!$V$2:$V$1501,'Per Line'!$D$2:$D$1501,$B237,'Per Line'!$AM$2:$AM$1501,0,'Per Line'!$AN$2:$AN$1501,0))</f>
        <v/>
      </c>
      <c r="N237" s="7">
        <f>IF($V237="","",M237*L237)</f>
        <v/>
      </c>
      <c r="O237">
        <f>IF($V237="","",Settings!$C$6)</f>
        <v/>
      </c>
      <c r="P237" s="7">
        <f>IF($V237="","",SUMIFS('Per Line'!$V$2:$V$1501,'Per Line'!$D$2:$D$1501,$B237,'Per Line'!$AM$2:$AM$1501,1,'Per Line'!$AN$2:$AN$1501,0))</f>
        <v/>
      </c>
      <c r="Q237" s="7">
        <f>IF($V237="","",P237*O237)</f>
        <v/>
      </c>
      <c r="R237" s="7">
        <f>IF($V237="","",Q237+N237)</f>
        <v/>
      </c>
      <c r="S237" s="7">
        <f>IF($V237="","",T237-R237)</f>
        <v/>
      </c>
      <c r="T237" s="7">
        <f>IF($V237="","",M237+P237+K237)</f>
        <v/>
      </c>
      <c r="U237" s="7">
        <f>IF($V237="","",T237-R237-J237)</f>
        <v/>
      </c>
      <c r="V237" s="13">
        <f>IF(ROWS($V$2:$V237)&lt;=MAX('Per Line'!$AL$2:$AL$1501),MATCH(ROWS($V$2:$V237),'Per Line'!$AL$2:$AL$1501,0),"")</f>
        <v/>
      </c>
    </row>
    <row r="238">
      <c r="A238" s="12" t="n"/>
      <c r="B238">
        <f>IF($V238="","",INDEX('Per Line'!$D$2:$D$1501,$V238)&amp;"")</f>
        <v/>
      </c>
      <c r="C238">
        <f>IF($V238="","",INDEX('Per Line'!$A$2:$A$1501,$V238))</f>
        <v/>
      </c>
      <c r="D238">
        <f>IF($V238="","",INDEX('Per Line'!$Z$2:$Z$1501,$V238)&amp;"")</f>
        <v/>
      </c>
      <c r="E238" s="11">
        <f>IF($V238="","",INDEX('Per Line'!$F$2:$F$1501,$V238))</f>
        <v/>
      </c>
      <c r="F238">
        <f>IF($V238="","",INDEX('Per Line'!$I$2:$I$1501,$V238)&amp;"")</f>
        <v/>
      </c>
      <c r="G238">
        <f>IF($V238="","",INDEX('Per Line'!$J$2:$J$1501,$V238)&amp;"")</f>
        <v/>
      </c>
      <c r="H238">
        <f>IF($V238="","",INDEX('Per Line'!$K$2:$K$1501,$V238)&amp;"")</f>
        <v/>
      </c>
      <c r="I238">
        <f>IF($V238="","",INDEX('Per Line'!$M$2:$M$1501,$V238))</f>
        <v/>
      </c>
      <c r="J238" s="7">
        <f>IF($V238="","",I238*T238/100)</f>
        <v/>
      </c>
      <c r="K238" s="7">
        <f>IF($V238="","",SUMIFS('Per Line'!$V$2:$V$1501,'Per Line'!$D$2:$D$1501,$B238,'Per Line'!$AN$2:$AN$1501,1))</f>
        <v/>
      </c>
      <c r="L238">
        <f>IF($V238="","",Settings!$C$7)</f>
        <v/>
      </c>
      <c r="M238" s="7">
        <f>IF($V238="","",SUMIFS('Per Line'!$V$2:$V$1501,'Per Line'!$D$2:$D$1501,$B238,'Per Line'!$AM$2:$AM$1501,0,'Per Line'!$AN$2:$AN$1501,0))</f>
        <v/>
      </c>
      <c r="N238" s="7">
        <f>IF($V238="","",M238*L238)</f>
        <v/>
      </c>
      <c r="O238">
        <f>IF($V238="","",Settings!$C$6)</f>
        <v/>
      </c>
      <c r="P238" s="7">
        <f>IF($V238="","",SUMIFS('Per Line'!$V$2:$V$1501,'Per Line'!$D$2:$D$1501,$B238,'Per Line'!$AM$2:$AM$1501,1,'Per Line'!$AN$2:$AN$1501,0))</f>
        <v/>
      </c>
      <c r="Q238" s="7">
        <f>IF($V238="","",P238*O238)</f>
        <v/>
      </c>
      <c r="R238" s="7">
        <f>IF($V238="","",Q238+N238)</f>
        <v/>
      </c>
      <c r="S238" s="7">
        <f>IF($V238="","",T238-R238)</f>
        <v/>
      </c>
      <c r="T238" s="7">
        <f>IF($V238="","",M238+P238+K238)</f>
        <v/>
      </c>
      <c r="U238" s="7">
        <f>IF($V238="","",T238-R238-J238)</f>
        <v/>
      </c>
      <c r="V238" s="13">
        <f>IF(ROWS($V$2:$V238)&lt;=MAX('Per Line'!$AL$2:$AL$1501),MATCH(ROWS($V$2:$V238),'Per Line'!$AL$2:$AL$1501,0),"")</f>
        <v/>
      </c>
    </row>
    <row r="239">
      <c r="A239" s="12" t="n"/>
      <c r="B239">
        <f>IF($V239="","",INDEX('Per Line'!$D$2:$D$1501,$V239)&amp;"")</f>
        <v/>
      </c>
      <c r="C239">
        <f>IF($V239="","",INDEX('Per Line'!$A$2:$A$1501,$V239))</f>
        <v/>
      </c>
      <c r="D239">
        <f>IF($V239="","",INDEX('Per Line'!$Z$2:$Z$1501,$V239)&amp;"")</f>
        <v/>
      </c>
      <c r="E239" s="11">
        <f>IF($V239="","",INDEX('Per Line'!$F$2:$F$1501,$V239))</f>
        <v/>
      </c>
      <c r="F239">
        <f>IF($V239="","",INDEX('Per Line'!$I$2:$I$1501,$V239)&amp;"")</f>
        <v/>
      </c>
      <c r="G239">
        <f>IF($V239="","",INDEX('Per Line'!$J$2:$J$1501,$V239)&amp;"")</f>
        <v/>
      </c>
      <c r="H239">
        <f>IF($V239="","",INDEX('Per Line'!$K$2:$K$1501,$V239)&amp;"")</f>
        <v/>
      </c>
      <c r="I239">
        <f>IF($V239="","",INDEX('Per Line'!$M$2:$M$1501,$V239))</f>
        <v/>
      </c>
      <c r="J239" s="7">
        <f>IF($V239="","",I239*T239/100)</f>
        <v/>
      </c>
      <c r="K239" s="7">
        <f>IF($V239="","",SUMIFS('Per Line'!$V$2:$V$1501,'Per Line'!$D$2:$D$1501,$B239,'Per Line'!$AN$2:$AN$1501,1))</f>
        <v/>
      </c>
      <c r="L239">
        <f>IF($V239="","",Settings!$C$7)</f>
        <v/>
      </c>
      <c r="M239" s="7">
        <f>IF($V239="","",SUMIFS('Per Line'!$V$2:$V$1501,'Per Line'!$D$2:$D$1501,$B239,'Per Line'!$AM$2:$AM$1501,0,'Per Line'!$AN$2:$AN$1501,0))</f>
        <v/>
      </c>
      <c r="N239" s="7">
        <f>IF($V239="","",M239*L239)</f>
        <v/>
      </c>
      <c r="O239">
        <f>IF($V239="","",Settings!$C$6)</f>
        <v/>
      </c>
      <c r="P239" s="7">
        <f>IF($V239="","",SUMIFS('Per Line'!$V$2:$V$1501,'Per Line'!$D$2:$D$1501,$B239,'Per Line'!$AM$2:$AM$1501,1,'Per Line'!$AN$2:$AN$1501,0))</f>
        <v/>
      </c>
      <c r="Q239" s="7">
        <f>IF($V239="","",P239*O239)</f>
        <v/>
      </c>
      <c r="R239" s="7">
        <f>IF($V239="","",Q239+N239)</f>
        <v/>
      </c>
      <c r="S239" s="7">
        <f>IF($V239="","",T239-R239)</f>
        <v/>
      </c>
      <c r="T239" s="7">
        <f>IF($V239="","",M239+P239+K239)</f>
        <v/>
      </c>
      <c r="U239" s="7">
        <f>IF($V239="","",T239-R239-J239)</f>
        <v/>
      </c>
      <c r="V239" s="13">
        <f>IF(ROWS($V$2:$V239)&lt;=MAX('Per Line'!$AL$2:$AL$1501),MATCH(ROWS($V$2:$V239),'Per Line'!$AL$2:$AL$1501,0),"")</f>
        <v/>
      </c>
    </row>
    <row r="240">
      <c r="A240" s="12" t="n"/>
      <c r="B240">
        <f>IF($V240="","",INDEX('Per Line'!$D$2:$D$1501,$V240)&amp;"")</f>
        <v/>
      </c>
      <c r="C240">
        <f>IF($V240="","",INDEX('Per Line'!$A$2:$A$1501,$V240))</f>
        <v/>
      </c>
      <c r="D240">
        <f>IF($V240="","",INDEX('Per Line'!$Z$2:$Z$1501,$V240)&amp;"")</f>
        <v/>
      </c>
      <c r="E240" s="11">
        <f>IF($V240="","",INDEX('Per Line'!$F$2:$F$1501,$V240))</f>
        <v/>
      </c>
      <c r="F240">
        <f>IF($V240="","",INDEX('Per Line'!$I$2:$I$1501,$V240)&amp;"")</f>
        <v/>
      </c>
      <c r="G240">
        <f>IF($V240="","",INDEX('Per Line'!$J$2:$J$1501,$V240)&amp;"")</f>
        <v/>
      </c>
      <c r="H240">
        <f>IF($V240="","",INDEX('Per Line'!$K$2:$K$1501,$V240)&amp;"")</f>
        <v/>
      </c>
      <c r="I240">
        <f>IF($V240="","",INDEX('Per Line'!$M$2:$M$1501,$V240))</f>
        <v/>
      </c>
      <c r="J240" s="7">
        <f>IF($V240="","",I240*T240/100)</f>
        <v/>
      </c>
      <c r="K240" s="7">
        <f>IF($V240="","",SUMIFS('Per Line'!$V$2:$V$1501,'Per Line'!$D$2:$D$1501,$B240,'Per Line'!$AN$2:$AN$1501,1))</f>
        <v/>
      </c>
      <c r="L240">
        <f>IF($V240="","",Settings!$C$7)</f>
        <v/>
      </c>
      <c r="M240" s="7">
        <f>IF($V240="","",SUMIFS('Per Line'!$V$2:$V$1501,'Per Line'!$D$2:$D$1501,$B240,'Per Line'!$AM$2:$AM$1501,0,'Per Line'!$AN$2:$AN$1501,0))</f>
        <v/>
      </c>
      <c r="N240" s="7">
        <f>IF($V240="","",M240*L240)</f>
        <v/>
      </c>
      <c r="O240">
        <f>IF($V240="","",Settings!$C$6)</f>
        <v/>
      </c>
      <c r="P240" s="7">
        <f>IF($V240="","",SUMIFS('Per Line'!$V$2:$V$1501,'Per Line'!$D$2:$D$1501,$B240,'Per Line'!$AM$2:$AM$1501,1,'Per Line'!$AN$2:$AN$1501,0))</f>
        <v/>
      </c>
      <c r="Q240" s="7">
        <f>IF($V240="","",P240*O240)</f>
        <v/>
      </c>
      <c r="R240" s="7">
        <f>IF($V240="","",Q240+N240)</f>
        <v/>
      </c>
      <c r="S240" s="7">
        <f>IF($V240="","",T240-R240)</f>
        <v/>
      </c>
      <c r="T240" s="7">
        <f>IF($V240="","",M240+P240+K240)</f>
        <v/>
      </c>
      <c r="U240" s="7">
        <f>IF($V240="","",T240-R240-J240)</f>
        <v/>
      </c>
      <c r="V240" s="13">
        <f>IF(ROWS($V$2:$V240)&lt;=MAX('Per Line'!$AL$2:$AL$1501),MATCH(ROWS($V$2:$V240),'Per Line'!$AL$2:$AL$1501,0),"")</f>
        <v/>
      </c>
    </row>
    <row r="241">
      <c r="A241" s="12" t="n"/>
      <c r="B241">
        <f>IF($V241="","",INDEX('Per Line'!$D$2:$D$1501,$V241)&amp;"")</f>
        <v/>
      </c>
      <c r="C241">
        <f>IF($V241="","",INDEX('Per Line'!$A$2:$A$1501,$V241))</f>
        <v/>
      </c>
      <c r="D241">
        <f>IF($V241="","",INDEX('Per Line'!$Z$2:$Z$1501,$V241)&amp;"")</f>
        <v/>
      </c>
      <c r="E241" s="11">
        <f>IF($V241="","",INDEX('Per Line'!$F$2:$F$1501,$V241))</f>
        <v/>
      </c>
      <c r="F241">
        <f>IF($V241="","",INDEX('Per Line'!$I$2:$I$1501,$V241)&amp;"")</f>
        <v/>
      </c>
      <c r="G241">
        <f>IF($V241="","",INDEX('Per Line'!$J$2:$J$1501,$V241)&amp;"")</f>
        <v/>
      </c>
      <c r="H241">
        <f>IF($V241="","",INDEX('Per Line'!$K$2:$K$1501,$V241)&amp;"")</f>
        <v/>
      </c>
      <c r="I241">
        <f>IF($V241="","",INDEX('Per Line'!$M$2:$M$1501,$V241))</f>
        <v/>
      </c>
      <c r="J241" s="7">
        <f>IF($V241="","",I241*T241/100)</f>
        <v/>
      </c>
      <c r="K241" s="7">
        <f>IF($V241="","",SUMIFS('Per Line'!$V$2:$V$1501,'Per Line'!$D$2:$D$1501,$B241,'Per Line'!$AN$2:$AN$1501,1))</f>
        <v/>
      </c>
      <c r="L241">
        <f>IF($V241="","",Settings!$C$7)</f>
        <v/>
      </c>
      <c r="M241" s="7">
        <f>IF($V241="","",SUMIFS('Per Line'!$V$2:$V$1501,'Per Line'!$D$2:$D$1501,$B241,'Per Line'!$AM$2:$AM$1501,0,'Per Line'!$AN$2:$AN$1501,0))</f>
        <v/>
      </c>
      <c r="N241" s="7">
        <f>IF($V241="","",M241*L241)</f>
        <v/>
      </c>
      <c r="O241">
        <f>IF($V241="","",Settings!$C$6)</f>
        <v/>
      </c>
      <c r="P241" s="7">
        <f>IF($V241="","",SUMIFS('Per Line'!$V$2:$V$1501,'Per Line'!$D$2:$D$1501,$B241,'Per Line'!$AM$2:$AM$1501,1,'Per Line'!$AN$2:$AN$1501,0))</f>
        <v/>
      </c>
      <c r="Q241" s="7">
        <f>IF($V241="","",P241*O241)</f>
        <v/>
      </c>
      <c r="R241" s="7">
        <f>IF($V241="","",Q241+N241)</f>
        <v/>
      </c>
      <c r="S241" s="7">
        <f>IF($V241="","",T241-R241)</f>
        <v/>
      </c>
      <c r="T241" s="7">
        <f>IF($V241="","",M241+P241+K241)</f>
        <v/>
      </c>
      <c r="U241" s="7">
        <f>IF($V241="","",T241-R241-J241)</f>
        <v/>
      </c>
      <c r="V241" s="13">
        <f>IF(ROWS($V$2:$V241)&lt;=MAX('Per Line'!$AL$2:$AL$1501),MATCH(ROWS($V$2:$V241),'Per Line'!$AL$2:$AL$1501,0),"")</f>
        <v/>
      </c>
    </row>
    <row r="242">
      <c r="A242" s="12" t="n"/>
      <c r="B242">
        <f>IF($V242="","",INDEX('Per Line'!$D$2:$D$1501,$V242)&amp;"")</f>
        <v/>
      </c>
      <c r="C242">
        <f>IF($V242="","",INDEX('Per Line'!$A$2:$A$1501,$V242))</f>
        <v/>
      </c>
      <c r="D242">
        <f>IF($V242="","",INDEX('Per Line'!$Z$2:$Z$1501,$V242)&amp;"")</f>
        <v/>
      </c>
      <c r="E242" s="11">
        <f>IF($V242="","",INDEX('Per Line'!$F$2:$F$1501,$V242))</f>
        <v/>
      </c>
      <c r="F242">
        <f>IF($V242="","",INDEX('Per Line'!$I$2:$I$1501,$V242)&amp;"")</f>
        <v/>
      </c>
      <c r="G242">
        <f>IF($V242="","",INDEX('Per Line'!$J$2:$J$1501,$V242)&amp;"")</f>
        <v/>
      </c>
      <c r="H242">
        <f>IF($V242="","",INDEX('Per Line'!$K$2:$K$1501,$V242)&amp;"")</f>
        <v/>
      </c>
      <c r="I242">
        <f>IF($V242="","",INDEX('Per Line'!$M$2:$M$1501,$V242))</f>
        <v/>
      </c>
      <c r="J242" s="7">
        <f>IF($V242="","",I242*T242/100)</f>
        <v/>
      </c>
      <c r="K242" s="7">
        <f>IF($V242="","",SUMIFS('Per Line'!$V$2:$V$1501,'Per Line'!$D$2:$D$1501,$B242,'Per Line'!$AN$2:$AN$1501,1))</f>
        <v/>
      </c>
      <c r="L242">
        <f>IF($V242="","",Settings!$C$7)</f>
        <v/>
      </c>
      <c r="M242" s="7">
        <f>IF($V242="","",SUMIFS('Per Line'!$V$2:$V$1501,'Per Line'!$D$2:$D$1501,$B242,'Per Line'!$AM$2:$AM$1501,0,'Per Line'!$AN$2:$AN$1501,0))</f>
        <v/>
      </c>
      <c r="N242" s="7">
        <f>IF($V242="","",M242*L242)</f>
        <v/>
      </c>
      <c r="O242">
        <f>IF($V242="","",Settings!$C$6)</f>
        <v/>
      </c>
      <c r="P242" s="7">
        <f>IF($V242="","",SUMIFS('Per Line'!$V$2:$V$1501,'Per Line'!$D$2:$D$1501,$B242,'Per Line'!$AM$2:$AM$1501,1,'Per Line'!$AN$2:$AN$1501,0))</f>
        <v/>
      </c>
      <c r="Q242" s="7">
        <f>IF($V242="","",P242*O242)</f>
        <v/>
      </c>
      <c r="R242" s="7">
        <f>IF($V242="","",Q242+N242)</f>
        <v/>
      </c>
      <c r="S242" s="7">
        <f>IF($V242="","",T242-R242)</f>
        <v/>
      </c>
      <c r="T242" s="7">
        <f>IF($V242="","",M242+P242+K242)</f>
        <v/>
      </c>
      <c r="U242" s="7">
        <f>IF($V242="","",T242-R242-J242)</f>
        <v/>
      </c>
      <c r="V242" s="13">
        <f>IF(ROWS($V$2:$V242)&lt;=MAX('Per Line'!$AL$2:$AL$1501),MATCH(ROWS($V$2:$V242),'Per Line'!$AL$2:$AL$1501,0),"")</f>
        <v/>
      </c>
    </row>
    <row r="243">
      <c r="A243" s="12" t="n"/>
      <c r="B243">
        <f>IF($V243="","",INDEX('Per Line'!$D$2:$D$1501,$V243)&amp;"")</f>
        <v/>
      </c>
      <c r="C243">
        <f>IF($V243="","",INDEX('Per Line'!$A$2:$A$1501,$V243))</f>
        <v/>
      </c>
      <c r="D243">
        <f>IF($V243="","",INDEX('Per Line'!$Z$2:$Z$1501,$V243)&amp;"")</f>
        <v/>
      </c>
      <c r="E243" s="11">
        <f>IF($V243="","",INDEX('Per Line'!$F$2:$F$1501,$V243))</f>
        <v/>
      </c>
      <c r="F243">
        <f>IF($V243="","",INDEX('Per Line'!$I$2:$I$1501,$V243)&amp;"")</f>
        <v/>
      </c>
      <c r="G243">
        <f>IF($V243="","",INDEX('Per Line'!$J$2:$J$1501,$V243)&amp;"")</f>
        <v/>
      </c>
      <c r="H243">
        <f>IF($V243="","",INDEX('Per Line'!$K$2:$K$1501,$V243)&amp;"")</f>
        <v/>
      </c>
      <c r="I243">
        <f>IF($V243="","",INDEX('Per Line'!$M$2:$M$1501,$V243))</f>
        <v/>
      </c>
      <c r="J243" s="7">
        <f>IF($V243="","",I243*T243/100)</f>
        <v/>
      </c>
      <c r="K243" s="7">
        <f>IF($V243="","",SUMIFS('Per Line'!$V$2:$V$1501,'Per Line'!$D$2:$D$1501,$B243,'Per Line'!$AN$2:$AN$1501,1))</f>
        <v/>
      </c>
      <c r="L243">
        <f>IF($V243="","",Settings!$C$7)</f>
        <v/>
      </c>
      <c r="M243" s="7">
        <f>IF($V243="","",SUMIFS('Per Line'!$V$2:$V$1501,'Per Line'!$D$2:$D$1501,$B243,'Per Line'!$AM$2:$AM$1501,0,'Per Line'!$AN$2:$AN$1501,0))</f>
        <v/>
      </c>
      <c r="N243" s="7">
        <f>IF($V243="","",M243*L243)</f>
        <v/>
      </c>
      <c r="O243">
        <f>IF($V243="","",Settings!$C$6)</f>
        <v/>
      </c>
      <c r="P243" s="7">
        <f>IF($V243="","",SUMIFS('Per Line'!$V$2:$V$1501,'Per Line'!$D$2:$D$1501,$B243,'Per Line'!$AM$2:$AM$1501,1,'Per Line'!$AN$2:$AN$1501,0))</f>
        <v/>
      </c>
      <c r="Q243" s="7">
        <f>IF($V243="","",P243*O243)</f>
        <v/>
      </c>
      <c r="R243" s="7">
        <f>IF($V243="","",Q243+N243)</f>
        <v/>
      </c>
      <c r="S243" s="7">
        <f>IF($V243="","",T243-R243)</f>
        <v/>
      </c>
      <c r="T243" s="7">
        <f>IF($V243="","",M243+P243+K243)</f>
        <v/>
      </c>
      <c r="U243" s="7">
        <f>IF($V243="","",T243-R243-J243)</f>
        <v/>
      </c>
      <c r="V243" s="13">
        <f>IF(ROWS($V$2:$V243)&lt;=MAX('Per Line'!$AL$2:$AL$1501),MATCH(ROWS($V$2:$V243),'Per Line'!$AL$2:$AL$1501,0),"")</f>
        <v/>
      </c>
    </row>
    <row r="244">
      <c r="A244" s="12" t="n"/>
      <c r="B244">
        <f>IF($V244="","",INDEX('Per Line'!$D$2:$D$1501,$V244)&amp;"")</f>
        <v/>
      </c>
      <c r="C244">
        <f>IF($V244="","",INDEX('Per Line'!$A$2:$A$1501,$V244))</f>
        <v/>
      </c>
      <c r="D244">
        <f>IF($V244="","",INDEX('Per Line'!$Z$2:$Z$1501,$V244)&amp;"")</f>
        <v/>
      </c>
      <c r="E244" s="11">
        <f>IF($V244="","",INDEX('Per Line'!$F$2:$F$1501,$V244))</f>
        <v/>
      </c>
      <c r="F244">
        <f>IF($V244="","",INDEX('Per Line'!$I$2:$I$1501,$V244)&amp;"")</f>
        <v/>
      </c>
      <c r="G244">
        <f>IF($V244="","",INDEX('Per Line'!$J$2:$J$1501,$V244)&amp;"")</f>
        <v/>
      </c>
      <c r="H244">
        <f>IF($V244="","",INDEX('Per Line'!$K$2:$K$1501,$V244)&amp;"")</f>
        <v/>
      </c>
      <c r="I244">
        <f>IF($V244="","",INDEX('Per Line'!$M$2:$M$1501,$V244))</f>
        <v/>
      </c>
      <c r="J244" s="7">
        <f>IF($V244="","",I244*T244/100)</f>
        <v/>
      </c>
      <c r="K244" s="7">
        <f>IF($V244="","",SUMIFS('Per Line'!$V$2:$V$1501,'Per Line'!$D$2:$D$1501,$B244,'Per Line'!$AN$2:$AN$1501,1))</f>
        <v/>
      </c>
      <c r="L244">
        <f>IF($V244="","",Settings!$C$7)</f>
        <v/>
      </c>
      <c r="M244" s="7">
        <f>IF($V244="","",SUMIFS('Per Line'!$V$2:$V$1501,'Per Line'!$D$2:$D$1501,$B244,'Per Line'!$AM$2:$AM$1501,0,'Per Line'!$AN$2:$AN$1501,0))</f>
        <v/>
      </c>
      <c r="N244" s="7">
        <f>IF($V244="","",M244*L244)</f>
        <v/>
      </c>
      <c r="O244">
        <f>IF($V244="","",Settings!$C$6)</f>
        <v/>
      </c>
      <c r="P244" s="7">
        <f>IF($V244="","",SUMIFS('Per Line'!$V$2:$V$1501,'Per Line'!$D$2:$D$1501,$B244,'Per Line'!$AM$2:$AM$1501,1,'Per Line'!$AN$2:$AN$1501,0))</f>
        <v/>
      </c>
      <c r="Q244" s="7">
        <f>IF($V244="","",P244*O244)</f>
        <v/>
      </c>
      <c r="R244" s="7">
        <f>IF($V244="","",Q244+N244)</f>
        <v/>
      </c>
      <c r="S244" s="7">
        <f>IF($V244="","",T244-R244)</f>
        <v/>
      </c>
      <c r="T244" s="7">
        <f>IF($V244="","",M244+P244+K244)</f>
        <v/>
      </c>
      <c r="U244" s="7">
        <f>IF($V244="","",T244-R244-J244)</f>
        <v/>
      </c>
      <c r="V244" s="13">
        <f>IF(ROWS($V$2:$V244)&lt;=MAX('Per Line'!$AL$2:$AL$1501),MATCH(ROWS($V$2:$V244),'Per Line'!$AL$2:$AL$1501,0),"")</f>
        <v/>
      </c>
    </row>
    <row r="245">
      <c r="A245" s="12" t="n"/>
      <c r="B245">
        <f>IF($V245="","",INDEX('Per Line'!$D$2:$D$1501,$V245)&amp;"")</f>
        <v/>
      </c>
      <c r="C245">
        <f>IF($V245="","",INDEX('Per Line'!$A$2:$A$1501,$V245))</f>
        <v/>
      </c>
      <c r="D245">
        <f>IF($V245="","",INDEX('Per Line'!$Z$2:$Z$1501,$V245)&amp;"")</f>
        <v/>
      </c>
      <c r="E245" s="11">
        <f>IF($V245="","",INDEX('Per Line'!$F$2:$F$1501,$V245))</f>
        <v/>
      </c>
      <c r="F245">
        <f>IF($V245="","",INDEX('Per Line'!$I$2:$I$1501,$V245)&amp;"")</f>
        <v/>
      </c>
      <c r="G245">
        <f>IF($V245="","",INDEX('Per Line'!$J$2:$J$1501,$V245)&amp;"")</f>
        <v/>
      </c>
      <c r="H245">
        <f>IF($V245="","",INDEX('Per Line'!$K$2:$K$1501,$V245)&amp;"")</f>
        <v/>
      </c>
      <c r="I245">
        <f>IF($V245="","",INDEX('Per Line'!$M$2:$M$1501,$V245))</f>
        <v/>
      </c>
      <c r="J245" s="7">
        <f>IF($V245="","",I245*T245/100)</f>
        <v/>
      </c>
      <c r="K245" s="7">
        <f>IF($V245="","",SUMIFS('Per Line'!$V$2:$V$1501,'Per Line'!$D$2:$D$1501,$B245,'Per Line'!$AN$2:$AN$1501,1))</f>
        <v/>
      </c>
      <c r="L245">
        <f>IF($V245="","",Settings!$C$7)</f>
        <v/>
      </c>
      <c r="M245" s="7">
        <f>IF($V245="","",SUMIFS('Per Line'!$V$2:$V$1501,'Per Line'!$D$2:$D$1501,$B245,'Per Line'!$AM$2:$AM$1501,0,'Per Line'!$AN$2:$AN$1501,0))</f>
        <v/>
      </c>
      <c r="N245" s="7">
        <f>IF($V245="","",M245*L245)</f>
        <v/>
      </c>
      <c r="O245">
        <f>IF($V245="","",Settings!$C$6)</f>
        <v/>
      </c>
      <c r="P245" s="7">
        <f>IF($V245="","",SUMIFS('Per Line'!$V$2:$V$1501,'Per Line'!$D$2:$D$1501,$B245,'Per Line'!$AM$2:$AM$1501,1,'Per Line'!$AN$2:$AN$1501,0))</f>
        <v/>
      </c>
      <c r="Q245" s="7">
        <f>IF($V245="","",P245*O245)</f>
        <v/>
      </c>
      <c r="R245" s="7">
        <f>IF($V245="","",Q245+N245)</f>
        <v/>
      </c>
      <c r="S245" s="7">
        <f>IF($V245="","",T245-R245)</f>
        <v/>
      </c>
      <c r="T245" s="7">
        <f>IF($V245="","",M245+P245+K245)</f>
        <v/>
      </c>
      <c r="U245" s="7">
        <f>IF($V245="","",T245-R245-J245)</f>
        <v/>
      </c>
      <c r="V245" s="13">
        <f>IF(ROWS($V$2:$V245)&lt;=MAX('Per Line'!$AL$2:$AL$1501),MATCH(ROWS($V$2:$V245),'Per Line'!$AL$2:$AL$1501,0),"")</f>
        <v/>
      </c>
    </row>
    <row r="246">
      <c r="A246" s="12" t="n"/>
      <c r="B246">
        <f>IF($V246="","",INDEX('Per Line'!$D$2:$D$1501,$V246)&amp;"")</f>
        <v/>
      </c>
      <c r="C246">
        <f>IF($V246="","",INDEX('Per Line'!$A$2:$A$1501,$V246))</f>
        <v/>
      </c>
      <c r="D246">
        <f>IF($V246="","",INDEX('Per Line'!$Z$2:$Z$1501,$V246)&amp;"")</f>
        <v/>
      </c>
      <c r="E246" s="11">
        <f>IF($V246="","",INDEX('Per Line'!$F$2:$F$1501,$V246))</f>
        <v/>
      </c>
      <c r="F246">
        <f>IF($V246="","",INDEX('Per Line'!$I$2:$I$1501,$V246)&amp;"")</f>
        <v/>
      </c>
      <c r="G246">
        <f>IF($V246="","",INDEX('Per Line'!$J$2:$J$1501,$V246)&amp;"")</f>
        <v/>
      </c>
      <c r="H246">
        <f>IF($V246="","",INDEX('Per Line'!$K$2:$K$1501,$V246)&amp;"")</f>
        <v/>
      </c>
      <c r="I246">
        <f>IF($V246="","",INDEX('Per Line'!$M$2:$M$1501,$V246))</f>
        <v/>
      </c>
      <c r="J246" s="7">
        <f>IF($V246="","",I246*T246/100)</f>
        <v/>
      </c>
      <c r="K246" s="7">
        <f>IF($V246="","",SUMIFS('Per Line'!$V$2:$V$1501,'Per Line'!$D$2:$D$1501,$B246,'Per Line'!$AN$2:$AN$1501,1))</f>
        <v/>
      </c>
      <c r="L246">
        <f>IF($V246="","",Settings!$C$7)</f>
        <v/>
      </c>
      <c r="M246" s="7">
        <f>IF($V246="","",SUMIFS('Per Line'!$V$2:$V$1501,'Per Line'!$D$2:$D$1501,$B246,'Per Line'!$AM$2:$AM$1501,0,'Per Line'!$AN$2:$AN$1501,0))</f>
        <v/>
      </c>
      <c r="N246" s="7">
        <f>IF($V246="","",M246*L246)</f>
        <v/>
      </c>
      <c r="O246">
        <f>IF($V246="","",Settings!$C$6)</f>
        <v/>
      </c>
      <c r="P246" s="7">
        <f>IF($V246="","",SUMIFS('Per Line'!$V$2:$V$1501,'Per Line'!$D$2:$D$1501,$B246,'Per Line'!$AM$2:$AM$1501,1,'Per Line'!$AN$2:$AN$1501,0))</f>
        <v/>
      </c>
      <c r="Q246" s="7">
        <f>IF($V246="","",P246*O246)</f>
        <v/>
      </c>
      <c r="R246" s="7">
        <f>IF($V246="","",Q246+N246)</f>
        <v/>
      </c>
      <c r="S246" s="7">
        <f>IF($V246="","",T246-R246)</f>
        <v/>
      </c>
      <c r="T246" s="7">
        <f>IF($V246="","",M246+P246+K246)</f>
        <v/>
      </c>
      <c r="U246" s="7">
        <f>IF($V246="","",T246-R246-J246)</f>
        <v/>
      </c>
      <c r="V246" s="13">
        <f>IF(ROWS($V$2:$V246)&lt;=MAX('Per Line'!$AL$2:$AL$1501),MATCH(ROWS($V$2:$V246),'Per Line'!$AL$2:$AL$1501,0),"")</f>
        <v/>
      </c>
    </row>
    <row r="247">
      <c r="A247" s="12" t="n"/>
      <c r="B247">
        <f>IF($V247="","",INDEX('Per Line'!$D$2:$D$1501,$V247)&amp;"")</f>
        <v/>
      </c>
      <c r="C247">
        <f>IF($V247="","",INDEX('Per Line'!$A$2:$A$1501,$V247))</f>
        <v/>
      </c>
      <c r="D247">
        <f>IF($V247="","",INDEX('Per Line'!$Z$2:$Z$1501,$V247)&amp;"")</f>
        <v/>
      </c>
      <c r="E247" s="11">
        <f>IF($V247="","",INDEX('Per Line'!$F$2:$F$1501,$V247))</f>
        <v/>
      </c>
      <c r="F247">
        <f>IF($V247="","",INDEX('Per Line'!$I$2:$I$1501,$V247)&amp;"")</f>
        <v/>
      </c>
      <c r="G247">
        <f>IF($V247="","",INDEX('Per Line'!$J$2:$J$1501,$V247)&amp;"")</f>
        <v/>
      </c>
      <c r="H247">
        <f>IF($V247="","",INDEX('Per Line'!$K$2:$K$1501,$V247)&amp;"")</f>
        <v/>
      </c>
      <c r="I247">
        <f>IF($V247="","",INDEX('Per Line'!$M$2:$M$1501,$V247))</f>
        <v/>
      </c>
      <c r="J247" s="7">
        <f>IF($V247="","",I247*T247/100)</f>
        <v/>
      </c>
      <c r="K247" s="7">
        <f>IF($V247="","",SUMIFS('Per Line'!$V$2:$V$1501,'Per Line'!$D$2:$D$1501,$B247,'Per Line'!$AN$2:$AN$1501,1))</f>
        <v/>
      </c>
      <c r="L247">
        <f>IF($V247="","",Settings!$C$7)</f>
        <v/>
      </c>
      <c r="M247" s="7">
        <f>IF($V247="","",SUMIFS('Per Line'!$V$2:$V$1501,'Per Line'!$D$2:$D$1501,$B247,'Per Line'!$AM$2:$AM$1501,0,'Per Line'!$AN$2:$AN$1501,0))</f>
        <v/>
      </c>
      <c r="N247" s="7">
        <f>IF($V247="","",M247*L247)</f>
        <v/>
      </c>
      <c r="O247">
        <f>IF($V247="","",Settings!$C$6)</f>
        <v/>
      </c>
      <c r="P247" s="7">
        <f>IF($V247="","",SUMIFS('Per Line'!$V$2:$V$1501,'Per Line'!$D$2:$D$1501,$B247,'Per Line'!$AM$2:$AM$1501,1,'Per Line'!$AN$2:$AN$1501,0))</f>
        <v/>
      </c>
      <c r="Q247" s="7">
        <f>IF($V247="","",P247*O247)</f>
        <v/>
      </c>
      <c r="R247" s="7">
        <f>IF($V247="","",Q247+N247)</f>
        <v/>
      </c>
      <c r="S247" s="7">
        <f>IF($V247="","",T247-R247)</f>
        <v/>
      </c>
      <c r="T247" s="7">
        <f>IF($V247="","",M247+P247+K247)</f>
        <v/>
      </c>
      <c r="U247" s="7">
        <f>IF($V247="","",T247-R247-J247)</f>
        <v/>
      </c>
      <c r="V247" s="13">
        <f>IF(ROWS($V$2:$V247)&lt;=MAX('Per Line'!$AL$2:$AL$1501),MATCH(ROWS($V$2:$V247),'Per Line'!$AL$2:$AL$1501,0),"")</f>
        <v/>
      </c>
    </row>
    <row r="248">
      <c r="A248" s="12" t="n"/>
      <c r="B248">
        <f>IF($V248="","",INDEX('Per Line'!$D$2:$D$1501,$V248)&amp;"")</f>
        <v/>
      </c>
      <c r="C248">
        <f>IF($V248="","",INDEX('Per Line'!$A$2:$A$1501,$V248))</f>
        <v/>
      </c>
      <c r="D248">
        <f>IF($V248="","",INDEX('Per Line'!$Z$2:$Z$1501,$V248)&amp;"")</f>
        <v/>
      </c>
      <c r="E248" s="11">
        <f>IF($V248="","",INDEX('Per Line'!$F$2:$F$1501,$V248))</f>
        <v/>
      </c>
      <c r="F248">
        <f>IF($V248="","",INDEX('Per Line'!$I$2:$I$1501,$V248)&amp;"")</f>
        <v/>
      </c>
      <c r="G248">
        <f>IF($V248="","",INDEX('Per Line'!$J$2:$J$1501,$V248)&amp;"")</f>
        <v/>
      </c>
      <c r="H248">
        <f>IF($V248="","",INDEX('Per Line'!$K$2:$K$1501,$V248)&amp;"")</f>
        <v/>
      </c>
      <c r="I248">
        <f>IF($V248="","",INDEX('Per Line'!$M$2:$M$1501,$V248))</f>
        <v/>
      </c>
      <c r="J248" s="7">
        <f>IF($V248="","",I248*T248/100)</f>
        <v/>
      </c>
      <c r="K248" s="7">
        <f>IF($V248="","",SUMIFS('Per Line'!$V$2:$V$1501,'Per Line'!$D$2:$D$1501,$B248,'Per Line'!$AN$2:$AN$1501,1))</f>
        <v/>
      </c>
      <c r="L248">
        <f>IF($V248="","",Settings!$C$7)</f>
        <v/>
      </c>
      <c r="M248" s="7">
        <f>IF($V248="","",SUMIFS('Per Line'!$V$2:$V$1501,'Per Line'!$D$2:$D$1501,$B248,'Per Line'!$AM$2:$AM$1501,0,'Per Line'!$AN$2:$AN$1501,0))</f>
        <v/>
      </c>
      <c r="N248" s="7">
        <f>IF($V248="","",M248*L248)</f>
        <v/>
      </c>
      <c r="O248">
        <f>IF($V248="","",Settings!$C$6)</f>
        <v/>
      </c>
      <c r="P248" s="7">
        <f>IF($V248="","",SUMIFS('Per Line'!$V$2:$V$1501,'Per Line'!$D$2:$D$1501,$B248,'Per Line'!$AM$2:$AM$1501,1,'Per Line'!$AN$2:$AN$1501,0))</f>
        <v/>
      </c>
      <c r="Q248" s="7">
        <f>IF($V248="","",P248*O248)</f>
        <v/>
      </c>
      <c r="R248" s="7">
        <f>IF($V248="","",Q248+N248)</f>
        <v/>
      </c>
      <c r="S248" s="7">
        <f>IF($V248="","",T248-R248)</f>
        <v/>
      </c>
      <c r="T248" s="7">
        <f>IF($V248="","",M248+P248+K248)</f>
        <v/>
      </c>
      <c r="U248" s="7">
        <f>IF($V248="","",T248-R248-J248)</f>
        <v/>
      </c>
      <c r="V248" s="13">
        <f>IF(ROWS($V$2:$V248)&lt;=MAX('Per Line'!$AL$2:$AL$1501),MATCH(ROWS($V$2:$V248),'Per Line'!$AL$2:$AL$1501,0),"")</f>
        <v/>
      </c>
    </row>
    <row r="249">
      <c r="A249" s="12" t="n"/>
      <c r="B249">
        <f>IF($V249="","",INDEX('Per Line'!$D$2:$D$1501,$V249)&amp;"")</f>
        <v/>
      </c>
      <c r="C249">
        <f>IF($V249="","",INDEX('Per Line'!$A$2:$A$1501,$V249))</f>
        <v/>
      </c>
      <c r="D249">
        <f>IF($V249="","",INDEX('Per Line'!$Z$2:$Z$1501,$V249)&amp;"")</f>
        <v/>
      </c>
      <c r="E249" s="11">
        <f>IF($V249="","",INDEX('Per Line'!$F$2:$F$1501,$V249))</f>
        <v/>
      </c>
      <c r="F249">
        <f>IF($V249="","",INDEX('Per Line'!$I$2:$I$1501,$V249)&amp;"")</f>
        <v/>
      </c>
      <c r="G249">
        <f>IF($V249="","",INDEX('Per Line'!$J$2:$J$1501,$V249)&amp;"")</f>
        <v/>
      </c>
      <c r="H249">
        <f>IF($V249="","",INDEX('Per Line'!$K$2:$K$1501,$V249)&amp;"")</f>
        <v/>
      </c>
      <c r="I249">
        <f>IF($V249="","",INDEX('Per Line'!$M$2:$M$1501,$V249))</f>
        <v/>
      </c>
      <c r="J249" s="7">
        <f>IF($V249="","",I249*T249/100)</f>
        <v/>
      </c>
      <c r="K249" s="7">
        <f>IF($V249="","",SUMIFS('Per Line'!$V$2:$V$1501,'Per Line'!$D$2:$D$1501,$B249,'Per Line'!$AN$2:$AN$1501,1))</f>
        <v/>
      </c>
      <c r="L249">
        <f>IF($V249="","",Settings!$C$7)</f>
        <v/>
      </c>
      <c r="M249" s="7">
        <f>IF($V249="","",SUMIFS('Per Line'!$V$2:$V$1501,'Per Line'!$D$2:$D$1501,$B249,'Per Line'!$AM$2:$AM$1501,0,'Per Line'!$AN$2:$AN$1501,0))</f>
        <v/>
      </c>
      <c r="N249" s="7">
        <f>IF($V249="","",M249*L249)</f>
        <v/>
      </c>
      <c r="O249">
        <f>IF($V249="","",Settings!$C$6)</f>
        <v/>
      </c>
      <c r="P249" s="7">
        <f>IF($V249="","",SUMIFS('Per Line'!$V$2:$V$1501,'Per Line'!$D$2:$D$1501,$B249,'Per Line'!$AM$2:$AM$1501,1,'Per Line'!$AN$2:$AN$1501,0))</f>
        <v/>
      </c>
      <c r="Q249" s="7">
        <f>IF($V249="","",P249*O249)</f>
        <v/>
      </c>
      <c r="R249" s="7">
        <f>IF($V249="","",Q249+N249)</f>
        <v/>
      </c>
      <c r="S249" s="7">
        <f>IF($V249="","",T249-R249)</f>
        <v/>
      </c>
      <c r="T249" s="7">
        <f>IF($V249="","",M249+P249+K249)</f>
        <v/>
      </c>
      <c r="U249" s="7">
        <f>IF($V249="","",T249-R249-J249)</f>
        <v/>
      </c>
      <c r="V249" s="13">
        <f>IF(ROWS($V$2:$V249)&lt;=MAX('Per Line'!$AL$2:$AL$1501),MATCH(ROWS($V$2:$V249),'Per Line'!$AL$2:$AL$1501,0),"")</f>
        <v/>
      </c>
    </row>
    <row r="250">
      <c r="A250" s="12" t="n"/>
      <c r="B250">
        <f>IF($V250="","",INDEX('Per Line'!$D$2:$D$1501,$V250)&amp;"")</f>
        <v/>
      </c>
      <c r="C250">
        <f>IF($V250="","",INDEX('Per Line'!$A$2:$A$1501,$V250))</f>
        <v/>
      </c>
      <c r="D250">
        <f>IF($V250="","",INDEX('Per Line'!$Z$2:$Z$1501,$V250)&amp;"")</f>
        <v/>
      </c>
      <c r="E250" s="11">
        <f>IF($V250="","",INDEX('Per Line'!$F$2:$F$1501,$V250))</f>
        <v/>
      </c>
      <c r="F250">
        <f>IF($V250="","",INDEX('Per Line'!$I$2:$I$1501,$V250)&amp;"")</f>
        <v/>
      </c>
      <c r="G250">
        <f>IF($V250="","",INDEX('Per Line'!$J$2:$J$1501,$V250)&amp;"")</f>
        <v/>
      </c>
      <c r="H250">
        <f>IF($V250="","",INDEX('Per Line'!$K$2:$K$1501,$V250)&amp;"")</f>
        <v/>
      </c>
      <c r="I250">
        <f>IF($V250="","",INDEX('Per Line'!$M$2:$M$1501,$V250))</f>
        <v/>
      </c>
      <c r="J250" s="7">
        <f>IF($V250="","",I250*T250/100)</f>
        <v/>
      </c>
      <c r="K250" s="7">
        <f>IF($V250="","",SUMIFS('Per Line'!$V$2:$V$1501,'Per Line'!$D$2:$D$1501,$B250,'Per Line'!$AN$2:$AN$1501,1))</f>
        <v/>
      </c>
      <c r="L250">
        <f>IF($V250="","",Settings!$C$7)</f>
        <v/>
      </c>
      <c r="M250" s="7">
        <f>IF($V250="","",SUMIFS('Per Line'!$V$2:$V$1501,'Per Line'!$D$2:$D$1501,$B250,'Per Line'!$AM$2:$AM$1501,0,'Per Line'!$AN$2:$AN$1501,0))</f>
        <v/>
      </c>
      <c r="N250" s="7">
        <f>IF($V250="","",M250*L250)</f>
        <v/>
      </c>
      <c r="O250">
        <f>IF($V250="","",Settings!$C$6)</f>
        <v/>
      </c>
      <c r="P250" s="7">
        <f>IF($V250="","",SUMIFS('Per Line'!$V$2:$V$1501,'Per Line'!$D$2:$D$1501,$B250,'Per Line'!$AM$2:$AM$1501,1,'Per Line'!$AN$2:$AN$1501,0))</f>
        <v/>
      </c>
      <c r="Q250" s="7">
        <f>IF($V250="","",P250*O250)</f>
        <v/>
      </c>
      <c r="R250" s="7">
        <f>IF($V250="","",Q250+N250)</f>
        <v/>
      </c>
      <c r="S250" s="7">
        <f>IF($V250="","",T250-R250)</f>
        <v/>
      </c>
      <c r="T250" s="7">
        <f>IF($V250="","",M250+P250+K250)</f>
        <v/>
      </c>
      <c r="U250" s="7">
        <f>IF($V250="","",T250-R250-J250)</f>
        <v/>
      </c>
      <c r="V250" s="13">
        <f>IF(ROWS($V$2:$V250)&lt;=MAX('Per Line'!$AL$2:$AL$1501),MATCH(ROWS($V$2:$V250),'Per Line'!$AL$2:$AL$1501,0),"")</f>
        <v/>
      </c>
    </row>
    <row r="251">
      <c r="A251" s="12" t="n"/>
      <c r="B251">
        <f>IF($V251="","",INDEX('Per Line'!$D$2:$D$1501,$V251)&amp;"")</f>
        <v/>
      </c>
      <c r="C251">
        <f>IF($V251="","",INDEX('Per Line'!$A$2:$A$1501,$V251))</f>
        <v/>
      </c>
      <c r="D251">
        <f>IF($V251="","",INDEX('Per Line'!$Z$2:$Z$1501,$V251)&amp;"")</f>
        <v/>
      </c>
      <c r="E251" s="11">
        <f>IF($V251="","",INDEX('Per Line'!$F$2:$F$1501,$V251))</f>
        <v/>
      </c>
      <c r="F251">
        <f>IF($V251="","",INDEX('Per Line'!$I$2:$I$1501,$V251)&amp;"")</f>
        <v/>
      </c>
      <c r="G251">
        <f>IF($V251="","",INDEX('Per Line'!$J$2:$J$1501,$V251)&amp;"")</f>
        <v/>
      </c>
      <c r="H251">
        <f>IF($V251="","",INDEX('Per Line'!$K$2:$K$1501,$V251)&amp;"")</f>
        <v/>
      </c>
      <c r="I251">
        <f>IF($V251="","",INDEX('Per Line'!$M$2:$M$1501,$V251))</f>
        <v/>
      </c>
      <c r="J251" s="7">
        <f>IF($V251="","",I251*T251/100)</f>
        <v/>
      </c>
      <c r="K251" s="7">
        <f>IF($V251="","",SUMIFS('Per Line'!$V$2:$V$1501,'Per Line'!$D$2:$D$1501,$B251,'Per Line'!$AN$2:$AN$1501,1))</f>
        <v/>
      </c>
      <c r="L251">
        <f>IF($V251="","",Settings!$C$7)</f>
        <v/>
      </c>
      <c r="M251" s="7">
        <f>IF($V251="","",SUMIFS('Per Line'!$V$2:$V$1501,'Per Line'!$D$2:$D$1501,$B251,'Per Line'!$AM$2:$AM$1501,0,'Per Line'!$AN$2:$AN$1501,0))</f>
        <v/>
      </c>
      <c r="N251" s="7">
        <f>IF($V251="","",M251*L251)</f>
        <v/>
      </c>
      <c r="O251">
        <f>IF($V251="","",Settings!$C$6)</f>
        <v/>
      </c>
      <c r="P251" s="7">
        <f>IF($V251="","",SUMIFS('Per Line'!$V$2:$V$1501,'Per Line'!$D$2:$D$1501,$B251,'Per Line'!$AM$2:$AM$1501,1,'Per Line'!$AN$2:$AN$1501,0))</f>
        <v/>
      </c>
      <c r="Q251" s="7">
        <f>IF($V251="","",P251*O251)</f>
        <v/>
      </c>
      <c r="R251" s="7">
        <f>IF($V251="","",Q251+N251)</f>
        <v/>
      </c>
      <c r="S251" s="7">
        <f>IF($V251="","",T251-R251)</f>
        <v/>
      </c>
      <c r="T251" s="7">
        <f>IF($V251="","",M251+P251+K251)</f>
        <v/>
      </c>
      <c r="U251" s="7">
        <f>IF($V251="","",T251-R251-J251)</f>
        <v/>
      </c>
      <c r="V251" s="13">
        <f>IF(ROWS($V$2:$V251)&lt;=MAX('Per Line'!$AL$2:$AL$1501),MATCH(ROWS($V$2:$V251),'Per Line'!$AL$2:$AL$1501,0),"")</f>
        <v/>
      </c>
    </row>
    <row r="252">
      <c r="A252" s="12" t="n"/>
      <c r="B252">
        <f>IF($V252="","",INDEX('Per Line'!$D$2:$D$1501,$V252)&amp;"")</f>
        <v/>
      </c>
      <c r="C252">
        <f>IF($V252="","",INDEX('Per Line'!$A$2:$A$1501,$V252))</f>
        <v/>
      </c>
      <c r="D252">
        <f>IF($V252="","",INDEX('Per Line'!$Z$2:$Z$1501,$V252)&amp;"")</f>
        <v/>
      </c>
      <c r="E252" s="11">
        <f>IF($V252="","",INDEX('Per Line'!$F$2:$F$1501,$V252))</f>
        <v/>
      </c>
      <c r="F252">
        <f>IF($V252="","",INDEX('Per Line'!$I$2:$I$1501,$V252)&amp;"")</f>
        <v/>
      </c>
      <c r="G252">
        <f>IF($V252="","",INDEX('Per Line'!$J$2:$J$1501,$V252)&amp;"")</f>
        <v/>
      </c>
      <c r="H252">
        <f>IF($V252="","",INDEX('Per Line'!$K$2:$K$1501,$V252)&amp;"")</f>
        <v/>
      </c>
      <c r="I252">
        <f>IF($V252="","",INDEX('Per Line'!$M$2:$M$1501,$V252))</f>
        <v/>
      </c>
      <c r="J252" s="7">
        <f>IF($V252="","",I252*T252/100)</f>
        <v/>
      </c>
      <c r="K252" s="7">
        <f>IF($V252="","",SUMIFS('Per Line'!$V$2:$V$1501,'Per Line'!$D$2:$D$1501,$B252,'Per Line'!$AN$2:$AN$1501,1))</f>
        <v/>
      </c>
      <c r="L252">
        <f>IF($V252="","",Settings!$C$7)</f>
        <v/>
      </c>
      <c r="M252" s="7">
        <f>IF($V252="","",SUMIFS('Per Line'!$V$2:$V$1501,'Per Line'!$D$2:$D$1501,$B252,'Per Line'!$AM$2:$AM$1501,0,'Per Line'!$AN$2:$AN$1501,0))</f>
        <v/>
      </c>
      <c r="N252" s="7">
        <f>IF($V252="","",M252*L252)</f>
        <v/>
      </c>
      <c r="O252">
        <f>IF($V252="","",Settings!$C$6)</f>
        <v/>
      </c>
      <c r="P252" s="7">
        <f>IF($V252="","",SUMIFS('Per Line'!$V$2:$V$1501,'Per Line'!$D$2:$D$1501,$B252,'Per Line'!$AM$2:$AM$1501,1,'Per Line'!$AN$2:$AN$1501,0))</f>
        <v/>
      </c>
      <c r="Q252" s="7">
        <f>IF($V252="","",P252*O252)</f>
        <v/>
      </c>
      <c r="R252" s="7">
        <f>IF($V252="","",Q252+N252)</f>
        <v/>
      </c>
      <c r="S252" s="7">
        <f>IF($V252="","",T252-R252)</f>
        <v/>
      </c>
      <c r="T252" s="7">
        <f>IF($V252="","",M252+P252+K252)</f>
        <v/>
      </c>
      <c r="U252" s="7">
        <f>IF($V252="","",T252-R252-J252)</f>
        <v/>
      </c>
      <c r="V252" s="13">
        <f>IF(ROWS($V$2:$V252)&lt;=MAX('Per Line'!$AL$2:$AL$1501),MATCH(ROWS($V$2:$V252),'Per Line'!$AL$2:$AL$1501,0),"")</f>
        <v/>
      </c>
    </row>
    <row r="253">
      <c r="A253" s="12" t="n"/>
      <c r="B253">
        <f>IF($V253="","",INDEX('Per Line'!$D$2:$D$1501,$V253)&amp;"")</f>
        <v/>
      </c>
      <c r="C253">
        <f>IF($V253="","",INDEX('Per Line'!$A$2:$A$1501,$V253))</f>
        <v/>
      </c>
      <c r="D253">
        <f>IF($V253="","",INDEX('Per Line'!$Z$2:$Z$1501,$V253)&amp;"")</f>
        <v/>
      </c>
      <c r="E253" s="11">
        <f>IF($V253="","",INDEX('Per Line'!$F$2:$F$1501,$V253))</f>
        <v/>
      </c>
      <c r="F253">
        <f>IF($V253="","",INDEX('Per Line'!$I$2:$I$1501,$V253)&amp;"")</f>
        <v/>
      </c>
      <c r="G253">
        <f>IF($V253="","",INDEX('Per Line'!$J$2:$J$1501,$V253)&amp;"")</f>
        <v/>
      </c>
      <c r="H253">
        <f>IF($V253="","",INDEX('Per Line'!$K$2:$K$1501,$V253)&amp;"")</f>
        <v/>
      </c>
      <c r="I253">
        <f>IF($V253="","",INDEX('Per Line'!$M$2:$M$1501,$V253))</f>
        <v/>
      </c>
      <c r="J253" s="7">
        <f>IF($V253="","",I253*T253/100)</f>
        <v/>
      </c>
      <c r="K253" s="7">
        <f>IF($V253="","",SUMIFS('Per Line'!$V$2:$V$1501,'Per Line'!$D$2:$D$1501,$B253,'Per Line'!$AN$2:$AN$1501,1))</f>
        <v/>
      </c>
      <c r="L253">
        <f>IF($V253="","",Settings!$C$7)</f>
        <v/>
      </c>
      <c r="M253" s="7">
        <f>IF($V253="","",SUMIFS('Per Line'!$V$2:$V$1501,'Per Line'!$D$2:$D$1501,$B253,'Per Line'!$AM$2:$AM$1501,0,'Per Line'!$AN$2:$AN$1501,0))</f>
        <v/>
      </c>
      <c r="N253" s="7">
        <f>IF($V253="","",M253*L253)</f>
        <v/>
      </c>
      <c r="O253">
        <f>IF($V253="","",Settings!$C$6)</f>
        <v/>
      </c>
      <c r="P253" s="7">
        <f>IF($V253="","",SUMIFS('Per Line'!$V$2:$V$1501,'Per Line'!$D$2:$D$1501,$B253,'Per Line'!$AM$2:$AM$1501,1,'Per Line'!$AN$2:$AN$1501,0))</f>
        <v/>
      </c>
      <c r="Q253" s="7">
        <f>IF($V253="","",P253*O253)</f>
        <v/>
      </c>
      <c r="R253" s="7">
        <f>IF($V253="","",Q253+N253)</f>
        <v/>
      </c>
      <c r="S253" s="7">
        <f>IF($V253="","",T253-R253)</f>
        <v/>
      </c>
      <c r="T253" s="7">
        <f>IF($V253="","",M253+P253+K253)</f>
        <v/>
      </c>
      <c r="U253" s="7">
        <f>IF($V253="","",T253-R253-J253)</f>
        <v/>
      </c>
      <c r="V253" s="13">
        <f>IF(ROWS($V$2:$V253)&lt;=MAX('Per Line'!$AL$2:$AL$1501),MATCH(ROWS($V$2:$V253),'Per Line'!$AL$2:$AL$1501,0),"")</f>
        <v/>
      </c>
    </row>
    <row r="254">
      <c r="A254" s="12" t="n"/>
      <c r="B254">
        <f>IF($V254="","",INDEX('Per Line'!$D$2:$D$1501,$V254)&amp;"")</f>
        <v/>
      </c>
      <c r="C254">
        <f>IF($V254="","",INDEX('Per Line'!$A$2:$A$1501,$V254))</f>
        <v/>
      </c>
      <c r="D254">
        <f>IF($V254="","",INDEX('Per Line'!$Z$2:$Z$1501,$V254)&amp;"")</f>
        <v/>
      </c>
      <c r="E254" s="11">
        <f>IF($V254="","",INDEX('Per Line'!$F$2:$F$1501,$V254))</f>
        <v/>
      </c>
      <c r="F254">
        <f>IF($V254="","",INDEX('Per Line'!$I$2:$I$1501,$V254)&amp;"")</f>
        <v/>
      </c>
      <c r="G254">
        <f>IF($V254="","",INDEX('Per Line'!$J$2:$J$1501,$V254)&amp;"")</f>
        <v/>
      </c>
      <c r="H254">
        <f>IF($V254="","",INDEX('Per Line'!$K$2:$K$1501,$V254)&amp;"")</f>
        <v/>
      </c>
      <c r="I254">
        <f>IF($V254="","",INDEX('Per Line'!$M$2:$M$1501,$V254))</f>
        <v/>
      </c>
      <c r="J254" s="7">
        <f>IF($V254="","",I254*T254/100)</f>
        <v/>
      </c>
      <c r="K254" s="7">
        <f>IF($V254="","",SUMIFS('Per Line'!$V$2:$V$1501,'Per Line'!$D$2:$D$1501,$B254,'Per Line'!$AN$2:$AN$1501,1))</f>
        <v/>
      </c>
      <c r="L254">
        <f>IF($V254="","",Settings!$C$7)</f>
        <v/>
      </c>
      <c r="M254" s="7">
        <f>IF($V254="","",SUMIFS('Per Line'!$V$2:$V$1501,'Per Line'!$D$2:$D$1501,$B254,'Per Line'!$AM$2:$AM$1501,0,'Per Line'!$AN$2:$AN$1501,0))</f>
        <v/>
      </c>
      <c r="N254" s="7">
        <f>IF($V254="","",M254*L254)</f>
        <v/>
      </c>
      <c r="O254">
        <f>IF($V254="","",Settings!$C$6)</f>
        <v/>
      </c>
      <c r="P254" s="7">
        <f>IF($V254="","",SUMIFS('Per Line'!$V$2:$V$1501,'Per Line'!$D$2:$D$1501,$B254,'Per Line'!$AM$2:$AM$1501,1,'Per Line'!$AN$2:$AN$1501,0))</f>
        <v/>
      </c>
      <c r="Q254" s="7">
        <f>IF($V254="","",P254*O254)</f>
        <v/>
      </c>
      <c r="R254" s="7">
        <f>IF($V254="","",Q254+N254)</f>
        <v/>
      </c>
      <c r="S254" s="7">
        <f>IF($V254="","",T254-R254)</f>
        <v/>
      </c>
      <c r="T254" s="7">
        <f>IF($V254="","",M254+P254+K254)</f>
        <v/>
      </c>
      <c r="U254" s="7">
        <f>IF($V254="","",T254-R254-J254)</f>
        <v/>
      </c>
      <c r="V254" s="13">
        <f>IF(ROWS($V$2:$V254)&lt;=MAX('Per Line'!$AL$2:$AL$1501),MATCH(ROWS($V$2:$V254),'Per Line'!$AL$2:$AL$1501,0),"")</f>
        <v/>
      </c>
    </row>
    <row r="255">
      <c r="A255" s="12" t="n"/>
      <c r="B255">
        <f>IF($V255="","",INDEX('Per Line'!$D$2:$D$1501,$V255)&amp;"")</f>
        <v/>
      </c>
      <c r="C255">
        <f>IF($V255="","",INDEX('Per Line'!$A$2:$A$1501,$V255))</f>
        <v/>
      </c>
      <c r="D255">
        <f>IF($V255="","",INDEX('Per Line'!$Z$2:$Z$1501,$V255)&amp;"")</f>
        <v/>
      </c>
      <c r="E255" s="11">
        <f>IF($V255="","",INDEX('Per Line'!$F$2:$F$1501,$V255))</f>
        <v/>
      </c>
      <c r="F255">
        <f>IF($V255="","",INDEX('Per Line'!$I$2:$I$1501,$V255)&amp;"")</f>
        <v/>
      </c>
      <c r="G255">
        <f>IF($V255="","",INDEX('Per Line'!$J$2:$J$1501,$V255)&amp;"")</f>
        <v/>
      </c>
      <c r="H255">
        <f>IF($V255="","",INDEX('Per Line'!$K$2:$K$1501,$V255)&amp;"")</f>
        <v/>
      </c>
      <c r="I255">
        <f>IF($V255="","",INDEX('Per Line'!$M$2:$M$1501,$V255))</f>
        <v/>
      </c>
      <c r="J255" s="7">
        <f>IF($V255="","",I255*T255/100)</f>
        <v/>
      </c>
      <c r="K255" s="7">
        <f>IF($V255="","",SUMIFS('Per Line'!$V$2:$V$1501,'Per Line'!$D$2:$D$1501,$B255,'Per Line'!$AN$2:$AN$1501,1))</f>
        <v/>
      </c>
      <c r="L255">
        <f>IF($V255="","",Settings!$C$7)</f>
        <v/>
      </c>
      <c r="M255" s="7">
        <f>IF($V255="","",SUMIFS('Per Line'!$V$2:$V$1501,'Per Line'!$D$2:$D$1501,$B255,'Per Line'!$AM$2:$AM$1501,0,'Per Line'!$AN$2:$AN$1501,0))</f>
        <v/>
      </c>
      <c r="N255" s="7">
        <f>IF($V255="","",M255*L255)</f>
        <v/>
      </c>
      <c r="O255">
        <f>IF($V255="","",Settings!$C$6)</f>
        <v/>
      </c>
      <c r="P255" s="7">
        <f>IF($V255="","",SUMIFS('Per Line'!$V$2:$V$1501,'Per Line'!$D$2:$D$1501,$B255,'Per Line'!$AM$2:$AM$1501,1,'Per Line'!$AN$2:$AN$1501,0))</f>
        <v/>
      </c>
      <c r="Q255" s="7">
        <f>IF($V255="","",P255*O255)</f>
        <v/>
      </c>
      <c r="R255" s="7">
        <f>IF($V255="","",Q255+N255)</f>
        <v/>
      </c>
      <c r="S255" s="7">
        <f>IF($V255="","",T255-R255)</f>
        <v/>
      </c>
      <c r="T255" s="7">
        <f>IF($V255="","",M255+P255+K255)</f>
        <v/>
      </c>
      <c r="U255" s="7">
        <f>IF($V255="","",T255-R255-J255)</f>
        <v/>
      </c>
      <c r="V255" s="13">
        <f>IF(ROWS($V$2:$V255)&lt;=MAX('Per Line'!$AL$2:$AL$1501),MATCH(ROWS($V$2:$V255),'Per Line'!$AL$2:$AL$1501,0),"")</f>
        <v/>
      </c>
    </row>
    <row r="256">
      <c r="A256" s="12" t="n"/>
      <c r="B256">
        <f>IF($V256="","",INDEX('Per Line'!$D$2:$D$1501,$V256)&amp;"")</f>
        <v/>
      </c>
      <c r="C256">
        <f>IF($V256="","",INDEX('Per Line'!$A$2:$A$1501,$V256))</f>
        <v/>
      </c>
      <c r="D256">
        <f>IF($V256="","",INDEX('Per Line'!$Z$2:$Z$1501,$V256)&amp;"")</f>
        <v/>
      </c>
      <c r="E256" s="11">
        <f>IF($V256="","",INDEX('Per Line'!$F$2:$F$1501,$V256))</f>
        <v/>
      </c>
      <c r="F256">
        <f>IF($V256="","",INDEX('Per Line'!$I$2:$I$1501,$V256)&amp;"")</f>
        <v/>
      </c>
      <c r="G256">
        <f>IF($V256="","",INDEX('Per Line'!$J$2:$J$1501,$V256)&amp;"")</f>
        <v/>
      </c>
      <c r="H256">
        <f>IF($V256="","",INDEX('Per Line'!$K$2:$K$1501,$V256)&amp;"")</f>
        <v/>
      </c>
      <c r="I256">
        <f>IF($V256="","",INDEX('Per Line'!$M$2:$M$1501,$V256))</f>
        <v/>
      </c>
      <c r="J256" s="7">
        <f>IF($V256="","",I256*T256/100)</f>
        <v/>
      </c>
      <c r="K256" s="7">
        <f>IF($V256="","",SUMIFS('Per Line'!$V$2:$V$1501,'Per Line'!$D$2:$D$1501,$B256,'Per Line'!$AN$2:$AN$1501,1))</f>
        <v/>
      </c>
      <c r="L256">
        <f>IF($V256="","",Settings!$C$7)</f>
        <v/>
      </c>
      <c r="M256" s="7">
        <f>IF($V256="","",SUMIFS('Per Line'!$V$2:$V$1501,'Per Line'!$D$2:$D$1501,$B256,'Per Line'!$AM$2:$AM$1501,0,'Per Line'!$AN$2:$AN$1501,0))</f>
        <v/>
      </c>
      <c r="N256" s="7">
        <f>IF($V256="","",M256*L256)</f>
        <v/>
      </c>
      <c r="O256">
        <f>IF($V256="","",Settings!$C$6)</f>
        <v/>
      </c>
      <c r="P256" s="7">
        <f>IF($V256="","",SUMIFS('Per Line'!$V$2:$V$1501,'Per Line'!$D$2:$D$1501,$B256,'Per Line'!$AM$2:$AM$1501,1,'Per Line'!$AN$2:$AN$1501,0))</f>
        <v/>
      </c>
      <c r="Q256" s="7">
        <f>IF($V256="","",P256*O256)</f>
        <v/>
      </c>
      <c r="R256" s="7">
        <f>IF($V256="","",Q256+N256)</f>
        <v/>
      </c>
      <c r="S256" s="7">
        <f>IF($V256="","",T256-R256)</f>
        <v/>
      </c>
      <c r="T256" s="7">
        <f>IF($V256="","",M256+P256+K256)</f>
        <v/>
      </c>
      <c r="U256" s="7">
        <f>IF($V256="","",T256-R256-J256)</f>
        <v/>
      </c>
      <c r="V256" s="13">
        <f>IF(ROWS($V$2:$V256)&lt;=MAX('Per Line'!$AL$2:$AL$1501),MATCH(ROWS($V$2:$V256),'Per Line'!$AL$2:$AL$1501,0),"")</f>
        <v/>
      </c>
    </row>
    <row r="257">
      <c r="A257" s="12" t="n"/>
      <c r="B257">
        <f>IF($V257="","",INDEX('Per Line'!$D$2:$D$1501,$V257)&amp;"")</f>
        <v/>
      </c>
      <c r="C257">
        <f>IF($V257="","",INDEX('Per Line'!$A$2:$A$1501,$V257))</f>
        <v/>
      </c>
      <c r="D257">
        <f>IF($V257="","",INDEX('Per Line'!$Z$2:$Z$1501,$V257)&amp;"")</f>
        <v/>
      </c>
      <c r="E257" s="11">
        <f>IF($V257="","",INDEX('Per Line'!$F$2:$F$1501,$V257))</f>
        <v/>
      </c>
      <c r="F257">
        <f>IF($V257="","",INDEX('Per Line'!$I$2:$I$1501,$V257)&amp;"")</f>
        <v/>
      </c>
      <c r="G257">
        <f>IF($V257="","",INDEX('Per Line'!$J$2:$J$1501,$V257)&amp;"")</f>
        <v/>
      </c>
      <c r="H257">
        <f>IF($V257="","",INDEX('Per Line'!$K$2:$K$1501,$V257)&amp;"")</f>
        <v/>
      </c>
      <c r="I257">
        <f>IF($V257="","",INDEX('Per Line'!$M$2:$M$1501,$V257))</f>
        <v/>
      </c>
      <c r="J257" s="7">
        <f>IF($V257="","",I257*T257/100)</f>
        <v/>
      </c>
      <c r="K257" s="7">
        <f>IF($V257="","",SUMIFS('Per Line'!$V$2:$V$1501,'Per Line'!$D$2:$D$1501,$B257,'Per Line'!$AN$2:$AN$1501,1))</f>
        <v/>
      </c>
      <c r="L257">
        <f>IF($V257="","",Settings!$C$7)</f>
        <v/>
      </c>
      <c r="M257" s="7">
        <f>IF($V257="","",SUMIFS('Per Line'!$V$2:$V$1501,'Per Line'!$D$2:$D$1501,$B257,'Per Line'!$AM$2:$AM$1501,0,'Per Line'!$AN$2:$AN$1501,0))</f>
        <v/>
      </c>
      <c r="N257" s="7">
        <f>IF($V257="","",M257*L257)</f>
        <v/>
      </c>
      <c r="O257">
        <f>IF($V257="","",Settings!$C$6)</f>
        <v/>
      </c>
      <c r="P257" s="7">
        <f>IF($V257="","",SUMIFS('Per Line'!$V$2:$V$1501,'Per Line'!$D$2:$D$1501,$B257,'Per Line'!$AM$2:$AM$1501,1,'Per Line'!$AN$2:$AN$1501,0))</f>
        <v/>
      </c>
      <c r="Q257" s="7">
        <f>IF($V257="","",P257*O257)</f>
        <v/>
      </c>
      <c r="R257" s="7">
        <f>IF($V257="","",Q257+N257)</f>
        <v/>
      </c>
      <c r="S257" s="7">
        <f>IF($V257="","",T257-R257)</f>
        <v/>
      </c>
      <c r="T257" s="7">
        <f>IF($V257="","",M257+P257+K257)</f>
        <v/>
      </c>
      <c r="U257" s="7">
        <f>IF($V257="","",T257-R257-J257)</f>
        <v/>
      </c>
      <c r="V257" s="13">
        <f>IF(ROWS($V$2:$V257)&lt;=MAX('Per Line'!$AL$2:$AL$1501),MATCH(ROWS($V$2:$V257),'Per Line'!$AL$2:$AL$1501,0),"")</f>
        <v/>
      </c>
    </row>
    <row r="258">
      <c r="A258" s="12" t="n"/>
      <c r="B258">
        <f>IF($V258="","",INDEX('Per Line'!$D$2:$D$1501,$V258)&amp;"")</f>
        <v/>
      </c>
      <c r="C258">
        <f>IF($V258="","",INDEX('Per Line'!$A$2:$A$1501,$V258))</f>
        <v/>
      </c>
      <c r="D258">
        <f>IF($V258="","",INDEX('Per Line'!$Z$2:$Z$1501,$V258)&amp;"")</f>
        <v/>
      </c>
      <c r="E258" s="11">
        <f>IF($V258="","",INDEX('Per Line'!$F$2:$F$1501,$V258))</f>
        <v/>
      </c>
      <c r="F258">
        <f>IF($V258="","",INDEX('Per Line'!$I$2:$I$1501,$V258)&amp;"")</f>
        <v/>
      </c>
      <c r="G258">
        <f>IF($V258="","",INDEX('Per Line'!$J$2:$J$1501,$V258)&amp;"")</f>
        <v/>
      </c>
      <c r="H258">
        <f>IF($V258="","",INDEX('Per Line'!$K$2:$K$1501,$V258)&amp;"")</f>
        <v/>
      </c>
      <c r="I258">
        <f>IF($V258="","",INDEX('Per Line'!$M$2:$M$1501,$V258))</f>
        <v/>
      </c>
      <c r="J258" s="7">
        <f>IF($V258="","",I258*T258/100)</f>
        <v/>
      </c>
      <c r="K258" s="7">
        <f>IF($V258="","",SUMIFS('Per Line'!$V$2:$V$1501,'Per Line'!$D$2:$D$1501,$B258,'Per Line'!$AN$2:$AN$1501,1))</f>
        <v/>
      </c>
      <c r="L258">
        <f>IF($V258="","",Settings!$C$7)</f>
        <v/>
      </c>
      <c r="M258" s="7">
        <f>IF($V258="","",SUMIFS('Per Line'!$V$2:$V$1501,'Per Line'!$D$2:$D$1501,$B258,'Per Line'!$AM$2:$AM$1501,0,'Per Line'!$AN$2:$AN$1501,0))</f>
        <v/>
      </c>
      <c r="N258" s="7">
        <f>IF($V258="","",M258*L258)</f>
        <v/>
      </c>
      <c r="O258">
        <f>IF($V258="","",Settings!$C$6)</f>
        <v/>
      </c>
      <c r="P258" s="7">
        <f>IF($V258="","",SUMIFS('Per Line'!$V$2:$V$1501,'Per Line'!$D$2:$D$1501,$B258,'Per Line'!$AM$2:$AM$1501,1,'Per Line'!$AN$2:$AN$1501,0))</f>
        <v/>
      </c>
      <c r="Q258" s="7">
        <f>IF($V258="","",P258*O258)</f>
        <v/>
      </c>
      <c r="R258" s="7">
        <f>IF($V258="","",Q258+N258)</f>
        <v/>
      </c>
      <c r="S258" s="7">
        <f>IF($V258="","",T258-R258)</f>
        <v/>
      </c>
      <c r="T258" s="7">
        <f>IF($V258="","",M258+P258+K258)</f>
        <v/>
      </c>
      <c r="U258" s="7">
        <f>IF($V258="","",T258-R258-J258)</f>
        <v/>
      </c>
      <c r="V258" s="13">
        <f>IF(ROWS($V$2:$V258)&lt;=MAX('Per Line'!$AL$2:$AL$1501),MATCH(ROWS($V$2:$V258),'Per Line'!$AL$2:$AL$1501,0),"")</f>
        <v/>
      </c>
    </row>
    <row r="259">
      <c r="A259" s="12" t="n"/>
      <c r="B259">
        <f>IF($V259="","",INDEX('Per Line'!$D$2:$D$1501,$V259)&amp;"")</f>
        <v/>
      </c>
      <c r="C259">
        <f>IF($V259="","",INDEX('Per Line'!$A$2:$A$1501,$V259))</f>
        <v/>
      </c>
      <c r="D259">
        <f>IF($V259="","",INDEX('Per Line'!$Z$2:$Z$1501,$V259)&amp;"")</f>
        <v/>
      </c>
      <c r="E259" s="11">
        <f>IF($V259="","",INDEX('Per Line'!$F$2:$F$1501,$V259))</f>
        <v/>
      </c>
      <c r="F259">
        <f>IF($V259="","",INDEX('Per Line'!$I$2:$I$1501,$V259)&amp;"")</f>
        <v/>
      </c>
      <c r="G259">
        <f>IF($V259="","",INDEX('Per Line'!$J$2:$J$1501,$V259)&amp;"")</f>
        <v/>
      </c>
      <c r="H259">
        <f>IF($V259="","",INDEX('Per Line'!$K$2:$K$1501,$V259)&amp;"")</f>
        <v/>
      </c>
      <c r="I259">
        <f>IF($V259="","",INDEX('Per Line'!$M$2:$M$1501,$V259))</f>
        <v/>
      </c>
      <c r="J259" s="7">
        <f>IF($V259="","",I259*T259/100)</f>
        <v/>
      </c>
      <c r="K259" s="7">
        <f>IF($V259="","",SUMIFS('Per Line'!$V$2:$V$1501,'Per Line'!$D$2:$D$1501,$B259,'Per Line'!$AN$2:$AN$1501,1))</f>
        <v/>
      </c>
      <c r="L259">
        <f>IF($V259="","",Settings!$C$7)</f>
        <v/>
      </c>
      <c r="M259" s="7">
        <f>IF($V259="","",SUMIFS('Per Line'!$V$2:$V$1501,'Per Line'!$D$2:$D$1501,$B259,'Per Line'!$AM$2:$AM$1501,0,'Per Line'!$AN$2:$AN$1501,0))</f>
        <v/>
      </c>
      <c r="N259" s="7">
        <f>IF($V259="","",M259*L259)</f>
        <v/>
      </c>
      <c r="O259">
        <f>IF($V259="","",Settings!$C$6)</f>
        <v/>
      </c>
      <c r="P259" s="7">
        <f>IF($V259="","",SUMIFS('Per Line'!$V$2:$V$1501,'Per Line'!$D$2:$D$1501,$B259,'Per Line'!$AM$2:$AM$1501,1,'Per Line'!$AN$2:$AN$1501,0))</f>
        <v/>
      </c>
      <c r="Q259" s="7">
        <f>IF($V259="","",P259*O259)</f>
        <v/>
      </c>
      <c r="R259" s="7">
        <f>IF($V259="","",Q259+N259)</f>
        <v/>
      </c>
      <c r="S259" s="7">
        <f>IF($V259="","",T259-R259)</f>
        <v/>
      </c>
      <c r="T259" s="7">
        <f>IF($V259="","",M259+P259+K259)</f>
        <v/>
      </c>
      <c r="U259" s="7">
        <f>IF($V259="","",T259-R259-J259)</f>
        <v/>
      </c>
      <c r="V259" s="13">
        <f>IF(ROWS($V$2:$V259)&lt;=MAX('Per Line'!$AL$2:$AL$1501),MATCH(ROWS($V$2:$V259),'Per Line'!$AL$2:$AL$1501,0),"")</f>
        <v/>
      </c>
    </row>
    <row r="260">
      <c r="A260" s="12" t="n"/>
      <c r="B260">
        <f>IF($V260="","",INDEX('Per Line'!$D$2:$D$1501,$V260)&amp;"")</f>
        <v/>
      </c>
      <c r="C260">
        <f>IF($V260="","",INDEX('Per Line'!$A$2:$A$1501,$V260))</f>
        <v/>
      </c>
      <c r="D260">
        <f>IF($V260="","",INDEX('Per Line'!$Z$2:$Z$1501,$V260)&amp;"")</f>
        <v/>
      </c>
      <c r="E260" s="11">
        <f>IF($V260="","",INDEX('Per Line'!$F$2:$F$1501,$V260))</f>
        <v/>
      </c>
      <c r="F260">
        <f>IF($V260="","",INDEX('Per Line'!$I$2:$I$1501,$V260)&amp;"")</f>
        <v/>
      </c>
      <c r="G260">
        <f>IF($V260="","",INDEX('Per Line'!$J$2:$J$1501,$V260)&amp;"")</f>
        <v/>
      </c>
      <c r="H260">
        <f>IF($V260="","",INDEX('Per Line'!$K$2:$K$1501,$V260)&amp;"")</f>
        <v/>
      </c>
      <c r="I260">
        <f>IF($V260="","",INDEX('Per Line'!$M$2:$M$1501,$V260))</f>
        <v/>
      </c>
      <c r="J260" s="7">
        <f>IF($V260="","",I260*T260/100)</f>
        <v/>
      </c>
      <c r="K260" s="7">
        <f>IF($V260="","",SUMIFS('Per Line'!$V$2:$V$1501,'Per Line'!$D$2:$D$1501,$B260,'Per Line'!$AN$2:$AN$1501,1))</f>
        <v/>
      </c>
      <c r="L260">
        <f>IF($V260="","",Settings!$C$7)</f>
        <v/>
      </c>
      <c r="M260" s="7">
        <f>IF($V260="","",SUMIFS('Per Line'!$V$2:$V$1501,'Per Line'!$D$2:$D$1501,$B260,'Per Line'!$AM$2:$AM$1501,0,'Per Line'!$AN$2:$AN$1501,0))</f>
        <v/>
      </c>
      <c r="N260" s="7">
        <f>IF($V260="","",M260*L260)</f>
        <v/>
      </c>
      <c r="O260">
        <f>IF($V260="","",Settings!$C$6)</f>
        <v/>
      </c>
      <c r="P260" s="7">
        <f>IF($V260="","",SUMIFS('Per Line'!$V$2:$V$1501,'Per Line'!$D$2:$D$1501,$B260,'Per Line'!$AM$2:$AM$1501,1,'Per Line'!$AN$2:$AN$1501,0))</f>
        <v/>
      </c>
      <c r="Q260" s="7">
        <f>IF($V260="","",P260*O260)</f>
        <v/>
      </c>
      <c r="R260" s="7">
        <f>IF($V260="","",Q260+N260)</f>
        <v/>
      </c>
      <c r="S260" s="7">
        <f>IF($V260="","",T260-R260)</f>
        <v/>
      </c>
      <c r="T260" s="7">
        <f>IF($V260="","",M260+P260+K260)</f>
        <v/>
      </c>
      <c r="U260" s="7">
        <f>IF($V260="","",T260-R260-J260)</f>
        <v/>
      </c>
      <c r="V260" s="13">
        <f>IF(ROWS($V$2:$V260)&lt;=MAX('Per Line'!$AL$2:$AL$1501),MATCH(ROWS($V$2:$V260),'Per Line'!$AL$2:$AL$1501,0),"")</f>
        <v/>
      </c>
    </row>
    <row r="261">
      <c r="A261" s="12" t="n"/>
      <c r="B261">
        <f>IF($V261="","",INDEX('Per Line'!$D$2:$D$1501,$V261)&amp;"")</f>
        <v/>
      </c>
      <c r="C261">
        <f>IF($V261="","",INDEX('Per Line'!$A$2:$A$1501,$V261))</f>
        <v/>
      </c>
      <c r="D261">
        <f>IF($V261="","",INDEX('Per Line'!$Z$2:$Z$1501,$V261)&amp;"")</f>
        <v/>
      </c>
      <c r="E261" s="11">
        <f>IF($V261="","",INDEX('Per Line'!$F$2:$F$1501,$V261))</f>
        <v/>
      </c>
      <c r="F261">
        <f>IF($V261="","",INDEX('Per Line'!$I$2:$I$1501,$V261)&amp;"")</f>
        <v/>
      </c>
      <c r="G261">
        <f>IF($V261="","",INDEX('Per Line'!$J$2:$J$1501,$V261)&amp;"")</f>
        <v/>
      </c>
      <c r="H261">
        <f>IF($V261="","",INDEX('Per Line'!$K$2:$K$1501,$V261)&amp;"")</f>
        <v/>
      </c>
      <c r="I261">
        <f>IF($V261="","",INDEX('Per Line'!$M$2:$M$1501,$V261))</f>
        <v/>
      </c>
      <c r="J261" s="7">
        <f>IF($V261="","",I261*T261/100)</f>
        <v/>
      </c>
      <c r="K261" s="7">
        <f>IF($V261="","",SUMIFS('Per Line'!$V$2:$V$1501,'Per Line'!$D$2:$D$1501,$B261,'Per Line'!$AN$2:$AN$1501,1))</f>
        <v/>
      </c>
      <c r="L261">
        <f>IF($V261="","",Settings!$C$7)</f>
        <v/>
      </c>
      <c r="M261" s="7">
        <f>IF($V261="","",SUMIFS('Per Line'!$V$2:$V$1501,'Per Line'!$D$2:$D$1501,$B261,'Per Line'!$AM$2:$AM$1501,0,'Per Line'!$AN$2:$AN$1501,0))</f>
        <v/>
      </c>
      <c r="N261" s="7">
        <f>IF($V261="","",M261*L261)</f>
        <v/>
      </c>
      <c r="O261">
        <f>IF($V261="","",Settings!$C$6)</f>
        <v/>
      </c>
      <c r="P261" s="7">
        <f>IF($V261="","",SUMIFS('Per Line'!$V$2:$V$1501,'Per Line'!$D$2:$D$1501,$B261,'Per Line'!$AM$2:$AM$1501,1,'Per Line'!$AN$2:$AN$1501,0))</f>
        <v/>
      </c>
      <c r="Q261" s="7">
        <f>IF($V261="","",P261*O261)</f>
        <v/>
      </c>
      <c r="R261" s="7">
        <f>IF($V261="","",Q261+N261)</f>
        <v/>
      </c>
      <c r="S261" s="7">
        <f>IF($V261="","",T261-R261)</f>
        <v/>
      </c>
      <c r="T261" s="7">
        <f>IF($V261="","",M261+P261+K261)</f>
        <v/>
      </c>
      <c r="U261" s="7">
        <f>IF($V261="","",T261-R261-J261)</f>
        <v/>
      </c>
      <c r="V261" s="13">
        <f>IF(ROWS($V$2:$V261)&lt;=MAX('Per Line'!$AL$2:$AL$1501),MATCH(ROWS($V$2:$V261),'Per Line'!$AL$2:$AL$1501,0),"")</f>
        <v/>
      </c>
    </row>
    <row r="262">
      <c r="A262" s="12" t="n"/>
      <c r="B262">
        <f>IF($V262="","",INDEX('Per Line'!$D$2:$D$1501,$V262)&amp;"")</f>
        <v/>
      </c>
      <c r="C262">
        <f>IF($V262="","",INDEX('Per Line'!$A$2:$A$1501,$V262))</f>
        <v/>
      </c>
      <c r="D262">
        <f>IF($V262="","",INDEX('Per Line'!$Z$2:$Z$1501,$V262)&amp;"")</f>
        <v/>
      </c>
      <c r="E262" s="11">
        <f>IF($V262="","",INDEX('Per Line'!$F$2:$F$1501,$V262))</f>
        <v/>
      </c>
      <c r="F262">
        <f>IF($V262="","",INDEX('Per Line'!$I$2:$I$1501,$V262)&amp;"")</f>
        <v/>
      </c>
      <c r="G262">
        <f>IF($V262="","",INDEX('Per Line'!$J$2:$J$1501,$V262)&amp;"")</f>
        <v/>
      </c>
      <c r="H262">
        <f>IF($V262="","",INDEX('Per Line'!$K$2:$K$1501,$V262)&amp;"")</f>
        <v/>
      </c>
      <c r="I262">
        <f>IF($V262="","",INDEX('Per Line'!$M$2:$M$1501,$V262))</f>
        <v/>
      </c>
      <c r="J262" s="7">
        <f>IF($V262="","",I262*T262/100)</f>
        <v/>
      </c>
      <c r="K262" s="7">
        <f>IF($V262="","",SUMIFS('Per Line'!$V$2:$V$1501,'Per Line'!$D$2:$D$1501,$B262,'Per Line'!$AN$2:$AN$1501,1))</f>
        <v/>
      </c>
      <c r="L262">
        <f>IF($V262="","",Settings!$C$7)</f>
        <v/>
      </c>
      <c r="M262" s="7">
        <f>IF($V262="","",SUMIFS('Per Line'!$V$2:$V$1501,'Per Line'!$D$2:$D$1501,$B262,'Per Line'!$AM$2:$AM$1501,0,'Per Line'!$AN$2:$AN$1501,0))</f>
        <v/>
      </c>
      <c r="N262" s="7">
        <f>IF($V262="","",M262*L262)</f>
        <v/>
      </c>
      <c r="O262">
        <f>IF($V262="","",Settings!$C$6)</f>
        <v/>
      </c>
      <c r="P262" s="7">
        <f>IF($V262="","",SUMIFS('Per Line'!$V$2:$V$1501,'Per Line'!$D$2:$D$1501,$B262,'Per Line'!$AM$2:$AM$1501,1,'Per Line'!$AN$2:$AN$1501,0))</f>
        <v/>
      </c>
      <c r="Q262" s="7">
        <f>IF($V262="","",P262*O262)</f>
        <v/>
      </c>
      <c r="R262" s="7">
        <f>IF($V262="","",Q262+N262)</f>
        <v/>
      </c>
      <c r="S262" s="7">
        <f>IF($V262="","",T262-R262)</f>
        <v/>
      </c>
      <c r="T262" s="7">
        <f>IF($V262="","",M262+P262+K262)</f>
        <v/>
      </c>
      <c r="U262" s="7">
        <f>IF($V262="","",T262-R262-J262)</f>
        <v/>
      </c>
      <c r="V262" s="13">
        <f>IF(ROWS($V$2:$V262)&lt;=MAX('Per Line'!$AL$2:$AL$1501),MATCH(ROWS($V$2:$V262),'Per Line'!$AL$2:$AL$1501,0),"")</f>
        <v/>
      </c>
    </row>
    <row r="263">
      <c r="A263" s="12" t="n"/>
      <c r="B263">
        <f>IF($V263="","",INDEX('Per Line'!$D$2:$D$1501,$V263)&amp;"")</f>
        <v/>
      </c>
      <c r="C263">
        <f>IF($V263="","",INDEX('Per Line'!$A$2:$A$1501,$V263))</f>
        <v/>
      </c>
      <c r="D263">
        <f>IF($V263="","",INDEX('Per Line'!$Z$2:$Z$1501,$V263)&amp;"")</f>
        <v/>
      </c>
      <c r="E263" s="11">
        <f>IF($V263="","",INDEX('Per Line'!$F$2:$F$1501,$V263))</f>
        <v/>
      </c>
      <c r="F263">
        <f>IF($V263="","",INDEX('Per Line'!$I$2:$I$1501,$V263)&amp;"")</f>
        <v/>
      </c>
      <c r="G263">
        <f>IF($V263="","",INDEX('Per Line'!$J$2:$J$1501,$V263)&amp;"")</f>
        <v/>
      </c>
      <c r="H263">
        <f>IF($V263="","",INDEX('Per Line'!$K$2:$K$1501,$V263)&amp;"")</f>
        <v/>
      </c>
      <c r="I263">
        <f>IF($V263="","",INDEX('Per Line'!$M$2:$M$1501,$V263))</f>
        <v/>
      </c>
      <c r="J263" s="7">
        <f>IF($V263="","",I263*T263/100)</f>
        <v/>
      </c>
      <c r="K263" s="7">
        <f>IF($V263="","",SUMIFS('Per Line'!$V$2:$V$1501,'Per Line'!$D$2:$D$1501,$B263,'Per Line'!$AN$2:$AN$1501,1))</f>
        <v/>
      </c>
      <c r="L263">
        <f>IF($V263="","",Settings!$C$7)</f>
        <v/>
      </c>
      <c r="M263" s="7">
        <f>IF($V263="","",SUMIFS('Per Line'!$V$2:$V$1501,'Per Line'!$D$2:$D$1501,$B263,'Per Line'!$AM$2:$AM$1501,0,'Per Line'!$AN$2:$AN$1501,0))</f>
        <v/>
      </c>
      <c r="N263" s="7">
        <f>IF($V263="","",M263*L263)</f>
        <v/>
      </c>
      <c r="O263">
        <f>IF($V263="","",Settings!$C$6)</f>
        <v/>
      </c>
      <c r="P263" s="7">
        <f>IF($V263="","",SUMIFS('Per Line'!$V$2:$V$1501,'Per Line'!$D$2:$D$1501,$B263,'Per Line'!$AM$2:$AM$1501,1,'Per Line'!$AN$2:$AN$1501,0))</f>
        <v/>
      </c>
      <c r="Q263" s="7">
        <f>IF($V263="","",P263*O263)</f>
        <v/>
      </c>
      <c r="R263" s="7">
        <f>IF($V263="","",Q263+N263)</f>
        <v/>
      </c>
      <c r="S263" s="7">
        <f>IF($V263="","",T263-R263)</f>
        <v/>
      </c>
      <c r="T263" s="7">
        <f>IF($V263="","",M263+P263+K263)</f>
        <v/>
      </c>
      <c r="U263" s="7">
        <f>IF($V263="","",T263-R263-J263)</f>
        <v/>
      </c>
      <c r="V263" s="13">
        <f>IF(ROWS($V$2:$V263)&lt;=MAX('Per Line'!$AL$2:$AL$1501),MATCH(ROWS($V$2:$V263),'Per Line'!$AL$2:$AL$1501,0),"")</f>
        <v/>
      </c>
    </row>
    <row r="264">
      <c r="A264" s="12" t="n"/>
      <c r="B264">
        <f>IF($V264="","",INDEX('Per Line'!$D$2:$D$1501,$V264)&amp;"")</f>
        <v/>
      </c>
      <c r="C264">
        <f>IF($V264="","",INDEX('Per Line'!$A$2:$A$1501,$V264))</f>
        <v/>
      </c>
      <c r="D264">
        <f>IF($V264="","",INDEX('Per Line'!$Z$2:$Z$1501,$V264)&amp;"")</f>
        <v/>
      </c>
      <c r="E264" s="11">
        <f>IF($V264="","",INDEX('Per Line'!$F$2:$F$1501,$V264))</f>
        <v/>
      </c>
      <c r="F264">
        <f>IF($V264="","",INDEX('Per Line'!$I$2:$I$1501,$V264)&amp;"")</f>
        <v/>
      </c>
      <c r="G264">
        <f>IF($V264="","",INDEX('Per Line'!$J$2:$J$1501,$V264)&amp;"")</f>
        <v/>
      </c>
      <c r="H264">
        <f>IF($V264="","",INDEX('Per Line'!$K$2:$K$1501,$V264)&amp;"")</f>
        <v/>
      </c>
      <c r="I264">
        <f>IF($V264="","",INDEX('Per Line'!$M$2:$M$1501,$V264))</f>
        <v/>
      </c>
      <c r="J264" s="7">
        <f>IF($V264="","",I264*T264/100)</f>
        <v/>
      </c>
      <c r="K264" s="7">
        <f>IF($V264="","",SUMIFS('Per Line'!$V$2:$V$1501,'Per Line'!$D$2:$D$1501,$B264,'Per Line'!$AN$2:$AN$1501,1))</f>
        <v/>
      </c>
      <c r="L264">
        <f>IF($V264="","",Settings!$C$7)</f>
        <v/>
      </c>
      <c r="M264" s="7">
        <f>IF($V264="","",SUMIFS('Per Line'!$V$2:$V$1501,'Per Line'!$D$2:$D$1501,$B264,'Per Line'!$AM$2:$AM$1501,0,'Per Line'!$AN$2:$AN$1501,0))</f>
        <v/>
      </c>
      <c r="N264" s="7">
        <f>IF($V264="","",M264*L264)</f>
        <v/>
      </c>
      <c r="O264">
        <f>IF($V264="","",Settings!$C$6)</f>
        <v/>
      </c>
      <c r="P264" s="7">
        <f>IF($V264="","",SUMIFS('Per Line'!$V$2:$V$1501,'Per Line'!$D$2:$D$1501,$B264,'Per Line'!$AM$2:$AM$1501,1,'Per Line'!$AN$2:$AN$1501,0))</f>
        <v/>
      </c>
      <c r="Q264" s="7">
        <f>IF($V264="","",P264*O264)</f>
        <v/>
      </c>
      <c r="R264" s="7">
        <f>IF($V264="","",Q264+N264)</f>
        <v/>
      </c>
      <c r="S264" s="7">
        <f>IF($V264="","",T264-R264)</f>
        <v/>
      </c>
      <c r="T264" s="7">
        <f>IF($V264="","",M264+P264+K264)</f>
        <v/>
      </c>
      <c r="U264" s="7">
        <f>IF($V264="","",T264-R264-J264)</f>
        <v/>
      </c>
      <c r="V264" s="13">
        <f>IF(ROWS($V$2:$V264)&lt;=MAX('Per Line'!$AL$2:$AL$1501),MATCH(ROWS($V$2:$V264),'Per Line'!$AL$2:$AL$1501,0),"")</f>
        <v/>
      </c>
    </row>
    <row r="265">
      <c r="A265" s="12" t="n"/>
      <c r="B265">
        <f>IF($V265="","",INDEX('Per Line'!$D$2:$D$1501,$V265)&amp;"")</f>
        <v/>
      </c>
      <c r="C265">
        <f>IF($V265="","",INDEX('Per Line'!$A$2:$A$1501,$V265))</f>
        <v/>
      </c>
      <c r="D265">
        <f>IF($V265="","",INDEX('Per Line'!$Z$2:$Z$1501,$V265)&amp;"")</f>
        <v/>
      </c>
      <c r="E265" s="11">
        <f>IF($V265="","",INDEX('Per Line'!$F$2:$F$1501,$V265))</f>
        <v/>
      </c>
      <c r="F265">
        <f>IF($V265="","",INDEX('Per Line'!$I$2:$I$1501,$V265)&amp;"")</f>
        <v/>
      </c>
      <c r="G265">
        <f>IF($V265="","",INDEX('Per Line'!$J$2:$J$1501,$V265)&amp;"")</f>
        <v/>
      </c>
      <c r="H265">
        <f>IF($V265="","",INDEX('Per Line'!$K$2:$K$1501,$V265)&amp;"")</f>
        <v/>
      </c>
      <c r="I265">
        <f>IF($V265="","",INDEX('Per Line'!$M$2:$M$1501,$V265))</f>
        <v/>
      </c>
      <c r="J265" s="7">
        <f>IF($V265="","",I265*T265/100)</f>
        <v/>
      </c>
      <c r="K265" s="7">
        <f>IF($V265="","",SUMIFS('Per Line'!$V$2:$V$1501,'Per Line'!$D$2:$D$1501,$B265,'Per Line'!$AN$2:$AN$1501,1))</f>
        <v/>
      </c>
      <c r="L265">
        <f>IF($V265="","",Settings!$C$7)</f>
        <v/>
      </c>
      <c r="M265" s="7">
        <f>IF($V265="","",SUMIFS('Per Line'!$V$2:$V$1501,'Per Line'!$D$2:$D$1501,$B265,'Per Line'!$AM$2:$AM$1501,0,'Per Line'!$AN$2:$AN$1501,0))</f>
        <v/>
      </c>
      <c r="N265" s="7">
        <f>IF($V265="","",M265*L265)</f>
        <v/>
      </c>
      <c r="O265">
        <f>IF($V265="","",Settings!$C$6)</f>
        <v/>
      </c>
      <c r="P265" s="7">
        <f>IF($V265="","",SUMIFS('Per Line'!$V$2:$V$1501,'Per Line'!$D$2:$D$1501,$B265,'Per Line'!$AM$2:$AM$1501,1,'Per Line'!$AN$2:$AN$1501,0))</f>
        <v/>
      </c>
      <c r="Q265" s="7">
        <f>IF($V265="","",P265*O265)</f>
        <v/>
      </c>
      <c r="R265" s="7">
        <f>IF($V265="","",Q265+N265)</f>
        <v/>
      </c>
      <c r="S265" s="7">
        <f>IF($V265="","",T265-R265)</f>
        <v/>
      </c>
      <c r="T265" s="7">
        <f>IF($V265="","",M265+P265+K265)</f>
        <v/>
      </c>
      <c r="U265" s="7">
        <f>IF($V265="","",T265-R265-J265)</f>
        <v/>
      </c>
      <c r="V265" s="13">
        <f>IF(ROWS($V$2:$V265)&lt;=MAX('Per Line'!$AL$2:$AL$1501),MATCH(ROWS($V$2:$V265),'Per Line'!$AL$2:$AL$1501,0),"")</f>
        <v/>
      </c>
    </row>
    <row r="266">
      <c r="A266" s="12" t="n"/>
      <c r="B266">
        <f>IF($V266="","",INDEX('Per Line'!$D$2:$D$1501,$V266)&amp;"")</f>
        <v/>
      </c>
      <c r="C266">
        <f>IF($V266="","",INDEX('Per Line'!$A$2:$A$1501,$V266))</f>
        <v/>
      </c>
      <c r="D266">
        <f>IF($V266="","",INDEX('Per Line'!$Z$2:$Z$1501,$V266)&amp;"")</f>
        <v/>
      </c>
      <c r="E266" s="11">
        <f>IF($V266="","",INDEX('Per Line'!$F$2:$F$1501,$V266))</f>
        <v/>
      </c>
      <c r="F266">
        <f>IF($V266="","",INDEX('Per Line'!$I$2:$I$1501,$V266)&amp;"")</f>
        <v/>
      </c>
      <c r="G266">
        <f>IF($V266="","",INDEX('Per Line'!$J$2:$J$1501,$V266)&amp;"")</f>
        <v/>
      </c>
      <c r="H266">
        <f>IF($V266="","",INDEX('Per Line'!$K$2:$K$1501,$V266)&amp;"")</f>
        <v/>
      </c>
      <c r="I266">
        <f>IF($V266="","",INDEX('Per Line'!$M$2:$M$1501,$V266))</f>
        <v/>
      </c>
      <c r="J266" s="7">
        <f>IF($V266="","",I266*T266/100)</f>
        <v/>
      </c>
      <c r="K266" s="7">
        <f>IF($V266="","",SUMIFS('Per Line'!$V$2:$V$1501,'Per Line'!$D$2:$D$1501,$B266,'Per Line'!$AN$2:$AN$1501,1))</f>
        <v/>
      </c>
      <c r="L266">
        <f>IF($V266="","",Settings!$C$7)</f>
        <v/>
      </c>
      <c r="M266" s="7">
        <f>IF($V266="","",SUMIFS('Per Line'!$V$2:$V$1501,'Per Line'!$D$2:$D$1501,$B266,'Per Line'!$AM$2:$AM$1501,0,'Per Line'!$AN$2:$AN$1501,0))</f>
        <v/>
      </c>
      <c r="N266" s="7">
        <f>IF($V266="","",M266*L266)</f>
        <v/>
      </c>
      <c r="O266">
        <f>IF($V266="","",Settings!$C$6)</f>
        <v/>
      </c>
      <c r="P266" s="7">
        <f>IF($V266="","",SUMIFS('Per Line'!$V$2:$V$1501,'Per Line'!$D$2:$D$1501,$B266,'Per Line'!$AM$2:$AM$1501,1,'Per Line'!$AN$2:$AN$1501,0))</f>
        <v/>
      </c>
      <c r="Q266" s="7">
        <f>IF($V266="","",P266*O266)</f>
        <v/>
      </c>
      <c r="R266" s="7">
        <f>IF($V266="","",Q266+N266)</f>
        <v/>
      </c>
      <c r="S266" s="7">
        <f>IF($V266="","",T266-R266)</f>
        <v/>
      </c>
      <c r="T266" s="7">
        <f>IF($V266="","",M266+P266+K266)</f>
        <v/>
      </c>
      <c r="U266" s="7">
        <f>IF($V266="","",T266-R266-J266)</f>
        <v/>
      </c>
      <c r="V266" s="13">
        <f>IF(ROWS($V$2:$V266)&lt;=MAX('Per Line'!$AL$2:$AL$1501),MATCH(ROWS($V$2:$V266),'Per Line'!$AL$2:$AL$1501,0),"")</f>
        <v/>
      </c>
    </row>
    <row r="267">
      <c r="A267" s="12" t="n"/>
      <c r="B267">
        <f>IF($V267="","",INDEX('Per Line'!$D$2:$D$1501,$V267)&amp;"")</f>
        <v/>
      </c>
      <c r="C267">
        <f>IF($V267="","",INDEX('Per Line'!$A$2:$A$1501,$V267))</f>
        <v/>
      </c>
      <c r="D267">
        <f>IF($V267="","",INDEX('Per Line'!$Z$2:$Z$1501,$V267)&amp;"")</f>
        <v/>
      </c>
      <c r="E267" s="11">
        <f>IF($V267="","",INDEX('Per Line'!$F$2:$F$1501,$V267))</f>
        <v/>
      </c>
      <c r="F267">
        <f>IF($V267="","",INDEX('Per Line'!$I$2:$I$1501,$V267)&amp;"")</f>
        <v/>
      </c>
      <c r="G267">
        <f>IF($V267="","",INDEX('Per Line'!$J$2:$J$1501,$V267)&amp;"")</f>
        <v/>
      </c>
      <c r="H267">
        <f>IF($V267="","",INDEX('Per Line'!$K$2:$K$1501,$V267)&amp;"")</f>
        <v/>
      </c>
      <c r="I267">
        <f>IF($V267="","",INDEX('Per Line'!$M$2:$M$1501,$V267))</f>
        <v/>
      </c>
      <c r="J267" s="7">
        <f>IF($V267="","",I267*T267/100)</f>
        <v/>
      </c>
      <c r="K267" s="7">
        <f>IF($V267="","",SUMIFS('Per Line'!$V$2:$V$1501,'Per Line'!$D$2:$D$1501,$B267,'Per Line'!$AN$2:$AN$1501,1))</f>
        <v/>
      </c>
      <c r="L267">
        <f>IF($V267="","",Settings!$C$7)</f>
        <v/>
      </c>
      <c r="M267" s="7">
        <f>IF($V267="","",SUMIFS('Per Line'!$V$2:$V$1501,'Per Line'!$D$2:$D$1501,$B267,'Per Line'!$AM$2:$AM$1501,0,'Per Line'!$AN$2:$AN$1501,0))</f>
        <v/>
      </c>
      <c r="N267" s="7">
        <f>IF($V267="","",M267*L267)</f>
        <v/>
      </c>
      <c r="O267">
        <f>IF($V267="","",Settings!$C$6)</f>
        <v/>
      </c>
      <c r="P267" s="7">
        <f>IF($V267="","",SUMIFS('Per Line'!$V$2:$V$1501,'Per Line'!$D$2:$D$1501,$B267,'Per Line'!$AM$2:$AM$1501,1,'Per Line'!$AN$2:$AN$1501,0))</f>
        <v/>
      </c>
      <c r="Q267" s="7">
        <f>IF($V267="","",P267*O267)</f>
        <v/>
      </c>
      <c r="R267" s="7">
        <f>IF($V267="","",Q267+N267)</f>
        <v/>
      </c>
      <c r="S267" s="7">
        <f>IF($V267="","",T267-R267)</f>
        <v/>
      </c>
      <c r="T267" s="7">
        <f>IF($V267="","",M267+P267+K267)</f>
        <v/>
      </c>
      <c r="U267" s="7">
        <f>IF($V267="","",T267-R267-J267)</f>
        <v/>
      </c>
      <c r="V267" s="13">
        <f>IF(ROWS($V$2:$V267)&lt;=MAX('Per Line'!$AL$2:$AL$1501),MATCH(ROWS($V$2:$V267),'Per Line'!$AL$2:$AL$1501,0),"")</f>
        <v/>
      </c>
    </row>
    <row r="268">
      <c r="A268" s="12" t="n"/>
      <c r="B268">
        <f>IF($V268="","",INDEX('Per Line'!$D$2:$D$1501,$V268)&amp;"")</f>
        <v/>
      </c>
      <c r="C268">
        <f>IF($V268="","",INDEX('Per Line'!$A$2:$A$1501,$V268))</f>
        <v/>
      </c>
      <c r="D268">
        <f>IF($V268="","",INDEX('Per Line'!$Z$2:$Z$1501,$V268)&amp;"")</f>
        <v/>
      </c>
      <c r="E268" s="11">
        <f>IF($V268="","",INDEX('Per Line'!$F$2:$F$1501,$V268))</f>
        <v/>
      </c>
      <c r="F268">
        <f>IF($V268="","",INDEX('Per Line'!$I$2:$I$1501,$V268)&amp;"")</f>
        <v/>
      </c>
      <c r="G268">
        <f>IF($V268="","",INDEX('Per Line'!$J$2:$J$1501,$V268)&amp;"")</f>
        <v/>
      </c>
      <c r="H268">
        <f>IF($V268="","",INDEX('Per Line'!$K$2:$K$1501,$V268)&amp;"")</f>
        <v/>
      </c>
      <c r="I268">
        <f>IF($V268="","",INDEX('Per Line'!$M$2:$M$1501,$V268))</f>
        <v/>
      </c>
      <c r="J268" s="7">
        <f>IF($V268="","",I268*T268/100)</f>
        <v/>
      </c>
      <c r="K268" s="7">
        <f>IF($V268="","",SUMIFS('Per Line'!$V$2:$V$1501,'Per Line'!$D$2:$D$1501,$B268,'Per Line'!$AN$2:$AN$1501,1))</f>
        <v/>
      </c>
      <c r="L268">
        <f>IF($V268="","",Settings!$C$7)</f>
        <v/>
      </c>
      <c r="M268" s="7">
        <f>IF($V268="","",SUMIFS('Per Line'!$V$2:$V$1501,'Per Line'!$D$2:$D$1501,$B268,'Per Line'!$AM$2:$AM$1501,0,'Per Line'!$AN$2:$AN$1501,0))</f>
        <v/>
      </c>
      <c r="N268" s="7">
        <f>IF($V268="","",M268*L268)</f>
        <v/>
      </c>
      <c r="O268">
        <f>IF($V268="","",Settings!$C$6)</f>
        <v/>
      </c>
      <c r="P268" s="7">
        <f>IF($V268="","",SUMIFS('Per Line'!$V$2:$V$1501,'Per Line'!$D$2:$D$1501,$B268,'Per Line'!$AM$2:$AM$1501,1,'Per Line'!$AN$2:$AN$1501,0))</f>
        <v/>
      </c>
      <c r="Q268" s="7">
        <f>IF($V268="","",P268*O268)</f>
        <v/>
      </c>
      <c r="R268" s="7">
        <f>IF($V268="","",Q268+N268)</f>
        <v/>
      </c>
      <c r="S268" s="7">
        <f>IF($V268="","",T268-R268)</f>
        <v/>
      </c>
      <c r="T268" s="7">
        <f>IF($V268="","",M268+P268+K268)</f>
        <v/>
      </c>
      <c r="U268" s="7">
        <f>IF($V268="","",T268-R268-J268)</f>
        <v/>
      </c>
      <c r="V268" s="13">
        <f>IF(ROWS($V$2:$V268)&lt;=MAX('Per Line'!$AL$2:$AL$1501),MATCH(ROWS($V$2:$V268),'Per Line'!$AL$2:$AL$1501,0),"")</f>
        <v/>
      </c>
    </row>
    <row r="269">
      <c r="A269" s="12" t="n"/>
      <c r="B269">
        <f>IF($V269="","",INDEX('Per Line'!$D$2:$D$1501,$V269)&amp;"")</f>
        <v/>
      </c>
      <c r="C269">
        <f>IF($V269="","",INDEX('Per Line'!$A$2:$A$1501,$V269))</f>
        <v/>
      </c>
      <c r="D269">
        <f>IF($V269="","",INDEX('Per Line'!$Z$2:$Z$1501,$V269)&amp;"")</f>
        <v/>
      </c>
      <c r="E269" s="11">
        <f>IF($V269="","",INDEX('Per Line'!$F$2:$F$1501,$V269))</f>
        <v/>
      </c>
      <c r="F269">
        <f>IF($V269="","",INDEX('Per Line'!$I$2:$I$1501,$V269)&amp;"")</f>
        <v/>
      </c>
      <c r="G269">
        <f>IF($V269="","",INDEX('Per Line'!$J$2:$J$1501,$V269)&amp;"")</f>
        <v/>
      </c>
      <c r="H269">
        <f>IF($V269="","",INDEX('Per Line'!$K$2:$K$1501,$V269)&amp;"")</f>
        <v/>
      </c>
      <c r="I269">
        <f>IF($V269="","",INDEX('Per Line'!$M$2:$M$1501,$V269))</f>
        <v/>
      </c>
      <c r="J269" s="7">
        <f>IF($V269="","",I269*T269/100)</f>
        <v/>
      </c>
      <c r="K269" s="7">
        <f>IF($V269="","",SUMIFS('Per Line'!$V$2:$V$1501,'Per Line'!$D$2:$D$1501,$B269,'Per Line'!$AN$2:$AN$1501,1))</f>
        <v/>
      </c>
      <c r="L269">
        <f>IF($V269="","",Settings!$C$7)</f>
        <v/>
      </c>
      <c r="M269" s="7">
        <f>IF($V269="","",SUMIFS('Per Line'!$V$2:$V$1501,'Per Line'!$D$2:$D$1501,$B269,'Per Line'!$AM$2:$AM$1501,0,'Per Line'!$AN$2:$AN$1501,0))</f>
        <v/>
      </c>
      <c r="N269" s="7">
        <f>IF($V269="","",M269*L269)</f>
        <v/>
      </c>
      <c r="O269">
        <f>IF($V269="","",Settings!$C$6)</f>
        <v/>
      </c>
      <c r="P269" s="7">
        <f>IF($V269="","",SUMIFS('Per Line'!$V$2:$V$1501,'Per Line'!$D$2:$D$1501,$B269,'Per Line'!$AM$2:$AM$1501,1,'Per Line'!$AN$2:$AN$1501,0))</f>
        <v/>
      </c>
      <c r="Q269" s="7">
        <f>IF($V269="","",P269*O269)</f>
        <v/>
      </c>
      <c r="R269" s="7">
        <f>IF($V269="","",Q269+N269)</f>
        <v/>
      </c>
      <c r="S269" s="7">
        <f>IF($V269="","",T269-R269)</f>
        <v/>
      </c>
      <c r="T269" s="7">
        <f>IF($V269="","",M269+P269+K269)</f>
        <v/>
      </c>
      <c r="U269" s="7">
        <f>IF($V269="","",T269-R269-J269)</f>
        <v/>
      </c>
      <c r="V269" s="13">
        <f>IF(ROWS($V$2:$V269)&lt;=MAX('Per Line'!$AL$2:$AL$1501),MATCH(ROWS($V$2:$V269),'Per Line'!$AL$2:$AL$1501,0),"")</f>
        <v/>
      </c>
    </row>
    <row r="270">
      <c r="A270" s="12" t="n"/>
      <c r="B270">
        <f>IF($V270="","",INDEX('Per Line'!$D$2:$D$1501,$V270)&amp;"")</f>
        <v/>
      </c>
      <c r="C270">
        <f>IF($V270="","",INDEX('Per Line'!$A$2:$A$1501,$V270))</f>
        <v/>
      </c>
      <c r="D270">
        <f>IF($V270="","",INDEX('Per Line'!$Z$2:$Z$1501,$V270)&amp;"")</f>
        <v/>
      </c>
      <c r="E270" s="11">
        <f>IF($V270="","",INDEX('Per Line'!$F$2:$F$1501,$V270))</f>
        <v/>
      </c>
      <c r="F270">
        <f>IF($V270="","",INDEX('Per Line'!$I$2:$I$1501,$V270)&amp;"")</f>
        <v/>
      </c>
      <c r="G270">
        <f>IF($V270="","",INDEX('Per Line'!$J$2:$J$1501,$V270)&amp;"")</f>
        <v/>
      </c>
      <c r="H270">
        <f>IF($V270="","",INDEX('Per Line'!$K$2:$K$1501,$V270)&amp;"")</f>
        <v/>
      </c>
      <c r="I270">
        <f>IF($V270="","",INDEX('Per Line'!$M$2:$M$1501,$V270))</f>
        <v/>
      </c>
      <c r="J270" s="7">
        <f>IF($V270="","",I270*T270/100)</f>
        <v/>
      </c>
      <c r="K270" s="7">
        <f>IF($V270="","",SUMIFS('Per Line'!$V$2:$V$1501,'Per Line'!$D$2:$D$1501,$B270,'Per Line'!$AN$2:$AN$1501,1))</f>
        <v/>
      </c>
      <c r="L270">
        <f>IF($V270="","",Settings!$C$7)</f>
        <v/>
      </c>
      <c r="M270" s="7">
        <f>IF($V270="","",SUMIFS('Per Line'!$V$2:$V$1501,'Per Line'!$D$2:$D$1501,$B270,'Per Line'!$AM$2:$AM$1501,0,'Per Line'!$AN$2:$AN$1501,0))</f>
        <v/>
      </c>
      <c r="N270" s="7">
        <f>IF($V270="","",M270*L270)</f>
        <v/>
      </c>
      <c r="O270">
        <f>IF($V270="","",Settings!$C$6)</f>
        <v/>
      </c>
      <c r="P270" s="7">
        <f>IF($V270="","",SUMIFS('Per Line'!$V$2:$V$1501,'Per Line'!$D$2:$D$1501,$B270,'Per Line'!$AM$2:$AM$1501,1,'Per Line'!$AN$2:$AN$1501,0))</f>
        <v/>
      </c>
      <c r="Q270" s="7">
        <f>IF($V270="","",P270*O270)</f>
        <v/>
      </c>
      <c r="R270" s="7">
        <f>IF($V270="","",Q270+N270)</f>
        <v/>
      </c>
      <c r="S270" s="7">
        <f>IF($V270="","",T270-R270)</f>
        <v/>
      </c>
      <c r="T270" s="7">
        <f>IF($V270="","",M270+P270+K270)</f>
        <v/>
      </c>
      <c r="U270" s="7">
        <f>IF($V270="","",T270-R270-J270)</f>
        <v/>
      </c>
      <c r="V270" s="13">
        <f>IF(ROWS($V$2:$V270)&lt;=MAX('Per Line'!$AL$2:$AL$1501),MATCH(ROWS($V$2:$V270),'Per Line'!$AL$2:$AL$1501,0),"")</f>
        <v/>
      </c>
    </row>
    <row r="271">
      <c r="A271" s="12" t="n"/>
      <c r="B271">
        <f>IF($V271="","",INDEX('Per Line'!$D$2:$D$1501,$V271)&amp;"")</f>
        <v/>
      </c>
      <c r="C271">
        <f>IF($V271="","",INDEX('Per Line'!$A$2:$A$1501,$V271))</f>
        <v/>
      </c>
      <c r="D271">
        <f>IF($V271="","",INDEX('Per Line'!$Z$2:$Z$1501,$V271)&amp;"")</f>
        <v/>
      </c>
      <c r="E271" s="11">
        <f>IF($V271="","",INDEX('Per Line'!$F$2:$F$1501,$V271))</f>
        <v/>
      </c>
      <c r="F271">
        <f>IF($V271="","",INDEX('Per Line'!$I$2:$I$1501,$V271)&amp;"")</f>
        <v/>
      </c>
      <c r="G271">
        <f>IF($V271="","",INDEX('Per Line'!$J$2:$J$1501,$V271)&amp;"")</f>
        <v/>
      </c>
      <c r="H271">
        <f>IF($V271="","",INDEX('Per Line'!$K$2:$K$1501,$V271)&amp;"")</f>
        <v/>
      </c>
      <c r="I271">
        <f>IF($V271="","",INDEX('Per Line'!$M$2:$M$1501,$V271))</f>
        <v/>
      </c>
      <c r="J271" s="7">
        <f>IF($V271="","",I271*T271/100)</f>
        <v/>
      </c>
      <c r="K271" s="7">
        <f>IF($V271="","",SUMIFS('Per Line'!$V$2:$V$1501,'Per Line'!$D$2:$D$1501,$B271,'Per Line'!$AN$2:$AN$1501,1))</f>
        <v/>
      </c>
      <c r="L271">
        <f>IF($V271="","",Settings!$C$7)</f>
        <v/>
      </c>
      <c r="M271" s="7">
        <f>IF($V271="","",SUMIFS('Per Line'!$V$2:$V$1501,'Per Line'!$D$2:$D$1501,$B271,'Per Line'!$AM$2:$AM$1501,0,'Per Line'!$AN$2:$AN$1501,0))</f>
        <v/>
      </c>
      <c r="N271" s="7">
        <f>IF($V271="","",M271*L271)</f>
        <v/>
      </c>
      <c r="O271">
        <f>IF($V271="","",Settings!$C$6)</f>
        <v/>
      </c>
      <c r="P271" s="7">
        <f>IF($V271="","",SUMIFS('Per Line'!$V$2:$V$1501,'Per Line'!$D$2:$D$1501,$B271,'Per Line'!$AM$2:$AM$1501,1,'Per Line'!$AN$2:$AN$1501,0))</f>
        <v/>
      </c>
      <c r="Q271" s="7">
        <f>IF($V271="","",P271*O271)</f>
        <v/>
      </c>
      <c r="R271" s="7">
        <f>IF($V271="","",Q271+N271)</f>
        <v/>
      </c>
      <c r="S271" s="7">
        <f>IF($V271="","",T271-R271)</f>
        <v/>
      </c>
      <c r="T271" s="7">
        <f>IF($V271="","",M271+P271+K271)</f>
        <v/>
      </c>
      <c r="U271" s="7">
        <f>IF($V271="","",T271-R271-J271)</f>
        <v/>
      </c>
      <c r="V271" s="13">
        <f>IF(ROWS($V$2:$V271)&lt;=MAX('Per Line'!$AL$2:$AL$1501),MATCH(ROWS($V$2:$V271),'Per Line'!$AL$2:$AL$1501,0),"")</f>
        <v/>
      </c>
    </row>
    <row r="272">
      <c r="A272" s="12" t="n"/>
      <c r="B272">
        <f>IF($V272="","",INDEX('Per Line'!$D$2:$D$1501,$V272)&amp;"")</f>
        <v/>
      </c>
      <c r="C272">
        <f>IF($V272="","",INDEX('Per Line'!$A$2:$A$1501,$V272))</f>
        <v/>
      </c>
      <c r="D272">
        <f>IF($V272="","",INDEX('Per Line'!$Z$2:$Z$1501,$V272)&amp;"")</f>
        <v/>
      </c>
      <c r="E272" s="11">
        <f>IF($V272="","",INDEX('Per Line'!$F$2:$F$1501,$V272))</f>
        <v/>
      </c>
      <c r="F272">
        <f>IF($V272="","",INDEX('Per Line'!$I$2:$I$1501,$V272)&amp;"")</f>
        <v/>
      </c>
      <c r="G272">
        <f>IF($V272="","",INDEX('Per Line'!$J$2:$J$1501,$V272)&amp;"")</f>
        <v/>
      </c>
      <c r="H272">
        <f>IF($V272="","",INDEX('Per Line'!$K$2:$K$1501,$V272)&amp;"")</f>
        <v/>
      </c>
      <c r="I272">
        <f>IF($V272="","",INDEX('Per Line'!$M$2:$M$1501,$V272))</f>
        <v/>
      </c>
      <c r="J272" s="7">
        <f>IF($V272="","",I272*T272/100)</f>
        <v/>
      </c>
      <c r="K272" s="7">
        <f>IF($V272="","",SUMIFS('Per Line'!$V$2:$V$1501,'Per Line'!$D$2:$D$1501,$B272,'Per Line'!$AN$2:$AN$1501,1))</f>
        <v/>
      </c>
      <c r="L272">
        <f>IF($V272="","",Settings!$C$7)</f>
        <v/>
      </c>
      <c r="M272" s="7">
        <f>IF($V272="","",SUMIFS('Per Line'!$V$2:$V$1501,'Per Line'!$D$2:$D$1501,$B272,'Per Line'!$AM$2:$AM$1501,0,'Per Line'!$AN$2:$AN$1501,0))</f>
        <v/>
      </c>
      <c r="N272" s="7">
        <f>IF($V272="","",M272*L272)</f>
        <v/>
      </c>
      <c r="O272">
        <f>IF($V272="","",Settings!$C$6)</f>
        <v/>
      </c>
      <c r="P272" s="7">
        <f>IF($V272="","",SUMIFS('Per Line'!$V$2:$V$1501,'Per Line'!$D$2:$D$1501,$B272,'Per Line'!$AM$2:$AM$1501,1,'Per Line'!$AN$2:$AN$1501,0))</f>
        <v/>
      </c>
      <c r="Q272" s="7">
        <f>IF($V272="","",P272*O272)</f>
        <v/>
      </c>
      <c r="R272" s="7">
        <f>IF($V272="","",Q272+N272)</f>
        <v/>
      </c>
      <c r="S272" s="7">
        <f>IF($V272="","",T272-R272)</f>
        <v/>
      </c>
      <c r="T272" s="7">
        <f>IF($V272="","",M272+P272+K272)</f>
        <v/>
      </c>
      <c r="U272" s="7">
        <f>IF($V272="","",T272-R272-J272)</f>
        <v/>
      </c>
      <c r="V272" s="13">
        <f>IF(ROWS($V$2:$V272)&lt;=MAX('Per Line'!$AL$2:$AL$1501),MATCH(ROWS($V$2:$V272),'Per Line'!$AL$2:$AL$1501,0),"")</f>
        <v/>
      </c>
    </row>
    <row r="273">
      <c r="A273" s="12" t="n"/>
      <c r="B273">
        <f>IF($V273="","",INDEX('Per Line'!$D$2:$D$1501,$V273)&amp;"")</f>
        <v/>
      </c>
      <c r="C273">
        <f>IF($V273="","",INDEX('Per Line'!$A$2:$A$1501,$V273))</f>
        <v/>
      </c>
      <c r="D273">
        <f>IF($V273="","",INDEX('Per Line'!$Z$2:$Z$1501,$V273)&amp;"")</f>
        <v/>
      </c>
      <c r="E273" s="11">
        <f>IF($V273="","",INDEX('Per Line'!$F$2:$F$1501,$V273))</f>
        <v/>
      </c>
      <c r="F273">
        <f>IF($V273="","",INDEX('Per Line'!$I$2:$I$1501,$V273)&amp;"")</f>
        <v/>
      </c>
      <c r="G273">
        <f>IF($V273="","",INDEX('Per Line'!$J$2:$J$1501,$V273)&amp;"")</f>
        <v/>
      </c>
      <c r="H273">
        <f>IF($V273="","",INDEX('Per Line'!$K$2:$K$1501,$V273)&amp;"")</f>
        <v/>
      </c>
      <c r="I273">
        <f>IF($V273="","",INDEX('Per Line'!$M$2:$M$1501,$V273))</f>
        <v/>
      </c>
      <c r="J273" s="7">
        <f>IF($V273="","",I273*T273/100)</f>
        <v/>
      </c>
      <c r="K273" s="7">
        <f>IF($V273="","",SUMIFS('Per Line'!$V$2:$V$1501,'Per Line'!$D$2:$D$1501,$B273,'Per Line'!$AN$2:$AN$1501,1))</f>
        <v/>
      </c>
      <c r="L273">
        <f>IF($V273="","",Settings!$C$7)</f>
        <v/>
      </c>
      <c r="M273" s="7">
        <f>IF($V273="","",SUMIFS('Per Line'!$V$2:$V$1501,'Per Line'!$D$2:$D$1501,$B273,'Per Line'!$AM$2:$AM$1501,0,'Per Line'!$AN$2:$AN$1501,0))</f>
        <v/>
      </c>
      <c r="N273" s="7">
        <f>IF($V273="","",M273*L273)</f>
        <v/>
      </c>
      <c r="O273">
        <f>IF($V273="","",Settings!$C$6)</f>
        <v/>
      </c>
      <c r="P273" s="7">
        <f>IF($V273="","",SUMIFS('Per Line'!$V$2:$V$1501,'Per Line'!$D$2:$D$1501,$B273,'Per Line'!$AM$2:$AM$1501,1,'Per Line'!$AN$2:$AN$1501,0))</f>
        <v/>
      </c>
      <c r="Q273" s="7">
        <f>IF($V273="","",P273*O273)</f>
        <v/>
      </c>
      <c r="R273" s="7">
        <f>IF($V273="","",Q273+N273)</f>
        <v/>
      </c>
      <c r="S273" s="7">
        <f>IF($V273="","",T273-R273)</f>
        <v/>
      </c>
      <c r="T273" s="7">
        <f>IF($V273="","",M273+P273+K273)</f>
        <v/>
      </c>
      <c r="U273" s="7">
        <f>IF($V273="","",T273-R273-J273)</f>
        <v/>
      </c>
      <c r="V273" s="13">
        <f>IF(ROWS($V$2:$V273)&lt;=MAX('Per Line'!$AL$2:$AL$1501),MATCH(ROWS($V$2:$V273),'Per Line'!$AL$2:$AL$1501,0),"")</f>
        <v/>
      </c>
    </row>
    <row r="274">
      <c r="A274" s="12" t="n"/>
      <c r="B274">
        <f>IF($V274="","",INDEX('Per Line'!$D$2:$D$1501,$V274)&amp;"")</f>
        <v/>
      </c>
      <c r="C274">
        <f>IF($V274="","",INDEX('Per Line'!$A$2:$A$1501,$V274))</f>
        <v/>
      </c>
      <c r="D274">
        <f>IF($V274="","",INDEX('Per Line'!$Z$2:$Z$1501,$V274)&amp;"")</f>
        <v/>
      </c>
      <c r="E274" s="11">
        <f>IF($V274="","",INDEX('Per Line'!$F$2:$F$1501,$V274))</f>
        <v/>
      </c>
      <c r="F274">
        <f>IF($V274="","",INDEX('Per Line'!$I$2:$I$1501,$V274)&amp;"")</f>
        <v/>
      </c>
      <c r="G274">
        <f>IF($V274="","",INDEX('Per Line'!$J$2:$J$1501,$V274)&amp;"")</f>
        <v/>
      </c>
      <c r="H274">
        <f>IF($V274="","",INDEX('Per Line'!$K$2:$K$1501,$V274)&amp;"")</f>
        <v/>
      </c>
      <c r="I274">
        <f>IF($V274="","",INDEX('Per Line'!$M$2:$M$1501,$V274))</f>
        <v/>
      </c>
      <c r="J274" s="7">
        <f>IF($V274="","",I274*T274/100)</f>
        <v/>
      </c>
      <c r="K274" s="7">
        <f>IF($V274="","",SUMIFS('Per Line'!$V$2:$V$1501,'Per Line'!$D$2:$D$1501,$B274,'Per Line'!$AN$2:$AN$1501,1))</f>
        <v/>
      </c>
      <c r="L274">
        <f>IF($V274="","",Settings!$C$7)</f>
        <v/>
      </c>
      <c r="M274" s="7">
        <f>IF($V274="","",SUMIFS('Per Line'!$V$2:$V$1501,'Per Line'!$D$2:$D$1501,$B274,'Per Line'!$AM$2:$AM$1501,0,'Per Line'!$AN$2:$AN$1501,0))</f>
        <v/>
      </c>
      <c r="N274" s="7">
        <f>IF($V274="","",M274*L274)</f>
        <v/>
      </c>
      <c r="O274">
        <f>IF($V274="","",Settings!$C$6)</f>
        <v/>
      </c>
      <c r="P274" s="7">
        <f>IF($V274="","",SUMIFS('Per Line'!$V$2:$V$1501,'Per Line'!$D$2:$D$1501,$B274,'Per Line'!$AM$2:$AM$1501,1,'Per Line'!$AN$2:$AN$1501,0))</f>
        <v/>
      </c>
      <c r="Q274" s="7">
        <f>IF($V274="","",P274*O274)</f>
        <v/>
      </c>
      <c r="R274" s="7">
        <f>IF($V274="","",Q274+N274)</f>
        <v/>
      </c>
      <c r="S274" s="7">
        <f>IF($V274="","",T274-R274)</f>
        <v/>
      </c>
      <c r="T274" s="7">
        <f>IF($V274="","",M274+P274+K274)</f>
        <v/>
      </c>
      <c r="U274" s="7">
        <f>IF($V274="","",T274-R274-J274)</f>
        <v/>
      </c>
      <c r="V274" s="13">
        <f>IF(ROWS($V$2:$V274)&lt;=MAX('Per Line'!$AL$2:$AL$1501),MATCH(ROWS($V$2:$V274),'Per Line'!$AL$2:$AL$1501,0),"")</f>
        <v/>
      </c>
    </row>
    <row r="275">
      <c r="A275" s="12" t="n"/>
      <c r="B275">
        <f>IF($V275="","",INDEX('Per Line'!$D$2:$D$1501,$V275)&amp;"")</f>
        <v/>
      </c>
      <c r="C275">
        <f>IF($V275="","",INDEX('Per Line'!$A$2:$A$1501,$V275))</f>
        <v/>
      </c>
      <c r="D275">
        <f>IF($V275="","",INDEX('Per Line'!$Z$2:$Z$1501,$V275)&amp;"")</f>
        <v/>
      </c>
      <c r="E275" s="11">
        <f>IF($V275="","",INDEX('Per Line'!$F$2:$F$1501,$V275))</f>
        <v/>
      </c>
      <c r="F275">
        <f>IF($V275="","",INDEX('Per Line'!$I$2:$I$1501,$V275)&amp;"")</f>
        <v/>
      </c>
      <c r="G275">
        <f>IF($V275="","",INDEX('Per Line'!$J$2:$J$1501,$V275)&amp;"")</f>
        <v/>
      </c>
      <c r="H275">
        <f>IF($V275="","",INDEX('Per Line'!$K$2:$K$1501,$V275)&amp;"")</f>
        <v/>
      </c>
      <c r="I275">
        <f>IF($V275="","",INDEX('Per Line'!$M$2:$M$1501,$V275))</f>
        <v/>
      </c>
      <c r="J275" s="7">
        <f>IF($V275="","",I275*T275/100)</f>
        <v/>
      </c>
      <c r="K275" s="7">
        <f>IF($V275="","",SUMIFS('Per Line'!$V$2:$V$1501,'Per Line'!$D$2:$D$1501,$B275,'Per Line'!$AN$2:$AN$1501,1))</f>
        <v/>
      </c>
      <c r="L275">
        <f>IF($V275="","",Settings!$C$7)</f>
        <v/>
      </c>
      <c r="M275" s="7">
        <f>IF($V275="","",SUMIFS('Per Line'!$V$2:$V$1501,'Per Line'!$D$2:$D$1501,$B275,'Per Line'!$AM$2:$AM$1501,0,'Per Line'!$AN$2:$AN$1501,0))</f>
        <v/>
      </c>
      <c r="N275" s="7">
        <f>IF($V275="","",M275*L275)</f>
        <v/>
      </c>
      <c r="O275">
        <f>IF($V275="","",Settings!$C$6)</f>
        <v/>
      </c>
      <c r="P275" s="7">
        <f>IF($V275="","",SUMIFS('Per Line'!$V$2:$V$1501,'Per Line'!$D$2:$D$1501,$B275,'Per Line'!$AM$2:$AM$1501,1,'Per Line'!$AN$2:$AN$1501,0))</f>
        <v/>
      </c>
      <c r="Q275" s="7">
        <f>IF($V275="","",P275*O275)</f>
        <v/>
      </c>
      <c r="R275" s="7">
        <f>IF($V275="","",Q275+N275)</f>
        <v/>
      </c>
      <c r="S275" s="7">
        <f>IF($V275="","",T275-R275)</f>
        <v/>
      </c>
      <c r="T275" s="7">
        <f>IF($V275="","",M275+P275+K275)</f>
        <v/>
      </c>
      <c r="U275" s="7">
        <f>IF($V275="","",T275-R275-J275)</f>
        <v/>
      </c>
      <c r="V275" s="13">
        <f>IF(ROWS($V$2:$V275)&lt;=MAX('Per Line'!$AL$2:$AL$1501),MATCH(ROWS($V$2:$V275),'Per Line'!$AL$2:$AL$1501,0),"")</f>
        <v/>
      </c>
    </row>
    <row r="276">
      <c r="A276" s="12" t="n"/>
      <c r="B276">
        <f>IF($V276="","",INDEX('Per Line'!$D$2:$D$1501,$V276)&amp;"")</f>
        <v/>
      </c>
      <c r="C276">
        <f>IF($V276="","",INDEX('Per Line'!$A$2:$A$1501,$V276))</f>
        <v/>
      </c>
      <c r="D276">
        <f>IF($V276="","",INDEX('Per Line'!$Z$2:$Z$1501,$V276)&amp;"")</f>
        <v/>
      </c>
      <c r="E276" s="11">
        <f>IF($V276="","",INDEX('Per Line'!$F$2:$F$1501,$V276))</f>
        <v/>
      </c>
      <c r="F276">
        <f>IF($V276="","",INDEX('Per Line'!$I$2:$I$1501,$V276)&amp;"")</f>
        <v/>
      </c>
      <c r="G276">
        <f>IF($V276="","",INDEX('Per Line'!$J$2:$J$1501,$V276)&amp;"")</f>
        <v/>
      </c>
      <c r="H276">
        <f>IF($V276="","",INDEX('Per Line'!$K$2:$K$1501,$V276)&amp;"")</f>
        <v/>
      </c>
      <c r="I276">
        <f>IF($V276="","",INDEX('Per Line'!$M$2:$M$1501,$V276))</f>
        <v/>
      </c>
      <c r="J276" s="7">
        <f>IF($V276="","",I276*T276/100)</f>
        <v/>
      </c>
      <c r="K276" s="7">
        <f>IF($V276="","",SUMIFS('Per Line'!$V$2:$V$1501,'Per Line'!$D$2:$D$1501,$B276,'Per Line'!$AN$2:$AN$1501,1))</f>
        <v/>
      </c>
      <c r="L276">
        <f>IF($V276="","",Settings!$C$7)</f>
        <v/>
      </c>
      <c r="M276" s="7">
        <f>IF($V276="","",SUMIFS('Per Line'!$V$2:$V$1501,'Per Line'!$D$2:$D$1501,$B276,'Per Line'!$AM$2:$AM$1501,0,'Per Line'!$AN$2:$AN$1501,0))</f>
        <v/>
      </c>
      <c r="N276" s="7">
        <f>IF($V276="","",M276*L276)</f>
        <v/>
      </c>
      <c r="O276">
        <f>IF($V276="","",Settings!$C$6)</f>
        <v/>
      </c>
      <c r="P276" s="7">
        <f>IF($V276="","",SUMIFS('Per Line'!$V$2:$V$1501,'Per Line'!$D$2:$D$1501,$B276,'Per Line'!$AM$2:$AM$1501,1,'Per Line'!$AN$2:$AN$1501,0))</f>
        <v/>
      </c>
      <c r="Q276" s="7">
        <f>IF($V276="","",P276*O276)</f>
        <v/>
      </c>
      <c r="R276" s="7">
        <f>IF($V276="","",Q276+N276)</f>
        <v/>
      </c>
      <c r="S276" s="7">
        <f>IF($V276="","",T276-R276)</f>
        <v/>
      </c>
      <c r="T276" s="7">
        <f>IF($V276="","",M276+P276+K276)</f>
        <v/>
      </c>
      <c r="U276" s="7">
        <f>IF($V276="","",T276-R276-J276)</f>
        <v/>
      </c>
      <c r="V276" s="13">
        <f>IF(ROWS($V$2:$V276)&lt;=MAX('Per Line'!$AL$2:$AL$1501),MATCH(ROWS($V$2:$V276),'Per Line'!$AL$2:$AL$1501,0),"")</f>
        <v/>
      </c>
    </row>
    <row r="277">
      <c r="A277" s="12" t="n"/>
      <c r="B277">
        <f>IF($V277="","",INDEX('Per Line'!$D$2:$D$1501,$V277)&amp;"")</f>
        <v/>
      </c>
      <c r="C277">
        <f>IF($V277="","",INDEX('Per Line'!$A$2:$A$1501,$V277))</f>
        <v/>
      </c>
      <c r="D277">
        <f>IF($V277="","",INDEX('Per Line'!$Z$2:$Z$1501,$V277)&amp;"")</f>
        <v/>
      </c>
      <c r="E277" s="11">
        <f>IF($V277="","",INDEX('Per Line'!$F$2:$F$1501,$V277))</f>
        <v/>
      </c>
      <c r="F277">
        <f>IF($V277="","",INDEX('Per Line'!$I$2:$I$1501,$V277)&amp;"")</f>
        <v/>
      </c>
      <c r="G277">
        <f>IF($V277="","",INDEX('Per Line'!$J$2:$J$1501,$V277)&amp;"")</f>
        <v/>
      </c>
      <c r="H277">
        <f>IF($V277="","",INDEX('Per Line'!$K$2:$K$1501,$V277)&amp;"")</f>
        <v/>
      </c>
      <c r="I277">
        <f>IF($V277="","",INDEX('Per Line'!$M$2:$M$1501,$V277))</f>
        <v/>
      </c>
      <c r="J277" s="7">
        <f>IF($V277="","",I277*T277/100)</f>
        <v/>
      </c>
      <c r="K277" s="7">
        <f>IF($V277="","",SUMIFS('Per Line'!$V$2:$V$1501,'Per Line'!$D$2:$D$1501,$B277,'Per Line'!$AN$2:$AN$1501,1))</f>
        <v/>
      </c>
      <c r="L277">
        <f>IF($V277="","",Settings!$C$7)</f>
        <v/>
      </c>
      <c r="M277" s="7">
        <f>IF($V277="","",SUMIFS('Per Line'!$V$2:$V$1501,'Per Line'!$D$2:$D$1501,$B277,'Per Line'!$AM$2:$AM$1501,0,'Per Line'!$AN$2:$AN$1501,0))</f>
        <v/>
      </c>
      <c r="N277" s="7">
        <f>IF($V277="","",M277*L277)</f>
        <v/>
      </c>
      <c r="O277">
        <f>IF($V277="","",Settings!$C$6)</f>
        <v/>
      </c>
      <c r="P277" s="7">
        <f>IF($V277="","",SUMIFS('Per Line'!$V$2:$V$1501,'Per Line'!$D$2:$D$1501,$B277,'Per Line'!$AM$2:$AM$1501,1,'Per Line'!$AN$2:$AN$1501,0))</f>
        <v/>
      </c>
      <c r="Q277" s="7">
        <f>IF($V277="","",P277*O277)</f>
        <v/>
      </c>
      <c r="R277" s="7">
        <f>IF($V277="","",Q277+N277)</f>
        <v/>
      </c>
      <c r="S277" s="7">
        <f>IF($V277="","",T277-R277)</f>
        <v/>
      </c>
      <c r="T277" s="7">
        <f>IF($V277="","",M277+P277+K277)</f>
        <v/>
      </c>
      <c r="U277" s="7">
        <f>IF($V277="","",T277-R277-J277)</f>
        <v/>
      </c>
      <c r="V277" s="13">
        <f>IF(ROWS($V$2:$V277)&lt;=MAX('Per Line'!$AL$2:$AL$1501),MATCH(ROWS($V$2:$V277),'Per Line'!$AL$2:$AL$1501,0),"")</f>
        <v/>
      </c>
    </row>
    <row r="278">
      <c r="A278" s="12" t="n"/>
      <c r="B278">
        <f>IF($V278="","",INDEX('Per Line'!$D$2:$D$1501,$V278)&amp;"")</f>
        <v/>
      </c>
      <c r="C278">
        <f>IF($V278="","",INDEX('Per Line'!$A$2:$A$1501,$V278))</f>
        <v/>
      </c>
      <c r="D278">
        <f>IF($V278="","",INDEX('Per Line'!$Z$2:$Z$1501,$V278)&amp;"")</f>
        <v/>
      </c>
      <c r="E278" s="11">
        <f>IF($V278="","",INDEX('Per Line'!$F$2:$F$1501,$V278))</f>
        <v/>
      </c>
      <c r="F278">
        <f>IF($V278="","",INDEX('Per Line'!$I$2:$I$1501,$V278)&amp;"")</f>
        <v/>
      </c>
      <c r="G278">
        <f>IF($V278="","",INDEX('Per Line'!$J$2:$J$1501,$V278)&amp;"")</f>
        <v/>
      </c>
      <c r="H278">
        <f>IF($V278="","",INDEX('Per Line'!$K$2:$K$1501,$V278)&amp;"")</f>
        <v/>
      </c>
      <c r="I278">
        <f>IF($V278="","",INDEX('Per Line'!$M$2:$M$1501,$V278))</f>
        <v/>
      </c>
      <c r="J278" s="7">
        <f>IF($V278="","",I278*T278/100)</f>
        <v/>
      </c>
      <c r="K278" s="7">
        <f>IF($V278="","",SUMIFS('Per Line'!$V$2:$V$1501,'Per Line'!$D$2:$D$1501,$B278,'Per Line'!$AN$2:$AN$1501,1))</f>
        <v/>
      </c>
      <c r="L278">
        <f>IF($V278="","",Settings!$C$7)</f>
        <v/>
      </c>
      <c r="M278" s="7">
        <f>IF($V278="","",SUMIFS('Per Line'!$V$2:$V$1501,'Per Line'!$D$2:$D$1501,$B278,'Per Line'!$AM$2:$AM$1501,0,'Per Line'!$AN$2:$AN$1501,0))</f>
        <v/>
      </c>
      <c r="N278" s="7">
        <f>IF($V278="","",M278*L278)</f>
        <v/>
      </c>
      <c r="O278">
        <f>IF($V278="","",Settings!$C$6)</f>
        <v/>
      </c>
      <c r="P278" s="7">
        <f>IF($V278="","",SUMIFS('Per Line'!$V$2:$V$1501,'Per Line'!$D$2:$D$1501,$B278,'Per Line'!$AM$2:$AM$1501,1,'Per Line'!$AN$2:$AN$1501,0))</f>
        <v/>
      </c>
      <c r="Q278" s="7">
        <f>IF($V278="","",P278*O278)</f>
        <v/>
      </c>
      <c r="R278" s="7">
        <f>IF($V278="","",Q278+N278)</f>
        <v/>
      </c>
      <c r="S278" s="7">
        <f>IF($V278="","",T278-R278)</f>
        <v/>
      </c>
      <c r="T278" s="7">
        <f>IF($V278="","",M278+P278+K278)</f>
        <v/>
      </c>
      <c r="U278" s="7">
        <f>IF($V278="","",T278-R278-J278)</f>
        <v/>
      </c>
      <c r="V278" s="13">
        <f>IF(ROWS($V$2:$V278)&lt;=MAX('Per Line'!$AL$2:$AL$1501),MATCH(ROWS($V$2:$V278),'Per Line'!$AL$2:$AL$1501,0),"")</f>
        <v/>
      </c>
    </row>
    <row r="279">
      <c r="A279" s="12" t="n"/>
      <c r="B279">
        <f>IF($V279="","",INDEX('Per Line'!$D$2:$D$1501,$V279)&amp;"")</f>
        <v/>
      </c>
      <c r="C279">
        <f>IF($V279="","",INDEX('Per Line'!$A$2:$A$1501,$V279))</f>
        <v/>
      </c>
      <c r="D279">
        <f>IF($V279="","",INDEX('Per Line'!$Z$2:$Z$1501,$V279)&amp;"")</f>
        <v/>
      </c>
      <c r="E279" s="11">
        <f>IF($V279="","",INDEX('Per Line'!$F$2:$F$1501,$V279))</f>
        <v/>
      </c>
      <c r="F279">
        <f>IF($V279="","",INDEX('Per Line'!$I$2:$I$1501,$V279)&amp;"")</f>
        <v/>
      </c>
      <c r="G279">
        <f>IF($V279="","",INDEX('Per Line'!$J$2:$J$1501,$V279)&amp;"")</f>
        <v/>
      </c>
      <c r="H279">
        <f>IF($V279="","",INDEX('Per Line'!$K$2:$K$1501,$V279)&amp;"")</f>
        <v/>
      </c>
      <c r="I279">
        <f>IF($V279="","",INDEX('Per Line'!$M$2:$M$1501,$V279))</f>
        <v/>
      </c>
      <c r="J279" s="7">
        <f>IF($V279="","",I279*T279/100)</f>
        <v/>
      </c>
      <c r="K279" s="7">
        <f>IF($V279="","",SUMIFS('Per Line'!$V$2:$V$1501,'Per Line'!$D$2:$D$1501,$B279,'Per Line'!$AN$2:$AN$1501,1))</f>
        <v/>
      </c>
      <c r="L279">
        <f>IF($V279="","",Settings!$C$7)</f>
        <v/>
      </c>
      <c r="M279" s="7">
        <f>IF($V279="","",SUMIFS('Per Line'!$V$2:$V$1501,'Per Line'!$D$2:$D$1501,$B279,'Per Line'!$AM$2:$AM$1501,0,'Per Line'!$AN$2:$AN$1501,0))</f>
        <v/>
      </c>
      <c r="N279" s="7">
        <f>IF($V279="","",M279*L279)</f>
        <v/>
      </c>
      <c r="O279">
        <f>IF($V279="","",Settings!$C$6)</f>
        <v/>
      </c>
      <c r="P279" s="7">
        <f>IF($V279="","",SUMIFS('Per Line'!$V$2:$V$1501,'Per Line'!$D$2:$D$1501,$B279,'Per Line'!$AM$2:$AM$1501,1,'Per Line'!$AN$2:$AN$1501,0))</f>
        <v/>
      </c>
      <c r="Q279" s="7">
        <f>IF($V279="","",P279*O279)</f>
        <v/>
      </c>
      <c r="R279" s="7">
        <f>IF($V279="","",Q279+N279)</f>
        <v/>
      </c>
      <c r="S279" s="7">
        <f>IF($V279="","",T279-R279)</f>
        <v/>
      </c>
      <c r="T279" s="7">
        <f>IF($V279="","",M279+P279+K279)</f>
        <v/>
      </c>
      <c r="U279" s="7">
        <f>IF($V279="","",T279-R279-J279)</f>
        <v/>
      </c>
      <c r="V279" s="13">
        <f>IF(ROWS($V$2:$V279)&lt;=MAX('Per Line'!$AL$2:$AL$1501),MATCH(ROWS($V$2:$V279),'Per Line'!$AL$2:$AL$1501,0),"")</f>
        <v/>
      </c>
    </row>
    <row r="280">
      <c r="A280" s="12" t="n"/>
      <c r="B280">
        <f>IF($V280="","",INDEX('Per Line'!$D$2:$D$1501,$V280)&amp;"")</f>
        <v/>
      </c>
      <c r="C280">
        <f>IF($V280="","",INDEX('Per Line'!$A$2:$A$1501,$V280))</f>
        <v/>
      </c>
      <c r="D280">
        <f>IF($V280="","",INDEX('Per Line'!$Z$2:$Z$1501,$V280)&amp;"")</f>
        <v/>
      </c>
      <c r="E280" s="11">
        <f>IF($V280="","",INDEX('Per Line'!$F$2:$F$1501,$V280))</f>
        <v/>
      </c>
      <c r="F280">
        <f>IF($V280="","",INDEX('Per Line'!$I$2:$I$1501,$V280)&amp;"")</f>
        <v/>
      </c>
      <c r="G280">
        <f>IF($V280="","",INDEX('Per Line'!$J$2:$J$1501,$V280)&amp;"")</f>
        <v/>
      </c>
      <c r="H280">
        <f>IF($V280="","",INDEX('Per Line'!$K$2:$K$1501,$V280)&amp;"")</f>
        <v/>
      </c>
      <c r="I280">
        <f>IF($V280="","",INDEX('Per Line'!$M$2:$M$1501,$V280))</f>
        <v/>
      </c>
      <c r="J280" s="7">
        <f>IF($V280="","",I280*T280/100)</f>
        <v/>
      </c>
      <c r="K280" s="7">
        <f>IF($V280="","",SUMIFS('Per Line'!$V$2:$V$1501,'Per Line'!$D$2:$D$1501,$B280,'Per Line'!$AN$2:$AN$1501,1))</f>
        <v/>
      </c>
      <c r="L280">
        <f>IF($V280="","",Settings!$C$7)</f>
        <v/>
      </c>
      <c r="M280" s="7">
        <f>IF($V280="","",SUMIFS('Per Line'!$V$2:$V$1501,'Per Line'!$D$2:$D$1501,$B280,'Per Line'!$AM$2:$AM$1501,0,'Per Line'!$AN$2:$AN$1501,0))</f>
        <v/>
      </c>
      <c r="N280" s="7">
        <f>IF($V280="","",M280*L280)</f>
        <v/>
      </c>
      <c r="O280">
        <f>IF($V280="","",Settings!$C$6)</f>
        <v/>
      </c>
      <c r="P280" s="7">
        <f>IF($V280="","",SUMIFS('Per Line'!$V$2:$V$1501,'Per Line'!$D$2:$D$1501,$B280,'Per Line'!$AM$2:$AM$1501,1,'Per Line'!$AN$2:$AN$1501,0))</f>
        <v/>
      </c>
      <c r="Q280" s="7">
        <f>IF($V280="","",P280*O280)</f>
        <v/>
      </c>
      <c r="R280" s="7">
        <f>IF($V280="","",Q280+N280)</f>
        <v/>
      </c>
      <c r="S280" s="7">
        <f>IF($V280="","",T280-R280)</f>
        <v/>
      </c>
      <c r="T280" s="7">
        <f>IF($V280="","",M280+P280+K280)</f>
        <v/>
      </c>
      <c r="U280" s="7">
        <f>IF($V280="","",T280-R280-J280)</f>
        <v/>
      </c>
      <c r="V280" s="13">
        <f>IF(ROWS($V$2:$V280)&lt;=MAX('Per Line'!$AL$2:$AL$1501),MATCH(ROWS($V$2:$V280),'Per Line'!$AL$2:$AL$1501,0),"")</f>
        <v/>
      </c>
    </row>
    <row r="281">
      <c r="A281" s="12" t="n"/>
      <c r="B281">
        <f>IF($V281="","",INDEX('Per Line'!$D$2:$D$1501,$V281)&amp;"")</f>
        <v/>
      </c>
      <c r="C281">
        <f>IF($V281="","",INDEX('Per Line'!$A$2:$A$1501,$V281))</f>
        <v/>
      </c>
      <c r="D281">
        <f>IF($V281="","",INDEX('Per Line'!$Z$2:$Z$1501,$V281)&amp;"")</f>
        <v/>
      </c>
      <c r="E281" s="11">
        <f>IF($V281="","",INDEX('Per Line'!$F$2:$F$1501,$V281))</f>
        <v/>
      </c>
      <c r="F281">
        <f>IF($V281="","",INDEX('Per Line'!$I$2:$I$1501,$V281)&amp;"")</f>
        <v/>
      </c>
      <c r="G281">
        <f>IF($V281="","",INDEX('Per Line'!$J$2:$J$1501,$V281)&amp;"")</f>
        <v/>
      </c>
      <c r="H281">
        <f>IF($V281="","",INDEX('Per Line'!$K$2:$K$1501,$V281)&amp;"")</f>
        <v/>
      </c>
      <c r="I281">
        <f>IF($V281="","",INDEX('Per Line'!$M$2:$M$1501,$V281))</f>
        <v/>
      </c>
      <c r="J281" s="7">
        <f>IF($V281="","",I281*T281/100)</f>
        <v/>
      </c>
      <c r="K281" s="7">
        <f>IF($V281="","",SUMIFS('Per Line'!$V$2:$V$1501,'Per Line'!$D$2:$D$1501,$B281,'Per Line'!$AN$2:$AN$1501,1))</f>
        <v/>
      </c>
      <c r="L281">
        <f>IF($V281="","",Settings!$C$7)</f>
        <v/>
      </c>
      <c r="M281" s="7">
        <f>IF($V281="","",SUMIFS('Per Line'!$V$2:$V$1501,'Per Line'!$D$2:$D$1501,$B281,'Per Line'!$AM$2:$AM$1501,0,'Per Line'!$AN$2:$AN$1501,0))</f>
        <v/>
      </c>
      <c r="N281" s="7">
        <f>IF($V281="","",M281*L281)</f>
        <v/>
      </c>
      <c r="O281">
        <f>IF($V281="","",Settings!$C$6)</f>
        <v/>
      </c>
      <c r="P281" s="7">
        <f>IF($V281="","",SUMIFS('Per Line'!$V$2:$V$1501,'Per Line'!$D$2:$D$1501,$B281,'Per Line'!$AM$2:$AM$1501,1,'Per Line'!$AN$2:$AN$1501,0))</f>
        <v/>
      </c>
      <c r="Q281" s="7">
        <f>IF($V281="","",P281*O281)</f>
        <v/>
      </c>
      <c r="R281" s="7">
        <f>IF($V281="","",Q281+N281)</f>
        <v/>
      </c>
      <c r="S281" s="7">
        <f>IF($V281="","",T281-R281)</f>
        <v/>
      </c>
      <c r="T281" s="7">
        <f>IF($V281="","",M281+P281+K281)</f>
        <v/>
      </c>
      <c r="U281" s="7">
        <f>IF($V281="","",T281-R281-J281)</f>
        <v/>
      </c>
      <c r="V281" s="13">
        <f>IF(ROWS($V$2:$V281)&lt;=MAX('Per Line'!$AL$2:$AL$1501),MATCH(ROWS($V$2:$V281),'Per Line'!$AL$2:$AL$1501,0),"")</f>
        <v/>
      </c>
    </row>
    <row r="282">
      <c r="A282" s="12" t="n"/>
      <c r="B282">
        <f>IF($V282="","",INDEX('Per Line'!$D$2:$D$1501,$V282)&amp;"")</f>
        <v/>
      </c>
      <c r="C282">
        <f>IF($V282="","",INDEX('Per Line'!$A$2:$A$1501,$V282))</f>
        <v/>
      </c>
      <c r="D282">
        <f>IF($V282="","",INDEX('Per Line'!$Z$2:$Z$1501,$V282)&amp;"")</f>
        <v/>
      </c>
      <c r="E282" s="11">
        <f>IF($V282="","",INDEX('Per Line'!$F$2:$F$1501,$V282))</f>
        <v/>
      </c>
      <c r="F282">
        <f>IF($V282="","",INDEX('Per Line'!$I$2:$I$1501,$V282)&amp;"")</f>
        <v/>
      </c>
      <c r="G282">
        <f>IF($V282="","",INDEX('Per Line'!$J$2:$J$1501,$V282)&amp;"")</f>
        <v/>
      </c>
      <c r="H282">
        <f>IF($V282="","",INDEX('Per Line'!$K$2:$K$1501,$V282)&amp;"")</f>
        <v/>
      </c>
      <c r="I282">
        <f>IF($V282="","",INDEX('Per Line'!$M$2:$M$1501,$V282))</f>
        <v/>
      </c>
      <c r="J282" s="7">
        <f>IF($V282="","",I282*T282/100)</f>
        <v/>
      </c>
      <c r="K282" s="7">
        <f>IF($V282="","",SUMIFS('Per Line'!$V$2:$V$1501,'Per Line'!$D$2:$D$1501,$B282,'Per Line'!$AN$2:$AN$1501,1))</f>
        <v/>
      </c>
      <c r="L282">
        <f>IF($V282="","",Settings!$C$7)</f>
        <v/>
      </c>
      <c r="M282" s="7">
        <f>IF($V282="","",SUMIFS('Per Line'!$V$2:$V$1501,'Per Line'!$D$2:$D$1501,$B282,'Per Line'!$AM$2:$AM$1501,0,'Per Line'!$AN$2:$AN$1501,0))</f>
        <v/>
      </c>
      <c r="N282" s="7">
        <f>IF($V282="","",M282*L282)</f>
        <v/>
      </c>
      <c r="O282">
        <f>IF($V282="","",Settings!$C$6)</f>
        <v/>
      </c>
      <c r="P282" s="7">
        <f>IF($V282="","",SUMIFS('Per Line'!$V$2:$V$1501,'Per Line'!$D$2:$D$1501,$B282,'Per Line'!$AM$2:$AM$1501,1,'Per Line'!$AN$2:$AN$1501,0))</f>
        <v/>
      </c>
      <c r="Q282" s="7">
        <f>IF($V282="","",P282*O282)</f>
        <v/>
      </c>
      <c r="R282" s="7">
        <f>IF($V282="","",Q282+N282)</f>
        <v/>
      </c>
      <c r="S282" s="7">
        <f>IF($V282="","",T282-R282)</f>
        <v/>
      </c>
      <c r="T282" s="7">
        <f>IF($V282="","",M282+P282+K282)</f>
        <v/>
      </c>
      <c r="U282" s="7">
        <f>IF($V282="","",T282-R282-J282)</f>
        <v/>
      </c>
      <c r="V282" s="13">
        <f>IF(ROWS($V$2:$V282)&lt;=MAX('Per Line'!$AL$2:$AL$1501),MATCH(ROWS($V$2:$V282),'Per Line'!$AL$2:$AL$1501,0),"")</f>
        <v/>
      </c>
    </row>
    <row r="283">
      <c r="A283" s="12" t="n"/>
      <c r="B283">
        <f>IF($V283="","",INDEX('Per Line'!$D$2:$D$1501,$V283)&amp;"")</f>
        <v/>
      </c>
      <c r="C283">
        <f>IF($V283="","",INDEX('Per Line'!$A$2:$A$1501,$V283))</f>
        <v/>
      </c>
      <c r="D283">
        <f>IF($V283="","",INDEX('Per Line'!$Z$2:$Z$1501,$V283)&amp;"")</f>
        <v/>
      </c>
      <c r="E283" s="11">
        <f>IF($V283="","",INDEX('Per Line'!$F$2:$F$1501,$V283))</f>
        <v/>
      </c>
      <c r="F283">
        <f>IF($V283="","",INDEX('Per Line'!$I$2:$I$1501,$V283)&amp;"")</f>
        <v/>
      </c>
      <c r="G283">
        <f>IF($V283="","",INDEX('Per Line'!$J$2:$J$1501,$V283)&amp;"")</f>
        <v/>
      </c>
      <c r="H283">
        <f>IF($V283="","",INDEX('Per Line'!$K$2:$K$1501,$V283)&amp;"")</f>
        <v/>
      </c>
      <c r="I283">
        <f>IF($V283="","",INDEX('Per Line'!$M$2:$M$1501,$V283))</f>
        <v/>
      </c>
      <c r="J283" s="7">
        <f>IF($V283="","",I283*T283/100)</f>
        <v/>
      </c>
      <c r="K283" s="7">
        <f>IF($V283="","",SUMIFS('Per Line'!$V$2:$V$1501,'Per Line'!$D$2:$D$1501,$B283,'Per Line'!$AN$2:$AN$1501,1))</f>
        <v/>
      </c>
      <c r="L283">
        <f>IF($V283="","",Settings!$C$7)</f>
        <v/>
      </c>
      <c r="M283" s="7">
        <f>IF($V283="","",SUMIFS('Per Line'!$V$2:$V$1501,'Per Line'!$D$2:$D$1501,$B283,'Per Line'!$AM$2:$AM$1501,0,'Per Line'!$AN$2:$AN$1501,0))</f>
        <v/>
      </c>
      <c r="N283" s="7">
        <f>IF($V283="","",M283*L283)</f>
        <v/>
      </c>
      <c r="O283">
        <f>IF($V283="","",Settings!$C$6)</f>
        <v/>
      </c>
      <c r="P283" s="7">
        <f>IF($V283="","",SUMIFS('Per Line'!$V$2:$V$1501,'Per Line'!$D$2:$D$1501,$B283,'Per Line'!$AM$2:$AM$1501,1,'Per Line'!$AN$2:$AN$1501,0))</f>
        <v/>
      </c>
      <c r="Q283" s="7">
        <f>IF($V283="","",P283*O283)</f>
        <v/>
      </c>
      <c r="R283" s="7">
        <f>IF($V283="","",Q283+N283)</f>
        <v/>
      </c>
      <c r="S283" s="7">
        <f>IF($V283="","",T283-R283)</f>
        <v/>
      </c>
      <c r="T283" s="7">
        <f>IF($V283="","",M283+P283+K283)</f>
        <v/>
      </c>
      <c r="U283" s="7">
        <f>IF($V283="","",T283-R283-J283)</f>
        <v/>
      </c>
      <c r="V283" s="13">
        <f>IF(ROWS($V$2:$V283)&lt;=MAX('Per Line'!$AL$2:$AL$1501),MATCH(ROWS($V$2:$V283),'Per Line'!$AL$2:$AL$1501,0),"")</f>
        <v/>
      </c>
    </row>
    <row r="284">
      <c r="A284" s="12" t="n"/>
      <c r="B284">
        <f>IF($V284="","",INDEX('Per Line'!$D$2:$D$1501,$V284)&amp;"")</f>
        <v/>
      </c>
      <c r="C284">
        <f>IF($V284="","",INDEX('Per Line'!$A$2:$A$1501,$V284))</f>
        <v/>
      </c>
      <c r="D284">
        <f>IF($V284="","",INDEX('Per Line'!$Z$2:$Z$1501,$V284)&amp;"")</f>
        <v/>
      </c>
      <c r="E284" s="11">
        <f>IF($V284="","",INDEX('Per Line'!$F$2:$F$1501,$V284))</f>
        <v/>
      </c>
      <c r="F284">
        <f>IF($V284="","",INDEX('Per Line'!$I$2:$I$1501,$V284)&amp;"")</f>
        <v/>
      </c>
      <c r="G284">
        <f>IF($V284="","",INDEX('Per Line'!$J$2:$J$1501,$V284)&amp;"")</f>
        <v/>
      </c>
      <c r="H284">
        <f>IF($V284="","",INDEX('Per Line'!$K$2:$K$1501,$V284)&amp;"")</f>
        <v/>
      </c>
      <c r="I284">
        <f>IF($V284="","",INDEX('Per Line'!$M$2:$M$1501,$V284))</f>
        <v/>
      </c>
      <c r="J284" s="7">
        <f>IF($V284="","",I284*T284/100)</f>
        <v/>
      </c>
      <c r="K284" s="7">
        <f>IF($V284="","",SUMIFS('Per Line'!$V$2:$V$1501,'Per Line'!$D$2:$D$1501,$B284,'Per Line'!$AN$2:$AN$1501,1))</f>
        <v/>
      </c>
      <c r="L284">
        <f>IF($V284="","",Settings!$C$7)</f>
        <v/>
      </c>
      <c r="M284" s="7">
        <f>IF($V284="","",SUMIFS('Per Line'!$V$2:$V$1501,'Per Line'!$D$2:$D$1501,$B284,'Per Line'!$AM$2:$AM$1501,0,'Per Line'!$AN$2:$AN$1501,0))</f>
        <v/>
      </c>
      <c r="N284" s="7">
        <f>IF($V284="","",M284*L284)</f>
        <v/>
      </c>
      <c r="O284">
        <f>IF($V284="","",Settings!$C$6)</f>
        <v/>
      </c>
      <c r="P284" s="7">
        <f>IF($V284="","",SUMIFS('Per Line'!$V$2:$V$1501,'Per Line'!$D$2:$D$1501,$B284,'Per Line'!$AM$2:$AM$1501,1,'Per Line'!$AN$2:$AN$1501,0))</f>
        <v/>
      </c>
      <c r="Q284" s="7">
        <f>IF($V284="","",P284*O284)</f>
        <v/>
      </c>
      <c r="R284" s="7">
        <f>IF($V284="","",Q284+N284)</f>
        <v/>
      </c>
      <c r="S284" s="7">
        <f>IF($V284="","",T284-R284)</f>
        <v/>
      </c>
      <c r="T284" s="7">
        <f>IF($V284="","",M284+P284+K284)</f>
        <v/>
      </c>
      <c r="U284" s="7">
        <f>IF($V284="","",T284-R284-J284)</f>
        <v/>
      </c>
      <c r="V284" s="13">
        <f>IF(ROWS($V$2:$V284)&lt;=MAX('Per Line'!$AL$2:$AL$1501),MATCH(ROWS($V$2:$V284),'Per Line'!$AL$2:$AL$1501,0),"")</f>
        <v/>
      </c>
    </row>
    <row r="285">
      <c r="A285" s="12" t="n"/>
      <c r="B285">
        <f>IF($V285="","",INDEX('Per Line'!$D$2:$D$1501,$V285)&amp;"")</f>
        <v/>
      </c>
      <c r="C285">
        <f>IF($V285="","",INDEX('Per Line'!$A$2:$A$1501,$V285))</f>
        <v/>
      </c>
      <c r="D285">
        <f>IF($V285="","",INDEX('Per Line'!$Z$2:$Z$1501,$V285)&amp;"")</f>
        <v/>
      </c>
      <c r="E285" s="11">
        <f>IF($V285="","",INDEX('Per Line'!$F$2:$F$1501,$V285))</f>
        <v/>
      </c>
      <c r="F285">
        <f>IF($V285="","",INDEX('Per Line'!$I$2:$I$1501,$V285)&amp;"")</f>
        <v/>
      </c>
      <c r="G285">
        <f>IF($V285="","",INDEX('Per Line'!$J$2:$J$1501,$V285)&amp;"")</f>
        <v/>
      </c>
      <c r="H285">
        <f>IF($V285="","",INDEX('Per Line'!$K$2:$K$1501,$V285)&amp;"")</f>
        <v/>
      </c>
      <c r="I285">
        <f>IF($V285="","",INDEX('Per Line'!$M$2:$M$1501,$V285))</f>
        <v/>
      </c>
      <c r="J285" s="7">
        <f>IF($V285="","",I285*T285/100)</f>
        <v/>
      </c>
      <c r="K285" s="7">
        <f>IF($V285="","",SUMIFS('Per Line'!$V$2:$V$1501,'Per Line'!$D$2:$D$1501,$B285,'Per Line'!$AN$2:$AN$1501,1))</f>
        <v/>
      </c>
      <c r="L285">
        <f>IF($V285="","",Settings!$C$7)</f>
        <v/>
      </c>
      <c r="M285" s="7">
        <f>IF($V285="","",SUMIFS('Per Line'!$V$2:$V$1501,'Per Line'!$D$2:$D$1501,$B285,'Per Line'!$AM$2:$AM$1501,0,'Per Line'!$AN$2:$AN$1501,0))</f>
        <v/>
      </c>
      <c r="N285" s="7">
        <f>IF($V285="","",M285*L285)</f>
        <v/>
      </c>
      <c r="O285">
        <f>IF($V285="","",Settings!$C$6)</f>
        <v/>
      </c>
      <c r="P285" s="7">
        <f>IF($V285="","",SUMIFS('Per Line'!$V$2:$V$1501,'Per Line'!$D$2:$D$1501,$B285,'Per Line'!$AM$2:$AM$1501,1,'Per Line'!$AN$2:$AN$1501,0))</f>
        <v/>
      </c>
      <c r="Q285" s="7">
        <f>IF($V285="","",P285*O285)</f>
        <v/>
      </c>
      <c r="R285" s="7">
        <f>IF($V285="","",Q285+N285)</f>
        <v/>
      </c>
      <c r="S285" s="7">
        <f>IF($V285="","",T285-R285)</f>
        <v/>
      </c>
      <c r="T285" s="7">
        <f>IF($V285="","",M285+P285+K285)</f>
        <v/>
      </c>
      <c r="U285" s="7">
        <f>IF($V285="","",T285-R285-J285)</f>
        <v/>
      </c>
      <c r="V285" s="13">
        <f>IF(ROWS($V$2:$V285)&lt;=MAX('Per Line'!$AL$2:$AL$1501),MATCH(ROWS($V$2:$V285),'Per Line'!$AL$2:$AL$1501,0),"")</f>
        <v/>
      </c>
    </row>
    <row r="286">
      <c r="A286" s="12" t="n"/>
      <c r="B286">
        <f>IF($V286="","",INDEX('Per Line'!$D$2:$D$1501,$V286)&amp;"")</f>
        <v/>
      </c>
      <c r="C286">
        <f>IF($V286="","",INDEX('Per Line'!$A$2:$A$1501,$V286))</f>
        <v/>
      </c>
      <c r="D286">
        <f>IF($V286="","",INDEX('Per Line'!$Z$2:$Z$1501,$V286)&amp;"")</f>
        <v/>
      </c>
      <c r="E286" s="11">
        <f>IF($V286="","",INDEX('Per Line'!$F$2:$F$1501,$V286))</f>
        <v/>
      </c>
      <c r="F286">
        <f>IF($V286="","",INDEX('Per Line'!$I$2:$I$1501,$V286)&amp;"")</f>
        <v/>
      </c>
      <c r="G286">
        <f>IF($V286="","",INDEX('Per Line'!$J$2:$J$1501,$V286)&amp;"")</f>
        <v/>
      </c>
      <c r="H286">
        <f>IF($V286="","",INDEX('Per Line'!$K$2:$K$1501,$V286)&amp;"")</f>
        <v/>
      </c>
      <c r="I286">
        <f>IF($V286="","",INDEX('Per Line'!$M$2:$M$1501,$V286))</f>
        <v/>
      </c>
      <c r="J286" s="7">
        <f>IF($V286="","",I286*T286/100)</f>
        <v/>
      </c>
      <c r="K286" s="7">
        <f>IF($V286="","",SUMIFS('Per Line'!$V$2:$V$1501,'Per Line'!$D$2:$D$1501,$B286,'Per Line'!$AN$2:$AN$1501,1))</f>
        <v/>
      </c>
      <c r="L286">
        <f>IF($V286="","",Settings!$C$7)</f>
        <v/>
      </c>
      <c r="M286" s="7">
        <f>IF($V286="","",SUMIFS('Per Line'!$V$2:$V$1501,'Per Line'!$D$2:$D$1501,$B286,'Per Line'!$AM$2:$AM$1501,0,'Per Line'!$AN$2:$AN$1501,0))</f>
        <v/>
      </c>
      <c r="N286" s="7">
        <f>IF($V286="","",M286*L286)</f>
        <v/>
      </c>
      <c r="O286">
        <f>IF($V286="","",Settings!$C$6)</f>
        <v/>
      </c>
      <c r="P286" s="7">
        <f>IF($V286="","",SUMIFS('Per Line'!$V$2:$V$1501,'Per Line'!$D$2:$D$1501,$B286,'Per Line'!$AM$2:$AM$1501,1,'Per Line'!$AN$2:$AN$1501,0))</f>
        <v/>
      </c>
      <c r="Q286" s="7">
        <f>IF($V286="","",P286*O286)</f>
        <v/>
      </c>
      <c r="R286" s="7">
        <f>IF($V286="","",Q286+N286)</f>
        <v/>
      </c>
      <c r="S286" s="7">
        <f>IF($V286="","",T286-R286)</f>
        <v/>
      </c>
      <c r="T286" s="7">
        <f>IF($V286="","",M286+P286+K286)</f>
        <v/>
      </c>
      <c r="U286" s="7">
        <f>IF($V286="","",T286-R286-J286)</f>
        <v/>
      </c>
      <c r="V286" s="13">
        <f>IF(ROWS($V$2:$V286)&lt;=MAX('Per Line'!$AL$2:$AL$1501),MATCH(ROWS($V$2:$V286),'Per Line'!$AL$2:$AL$1501,0),"")</f>
        <v/>
      </c>
    </row>
    <row r="287">
      <c r="A287" s="12" t="n"/>
      <c r="B287">
        <f>IF($V287="","",INDEX('Per Line'!$D$2:$D$1501,$V287)&amp;"")</f>
        <v/>
      </c>
      <c r="C287">
        <f>IF($V287="","",INDEX('Per Line'!$A$2:$A$1501,$V287))</f>
        <v/>
      </c>
      <c r="D287">
        <f>IF($V287="","",INDEX('Per Line'!$Z$2:$Z$1501,$V287)&amp;"")</f>
        <v/>
      </c>
      <c r="E287" s="11">
        <f>IF($V287="","",INDEX('Per Line'!$F$2:$F$1501,$V287))</f>
        <v/>
      </c>
      <c r="F287">
        <f>IF($V287="","",INDEX('Per Line'!$I$2:$I$1501,$V287)&amp;"")</f>
        <v/>
      </c>
      <c r="G287">
        <f>IF($V287="","",INDEX('Per Line'!$J$2:$J$1501,$V287)&amp;"")</f>
        <v/>
      </c>
      <c r="H287">
        <f>IF($V287="","",INDEX('Per Line'!$K$2:$K$1501,$V287)&amp;"")</f>
        <v/>
      </c>
      <c r="I287">
        <f>IF($V287="","",INDEX('Per Line'!$M$2:$M$1501,$V287))</f>
        <v/>
      </c>
      <c r="J287" s="7">
        <f>IF($V287="","",I287*T287/100)</f>
        <v/>
      </c>
      <c r="K287" s="7">
        <f>IF($V287="","",SUMIFS('Per Line'!$V$2:$V$1501,'Per Line'!$D$2:$D$1501,$B287,'Per Line'!$AN$2:$AN$1501,1))</f>
        <v/>
      </c>
      <c r="L287">
        <f>IF($V287="","",Settings!$C$7)</f>
        <v/>
      </c>
      <c r="M287" s="7">
        <f>IF($V287="","",SUMIFS('Per Line'!$V$2:$V$1501,'Per Line'!$D$2:$D$1501,$B287,'Per Line'!$AM$2:$AM$1501,0,'Per Line'!$AN$2:$AN$1501,0))</f>
        <v/>
      </c>
      <c r="N287" s="7">
        <f>IF($V287="","",M287*L287)</f>
        <v/>
      </c>
      <c r="O287">
        <f>IF($V287="","",Settings!$C$6)</f>
        <v/>
      </c>
      <c r="P287" s="7">
        <f>IF($V287="","",SUMIFS('Per Line'!$V$2:$V$1501,'Per Line'!$D$2:$D$1501,$B287,'Per Line'!$AM$2:$AM$1501,1,'Per Line'!$AN$2:$AN$1501,0))</f>
        <v/>
      </c>
      <c r="Q287" s="7">
        <f>IF($V287="","",P287*O287)</f>
        <v/>
      </c>
      <c r="R287" s="7">
        <f>IF($V287="","",Q287+N287)</f>
        <v/>
      </c>
      <c r="S287" s="7">
        <f>IF($V287="","",T287-R287)</f>
        <v/>
      </c>
      <c r="T287" s="7">
        <f>IF($V287="","",M287+P287+K287)</f>
        <v/>
      </c>
      <c r="U287" s="7">
        <f>IF($V287="","",T287-R287-J287)</f>
        <v/>
      </c>
      <c r="V287" s="13">
        <f>IF(ROWS($V$2:$V287)&lt;=MAX('Per Line'!$AL$2:$AL$1501),MATCH(ROWS($V$2:$V287),'Per Line'!$AL$2:$AL$1501,0),"")</f>
        <v/>
      </c>
    </row>
    <row r="288">
      <c r="A288" s="12" t="n"/>
      <c r="B288">
        <f>IF($V288="","",INDEX('Per Line'!$D$2:$D$1501,$V288)&amp;"")</f>
        <v/>
      </c>
      <c r="C288">
        <f>IF($V288="","",INDEX('Per Line'!$A$2:$A$1501,$V288))</f>
        <v/>
      </c>
      <c r="D288">
        <f>IF($V288="","",INDEX('Per Line'!$Z$2:$Z$1501,$V288)&amp;"")</f>
        <v/>
      </c>
      <c r="E288" s="11">
        <f>IF($V288="","",INDEX('Per Line'!$F$2:$F$1501,$V288))</f>
        <v/>
      </c>
      <c r="F288">
        <f>IF($V288="","",INDEX('Per Line'!$I$2:$I$1501,$V288)&amp;"")</f>
        <v/>
      </c>
      <c r="G288">
        <f>IF($V288="","",INDEX('Per Line'!$J$2:$J$1501,$V288)&amp;"")</f>
        <v/>
      </c>
      <c r="H288">
        <f>IF($V288="","",INDEX('Per Line'!$K$2:$K$1501,$V288)&amp;"")</f>
        <v/>
      </c>
      <c r="I288">
        <f>IF($V288="","",INDEX('Per Line'!$M$2:$M$1501,$V288))</f>
        <v/>
      </c>
      <c r="J288" s="7">
        <f>IF($V288="","",I288*T288/100)</f>
        <v/>
      </c>
      <c r="K288" s="7">
        <f>IF($V288="","",SUMIFS('Per Line'!$V$2:$V$1501,'Per Line'!$D$2:$D$1501,$B288,'Per Line'!$AN$2:$AN$1501,1))</f>
        <v/>
      </c>
      <c r="L288">
        <f>IF($V288="","",Settings!$C$7)</f>
        <v/>
      </c>
      <c r="M288" s="7">
        <f>IF($V288="","",SUMIFS('Per Line'!$V$2:$V$1501,'Per Line'!$D$2:$D$1501,$B288,'Per Line'!$AM$2:$AM$1501,0,'Per Line'!$AN$2:$AN$1501,0))</f>
        <v/>
      </c>
      <c r="N288" s="7">
        <f>IF($V288="","",M288*L288)</f>
        <v/>
      </c>
      <c r="O288">
        <f>IF($V288="","",Settings!$C$6)</f>
        <v/>
      </c>
      <c r="P288" s="7">
        <f>IF($V288="","",SUMIFS('Per Line'!$V$2:$V$1501,'Per Line'!$D$2:$D$1501,$B288,'Per Line'!$AM$2:$AM$1501,1,'Per Line'!$AN$2:$AN$1501,0))</f>
        <v/>
      </c>
      <c r="Q288" s="7">
        <f>IF($V288="","",P288*O288)</f>
        <v/>
      </c>
      <c r="R288" s="7">
        <f>IF($V288="","",Q288+N288)</f>
        <v/>
      </c>
      <c r="S288" s="7">
        <f>IF($V288="","",T288-R288)</f>
        <v/>
      </c>
      <c r="T288" s="7">
        <f>IF($V288="","",M288+P288+K288)</f>
        <v/>
      </c>
      <c r="U288" s="7">
        <f>IF($V288="","",T288-R288-J288)</f>
        <v/>
      </c>
      <c r="V288" s="13">
        <f>IF(ROWS($V$2:$V288)&lt;=MAX('Per Line'!$AL$2:$AL$1501),MATCH(ROWS($V$2:$V288),'Per Line'!$AL$2:$AL$1501,0),"")</f>
        <v/>
      </c>
    </row>
    <row r="289">
      <c r="A289" s="12" t="n"/>
      <c r="B289">
        <f>IF($V289="","",INDEX('Per Line'!$D$2:$D$1501,$V289)&amp;"")</f>
        <v/>
      </c>
      <c r="C289">
        <f>IF($V289="","",INDEX('Per Line'!$A$2:$A$1501,$V289))</f>
        <v/>
      </c>
      <c r="D289">
        <f>IF($V289="","",INDEX('Per Line'!$Z$2:$Z$1501,$V289)&amp;"")</f>
        <v/>
      </c>
      <c r="E289" s="11">
        <f>IF($V289="","",INDEX('Per Line'!$F$2:$F$1501,$V289))</f>
        <v/>
      </c>
      <c r="F289">
        <f>IF($V289="","",INDEX('Per Line'!$I$2:$I$1501,$V289)&amp;"")</f>
        <v/>
      </c>
      <c r="G289">
        <f>IF($V289="","",INDEX('Per Line'!$J$2:$J$1501,$V289)&amp;"")</f>
        <v/>
      </c>
      <c r="H289">
        <f>IF($V289="","",INDEX('Per Line'!$K$2:$K$1501,$V289)&amp;"")</f>
        <v/>
      </c>
      <c r="I289">
        <f>IF($V289="","",INDEX('Per Line'!$M$2:$M$1501,$V289))</f>
        <v/>
      </c>
      <c r="J289" s="7">
        <f>IF($V289="","",I289*T289/100)</f>
        <v/>
      </c>
      <c r="K289" s="7">
        <f>IF($V289="","",SUMIFS('Per Line'!$V$2:$V$1501,'Per Line'!$D$2:$D$1501,$B289,'Per Line'!$AN$2:$AN$1501,1))</f>
        <v/>
      </c>
      <c r="L289">
        <f>IF($V289="","",Settings!$C$7)</f>
        <v/>
      </c>
      <c r="M289" s="7">
        <f>IF($V289="","",SUMIFS('Per Line'!$V$2:$V$1501,'Per Line'!$D$2:$D$1501,$B289,'Per Line'!$AM$2:$AM$1501,0,'Per Line'!$AN$2:$AN$1501,0))</f>
        <v/>
      </c>
      <c r="N289" s="7">
        <f>IF($V289="","",M289*L289)</f>
        <v/>
      </c>
      <c r="O289">
        <f>IF($V289="","",Settings!$C$6)</f>
        <v/>
      </c>
      <c r="P289" s="7">
        <f>IF($V289="","",SUMIFS('Per Line'!$V$2:$V$1501,'Per Line'!$D$2:$D$1501,$B289,'Per Line'!$AM$2:$AM$1501,1,'Per Line'!$AN$2:$AN$1501,0))</f>
        <v/>
      </c>
      <c r="Q289" s="7">
        <f>IF($V289="","",P289*O289)</f>
        <v/>
      </c>
      <c r="R289" s="7">
        <f>IF($V289="","",Q289+N289)</f>
        <v/>
      </c>
      <c r="S289" s="7">
        <f>IF($V289="","",T289-R289)</f>
        <v/>
      </c>
      <c r="T289" s="7">
        <f>IF($V289="","",M289+P289+K289)</f>
        <v/>
      </c>
      <c r="U289" s="7">
        <f>IF($V289="","",T289-R289-J289)</f>
        <v/>
      </c>
      <c r="V289" s="13">
        <f>IF(ROWS($V$2:$V289)&lt;=MAX('Per Line'!$AL$2:$AL$1501),MATCH(ROWS($V$2:$V289),'Per Line'!$AL$2:$AL$1501,0),"")</f>
        <v/>
      </c>
    </row>
    <row r="290">
      <c r="A290" s="12" t="n"/>
      <c r="B290">
        <f>IF($V290="","",INDEX('Per Line'!$D$2:$D$1501,$V290)&amp;"")</f>
        <v/>
      </c>
      <c r="C290">
        <f>IF($V290="","",INDEX('Per Line'!$A$2:$A$1501,$V290))</f>
        <v/>
      </c>
      <c r="D290">
        <f>IF($V290="","",INDEX('Per Line'!$Z$2:$Z$1501,$V290)&amp;"")</f>
        <v/>
      </c>
      <c r="E290" s="11">
        <f>IF($V290="","",INDEX('Per Line'!$F$2:$F$1501,$V290))</f>
        <v/>
      </c>
      <c r="F290">
        <f>IF($V290="","",INDEX('Per Line'!$I$2:$I$1501,$V290)&amp;"")</f>
        <v/>
      </c>
      <c r="G290">
        <f>IF($V290="","",INDEX('Per Line'!$J$2:$J$1501,$V290)&amp;"")</f>
        <v/>
      </c>
      <c r="H290">
        <f>IF($V290="","",INDEX('Per Line'!$K$2:$K$1501,$V290)&amp;"")</f>
        <v/>
      </c>
      <c r="I290">
        <f>IF($V290="","",INDEX('Per Line'!$M$2:$M$1501,$V290))</f>
        <v/>
      </c>
      <c r="J290" s="7">
        <f>IF($V290="","",I290*T290/100)</f>
        <v/>
      </c>
      <c r="K290" s="7">
        <f>IF($V290="","",SUMIFS('Per Line'!$V$2:$V$1501,'Per Line'!$D$2:$D$1501,$B290,'Per Line'!$AN$2:$AN$1501,1))</f>
        <v/>
      </c>
      <c r="L290">
        <f>IF($V290="","",Settings!$C$7)</f>
        <v/>
      </c>
      <c r="M290" s="7">
        <f>IF($V290="","",SUMIFS('Per Line'!$V$2:$V$1501,'Per Line'!$D$2:$D$1501,$B290,'Per Line'!$AM$2:$AM$1501,0,'Per Line'!$AN$2:$AN$1501,0))</f>
        <v/>
      </c>
      <c r="N290" s="7">
        <f>IF($V290="","",M290*L290)</f>
        <v/>
      </c>
      <c r="O290">
        <f>IF($V290="","",Settings!$C$6)</f>
        <v/>
      </c>
      <c r="P290" s="7">
        <f>IF($V290="","",SUMIFS('Per Line'!$V$2:$V$1501,'Per Line'!$D$2:$D$1501,$B290,'Per Line'!$AM$2:$AM$1501,1,'Per Line'!$AN$2:$AN$1501,0))</f>
        <v/>
      </c>
      <c r="Q290" s="7">
        <f>IF($V290="","",P290*O290)</f>
        <v/>
      </c>
      <c r="R290" s="7">
        <f>IF($V290="","",Q290+N290)</f>
        <v/>
      </c>
      <c r="S290" s="7">
        <f>IF($V290="","",T290-R290)</f>
        <v/>
      </c>
      <c r="T290" s="7">
        <f>IF($V290="","",M290+P290+K290)</f>
        <v/>
      </c>
      <c r="U290" s="7">
        <f>IF($V290="","",T290-R290-J290)</f>
        <v/>
      </c>
      <c r="V290" s="13">
        <f>IF(ROWS($V$2:$V290)&lt;=MAX('Per Line'!$AL$2:$AL$1501),MATCH(ROWS($V$2:$V290),'Per Line'!$AL$2:$AL$1501,0),"")</f>
        <v/>
      </c>
    </row>
    <row r="291">
      <c r="A291" s="12" t="n"/>
      <c r="B291">
        <f>IF($V291="","",INDEX('Per Line'!$D$2:$D$1501,$V291)&amp;"")</f>
        <v/>
      </c>
      <c r="C291">
        <f>IF($V291="","",INDEX('Per Line'!$A$2:$A$1501,$V291))</f>
        <v/>
      </c>
      <c r="D291">
        <f>IF($V291="","",INDEX('Per Line'!$Z$2:$Z$1501,$V291)&amp;"")</f>
        <v/>
      </c>
      <c r="E291" s="11">
        <f>IF($V291="","",INDEX('Per Line'!$F$2:$F$1501,$V291))</f>
        <v/>
      </c>
      <c r="F291">
        <f>IF($V291="","",INDEX('Per Line'!$I$2:$I$1501,$V291)&amp;"")</f>
        <v/>
      </c>
      <c r="G291">
        <f>IF($V291="","",INDEX('Per Line'!$J$2:$J$1501,$V291)&amp;"")</f>
        <v/>
      </c>
      <c r="H291">
        <f>IF($V291="","",INDEX('Per Line'!$K$2:$K$1501,$V291)&amp;"")</f>
        <v/>
      </c>
      <c r="I291">
        <f>IF($V291="","",INDEX('Per Line'!$M$2:$M$1501,$V291))</f>
        <v/>
      </c>
      <c r="J291" s="7">
        <f>IF($V291="","",I291*T291/100)</f>
        <v/>
      </c>
      <c r="K291" s="7">
        <f>IF($V291="","",SUMIFS('Per Line'!$V$2:$V$1501,'Per Line'!$D$2:$D$1501,$B291,'Per Line'!$AN$2:$AN$1501,1))</f>
        <v/>
      </c>
      <c r="L291">
        <f>IF($V291="","",Settings!$C$7)</f>
        <v/>
      </c>
      <c r="M291" s="7">
        <f>IF($V291="","",SUMIFS('Per Line'!$V$2:$V$1501,'Per Line'!$D$2:$D$1501,$B291,'Per Line'!$AM$2:$AM$1501,0,'Per Line'!$AN$2:$AN$1501,0))</f>
        <v/>
      </c>
      <c r="N291" s="7">
        <f>IF($V291="","",M291*L291)</f>
        <v/>
      </c>
      <c r="O291">
        <f>IF($V291="","",Settings!$C$6)</f>
        <v/>
      </c>
      <c r="P291" s="7">
        <f>IF($V291="","",SUMIFS('Per Line'!$V$2:$V$1501,'Per Line'!$D$2:$D$1501,$B291,'Per Line'!$AM$2:$AM$1501,1,'Per Line'!$AN$2:$AN$1501,0))</f>
        <v/>
      </c>
      <c r="Q291" s="7">
        <f>IF($V291="","",P291*O291)</f>
        <v/>
      </c>
      <c r="R291" s="7">
        <f>IF($V291="","",Q291+N291)</f>
        <v/>
      </c>
      <c r="S291" s="7">
        <f>IF($V291="","",T291-R291)</f>
        <v/>
      </c>
      <c r="T291" s="7">
        <f>IF($V291="","",M291+P291+K291)</f>
        <v/>
      </c>
      <c r="U291" s="7">
        <f>IF($V291="","",T291-R291-J291)</f>
        <v/>
      </c>
      <c r="V291" s="13">
        <f>IF(ROWS($V$2:$V291)&lt;=MAX('Per Line'!$AL$2:$AL$1501),MATCH(ROWS($V$2:$V291),'Per Line'!$AL$2:$AL$1501,0),"")</f>
        <v/>
      </c>
    </row>
    <row r="292">
      <c r="A292" s="12" t="n"/>
      <c r="B292">
        <f>IF($V292="","",INDEX('Per Line'!$D$2:$D$1501,$V292)&amp;"")</f>
        <v/>
      </c>
      <c r="C292">
        <f>IF($V292="","",INDEX('Per Line'!$A$2:$A$1501,$V292))</f>
        <v/>
      </c>
      <c r="D292">
        <f>IF($V292="","",INDEX('Per Line'!$Z$2:$Z$1501,$V292)&amp;"")</f>
        <v/>
      </c>
      <c r="E292" s="11">
        <f>IF($V292="","",INDEX('Per Line'!$F$2:$F$1501,$V292))</f>
        <v/>
      </c>
      <c r="F292">
        <f>IF($V292="","",INDEX('Per Line'!$I$2:$I$1501,$V292)&amp;"")</f>
        <v/>
      </c>
      <c r="G292">
        <f>IF($V292="","",INDEX('Per Line'!$J$2:$J$1501,$V292)&amp;"")</f>
        <v/>
      </c>
      <c r="H292">
        <f>IF($V292="","",INDEX('Per Line'!$K$2:$K$1501,$V292)&amp;"")</f>
        <v/>
      </c>
      <c r="I292">
        <f>IF($V292="","",INDEX('Per Line'!$M$2:$M$1501,$V292))</f>
        <v/>
      </c>
      <c r="J292" s="7">
        <f>IF($V292="","",I292*T292/100)</f>
        <v/>
      </c>
      <c r="K292" s="7">
        <f>IF($V292="","",SUMIFS('Per Line'!$V$2:$V$1501,'Per Line'!$D$2:$D$1501,$B292,'Per Line'!$AN$2:$AN$1501,1))</f>
        <v/>
      </c>
      <c r="L292">
        <f>IF($V292="","",Settings!$C$7)</f>
        <v/>
      </c>
      <c r="M292" s="7">
        <f>IF($V292="","",SUMIFS('Per Line'!$V$2:$V$1501,'Per Line'!$D$2:$D$1501,$B292,'Per Line'!$AM$2:$AM$1501,0,'Per Line'!$AN$2:$AN$1501,0))</f>
        <v/>
      </c>
      <c r="N292" s="7">
        <f>IF($V292="","",M292*L292)</f>
        <v/>
      </c>
      <c r="O292">
        <f>IF($V292="","",Settings!$C$6)</f>
        <v/>
      </c>
      <c r="P292" s="7">
        <f>IF($V292="","",SUMIFS('Per Line'!$V$2:$V$1501,'Per Line'!$D$2:$D$1501,$B292,'Per Line'!$AM$2:$AM$1501,1,'Per Line'!$AN$2:$AN$1501,0))</f>
        <v/>
      </c>
      <c r="Q292" s="7">
        <f>IF($V292="","",P292*O292)</f>
        <v/>
      </c>
      <c r="R292" s="7">
        <f>IF($V292="","",Q292+N292)</f>
        <v/>
      </c>
      <c r="S292" s="7">
        <f>IF($V292="","",T292-R292)</f>
        <v/>
      </c>
      <c r="T292" s="7">
        <f>IF($V292="","",M292+P292+K292)</f>
        <v/>
      </c>
      <c r="U292" s="7">
        <f>IF($V292="","",T292-R292-J292)</f>
        <v/>
      </c>
      <c r="V292" s="13">
        <f>IF(ROWS($V$2:$V292)&lt;=MAX('Per Line'!$AL$2:$AL$1501),MATCH(ROWS($V$2:$V292),'Per Line'!$AL$2:$AL$1501,0),"")</f>
        <v/>
      </c>
    </row>
    <row r="293">
      <c r="A293" s="12" t="n"/>
      <c r="B293">
        <f>IF($V293="","",INDEX('Per Line'!$D$2:$D$1501,$V293)&amp;"")</f>
        <v/>
      </c>
      <c r="C293">
        <f>IF($V293="","",INDEX('Per Line'!$A$2:$A$1501,$V293))</f>
        <v/>
      </c>
      <c r="D293">
        <f>IF($V293="","",INDEX('Per Line'!$Z$2:$Z$1501,$V293)&amp;"")</f>
        <v/>
      </c>
      <c r="E293" s="11">
        <f>IF($V293="","",INDEX('Per Line'!$F$2:$F$1501,$V293))</f>
        <v/>
      </c>
      <c r="F293">
        <f>IF($V293="","",INDEX('Per Line'!$I$2:$I$1501,$V293)&amp;"")</f>
        <v/>
      </c>
      <c r="G293">
        <f>IF($V293="","",INDEX('Per Line'!$J$2:$J$1501,$V293)&amp;"")</f>
        <v/>
      </c>
      <c r="H293">
        <f>IF($V293="","",INDEX('Per Line'!$K$2:$K$1501,$V293)&amp;"")</f>
        <v/>
      </c>
      <c r="I293">
        <f>IF($V293="","",INDEX('Per Line'!$M$2:$M$1501,$V293))</f>
        <v/>
      </c>
      <c r="J293" s="7">
        <f>IF($V293="","",I293*T293/100)</f>
        <v/>
      </c>
      <c r="K293" s="7">
        <f>IF($V293="","",SUMIFS('Per Line'!$V$2:$V$1501,'Per Line'!$D$2:$D$1501,$B293,'Per Line'!$AN$2:$AN$1501,1))</f>
        <v/>
      </c>
      <c r="L293">
        <f>IF($V293="","",Settings!$C$7)</f>
        <v/>
      </c>
      <c r="M293" s="7">
        <f>IF($V293="","",SUMIFS('Per Line'!$V$2:$V$1501,'Per Line'!$D$2:$D$1501,$B293,'Per Line'!$AM$2:$AM$1501,0,'Per Line'!$AN$2:$AN$1501,0))</f>
        <v/>
      </c>
      <c r="N293" s="7">
        <f>IF($V293="","",M293*L293)</f>
        <v/>
      </c>
      <c r="O293">
        <f>IF($V293="","",Settings!$C$6)</f>
        <v/>
      </c>
      <c r="P293" s="7">
        <f>IF($V293="","",SUMIFS('Per Line'!$V$2:$V$1501,'Per Line'!$D$2:$D$1501,$B293,'Per Line'!$AM$2:$AM$1501,1,'Per Line'!$AN$2:$AN$1501,0))</f>
        <v/>
      </c>
      <c r="Q293" s="7">
        <f>IF($V293="","",P293*O293)</f>
        <v/>
      </c>
      <c r="R293" s="7">
        <f>IF($V293="","",Q293+N293)</f>
        <v/>
      </c>
      <c r="S293" s="7">
        <f>IF($V293="","",T293-R293)</f>
        <v/>
      </c>
      <c r="T293" s="7">
        <f>IF($V293="","",M293+P293+K293)</f>
        <v/>
      </c>
      <c r="U293" s="7">
        <f>IF($V293="","",T293-R293-J293)</f>
        <v/>
      </c>
      <c r="V293" s="13">
        <f>IF(ROWS($V$2:$V293)&lt;=MAX('Per Line'!$AL$2:$AL$1501),MATCH(ROWS($V$2:$V293),'Per Line'!$AL$2:$AL$1501,0),"")</f>
        <v/>
      </c>
    </row>
    <row r="294">
      <c r="A294" s="12" t="n"/>
      <c r="B294">
        <f>IF($V294="","",INDEX('Per Line'!$D$2:$D$1501,$V294)&amp;"")</f>
        <v/>
      </c>
      <c r="C294">
        <f>IF($V294="","",INDEX('Per Line'!$A$2:$A$1501,$V294))</f>
        <v/>
      </c>
      <c r="D294">
        <f>IF($V294="","",INDEX('Per Line'!$Z$2:$Z$1501,$V294)&amp;"")</f>
        <v/>
      </c>
      <c r="E294" s="11">
        <f>IF($V294="","",INDEX('Per Line'!$F$2:$F$1501,$V294))</f>
        <v/>
      </c>
      <c r="F294">
        <f>IF($V294="","",INDEX('Per Line'!$I$2:$I$1501,$V294)&amp;"")</f>
        <v/>
      </c>
      <c r="G294">
        <f>IF($V294="","",INDEX('Per Line'!$J$2:$J$1501,$V294)&amp;"")</f>
        <v/>
      </c>
      <c r="H294">
        <f>IF($V294="","",INDEX('Per Line'!$K$2:$K$1501,$V294)&amp;"")</f>
        <v/>
      </c>
      <c r="I294">
        <f>IF($V294="","",INDEX('Per Line'!$M$2:$M$1501,$V294))</f>
        <v/>
      </c>
      <c r="J294" s="7">
        <f>IF($V294="","",I294*T294/100)</f>
        <v/>
      </c>
      <c r="K294" s="7">
        <f>IF($V294="","",SUMIFS('Per Line'!$V$2:$V$1501,'Per Line'!$D$2:$D$1501,$B294,'Per Line'!$AN$2:$AN$1501,1))</f>
        <v/>
      </c>
      <c r="L294">
        <f>IF($V294="","",Settings!$C$7)</f>
        <v/>
      </c>
      <c r="M294" s="7">
        <f>IF($V294="","",SUMIFS('Per Line'!$V$2:$V$1501,'Per Line'!$D$2:$D$1501,$B294,'Per Line'!$AM$2:$AM$1501,0,'Per Line'!$AN$2:$AN$1501,0))</f>
        <v/>
      </c>
      <c r="N294" s="7">
        <f>IF($V294="","",M294*L294)</f>
        <v/>
      </c>
      <c r="O294">
        <f>IF($V294="","",Settings!$C$6)</f>
        <v/>
      </c>
      <c r="P294" s="7">
        <f>IF($V294="","",SUMIFS('Per Line'!$V$2:$V$1501,'Per Line'!$D$2:$D$1501,$B294,'Per Line'!$AM$2:$AM$1501,1,'Per Line'!$AN$2:$AN$1501,0))</f>
        <v/>
      </c>
      <c r="Q294" s="7">
        <f>IF($V294="","",P294*O294)</f>
        <v/>
      </c>
      <c r="R294" s="7">
        <f>IF($V294="","",Q294+N294)</f>
        <v/>
      </c>
      <c r="S294" s="7">
        <f>IF($V294="","",T294-R294)</f>
        <v/>
      </c>
      <c r="T294" s="7">
        <f>IF($V294="","",M294+P294+K294)</f>
        <v/>
      </c>
      <c r="U294" s="7">
        <f>IF($V294="","",T294-R294-J294)</f>
        <v/>
      </c>
      <c r="V294" s="13">
        <f>IF(ROWS($V$2:$V294)&lt;=MAX('Per Line'!$AL$2:$AL$1501),MATCH(ROWS($V$2:$V294),'Per Line'!$AL$2:$AL$1501,0),"")</f>
        <v/>
      </c>
    </row>
    <row r="295">
      <c r="A295" s="12" t="n"/>
      <c r="B295">
        <f>IF($V295="","",INDEX('Per Line'!$D$2:$D$1501,$V295)&amp;"")</f>
        <v/>
      </c>
      <c r="C295">
        <f>IF($V295="","",INDEX('Per Line'!$A$2:$A$1501,$V295))</f>
        <v/>
      </c>
      <c r="D295">
        <f>IF($V295="","",INDEX('Per Line'!$Z$2:$Z$1501,$V295)&amp;"")</f>
        <v/>
      </c>
      <c r="E295" s="11">
        <f>IF($V295="","",INDEX('Per Line'!$F$2:$F$1501,$V295))</f>
        <v/>
      </c>
      <c r="F295">
        <f>IF($V295="","",INDEX('Per Line'!$I$2:$I$1501,$V295)&amp;"")</f>
        <v/>
      </c>
      <c r="G295">
        <f>IF($V295="","",INDEX('Per Line'!$J$2:$J$1501,$V295)&amp;"")</f>
        <v/>
      </c>
      <c r="H295">
        <f>IF($V295="","",INDEX('Per Line'!$K$2:$K$1501,$V295)&amp;"")</f>
        <v/>
      </c>
      <c r="I295">
        <f>IF($V295="","",INDEX('Per Line'!$M$2:$M$1501,$V295))</f>
        <v/>
      </c>
      <c r="J295" s="7">
        <f>IF($V295="","",I295*T295/100)</f>
        <v/>
      </c>
      <c r="K295" s="7">
        <f>IF($V295="","",SUMIFS('Per Line'!$V$2:$V$1501,'Per Line'!$D$2:$D$1501,$B295,'Per Line'!$AN$2:$AN$1501,1))</f>
        <v/>
      </c>
      <c r="L295">
        <f>IF($V295="","",Settings!$C$7)</f>
        <v/>
      </c>
      <c r="M295" s="7">
        <f>IF($V295="","",SUMIFS('Per Line'!$V$2:$V$1501,'Per Line'!$D$2:$D$1501,$B295,'Per Line'!$AM$2:$AM$1501,0,'Per Line'!$AN$2:$AN$1501,0))</f>
        <v/>
      </c>
      <c r="N295" s="7">
        <f>IF($V295="","",M295*L295)</f>
        <v/>
      </c>
      <c r="O295">
        <f>IF($V295="","",Settings!$C$6)</f>
        <v/>
      </c>
      <c r="P295" s="7">
        <f>IF($V295="","",SUMIFS('Per Line'!$V$2:$V$1501,'Per Line'!$D$2:$D$1501,$B295,'Per Line'!$AM$2:$AM$1501,1,'Per Line'!$AN$2:$AN$1501,0))</f>
        <v/>
      </c>
      <c r="Q295" s="7">
        <f>IF($V295="","",P295*O295)</f>
        <v/>
      </c>
      <c r="R295" s="7">
        <f>IF($V295="","",Q295+N295)</f>
        <v/>
      </c>
      <c r="S295" s="7">
        <f>IF($V295="","",T295-R295)</f>
        <v/>
      </c>
      <c r="T295" s="7">
        <f>IF($V295="","",M295+P295+K295)</f>
        <v/>
      </c>
      <c r="U295" s="7">
        <f>IF($V295="","",T295-R295-J295)</f>
        <v/>
      </c>
      <c r="V295" s="13">
        <f>IF(ROWS($V$2:$V295)&lt;=MAX('Per Line'!$AL$2:$AL$1501),MATCH(ROWS($V$2:$V295),'Per Line'!$AL$2:$AL$1501,0),"")</f>
        <v/>
      </c>
    </row>
    <row r="296">
      <c r="A296" s="12" t="n"/>
      <c r="B296">
        <f>IF($V296="","",INDEX('Per Line'!$D$2:$D$1501,$V296)&amp;"")</f>
        <v/>
      </c>
      <c r="C296">
        <f>IF($V296="","",INDEX('Per Line'!$A$2:$A$1501,$V296))</f>
        <v/>
      </c>
      <c r="D296">
        <f>IF($V296="","",INDEX('Per Line'!$Z$2:$Z$1501,$V296)&amp;"")</f>
        <v/>
      </c>
      <c r="E296" s="11">
        <f>IF($V296="","",INDEX('Per Line'!$F$2:$F$1501,$V296))</f>
        <v/>
      </c>
      <c r="F296">
        <f>IF($V296="","",INDEX('Per Line'!$I$2:$I$1501,$V296)&amp;"")</f>
        <v/>
      </c>
      <c r="G296">
        <f>IF($V296="","",INDEX('Per Line'!$J$2:$J$1501,$V296)&amp;"")</f>
        <v/>
      </c>
      <c r="H296">
        <f>IF($V296="","",INDEX('Per Line'!$K$2:$K$1501,$V296)&amp;"")</f>
        <v/>
      </c>
      <c r="I296">
        <f>IF($V296="","",INDEX('Per Line'!$M$2:$M$1501,$V296))</f>
        <v/>
      </c>
      <c r="J296" s="7">
        <f>IF($V296="","",I296*T296/100)</f>
        <v/>
      </c>
      <c r="K296" s="7">
        <f>IF($V296="","",SUMIFS('Per Line'!$V$2:$V$1501,'Per Line'!$D$2:$D$1501,$B296,'Per Line'!$AN$2:$AN$1501,1))</f>
        <v/>
      </c>
      <c r="L296">
        <f>IF($V296="","",Settings!$C$7)</f>
        <v/>
      </c>
      <c r="M296" s="7">
        <f>IF($V296="","",SUMIFS('Per Line'!$V$2:$V$1501,'Per Line'!$D$2:$D$1501,$B296,'Per Line'!$AM$2:$AM$1501,0,'Per Line'!$AN$2:$AN$1501,0))</f>
        <v/>
      </c>
      <c r="N296" s="7">
        <f>IF($V296="","",M296*L296)</f>
        <v/>
      </c>
      <c r="O296">
        <f>IF($V296="","",Settings!$C$6)</f>
        <v/>
      </c>
      <c r="P296" s="7">
        <f>IF($V296="","",SUMIFS('Per Line'!$V$2:$V$1501,'Per Line'!$D$2:$D$1501,$B296,'Per Line'!$AM$2:$AM$1501,1,'Per Line'!$AN$2:$AN$1501,0))</f>
        <v/>
      </c>
      <c r="Q296" s="7">
        <f>IF($V296="","",P296*O296)</f>
        <v/>
      </c>
      <c r="R296" s="7">
        <f>IF($V296="","",Q296+N296)</f>
        <v/>
      </c>
      <c r="S296" s="7">
        <f>IF($V296="","",T296-R296)</f>
        <v/>
      </c>
      <c r="T296" s="7">
        <f>IF($V296="","",M296+P296+K296)</f>
        <v/>
      </c>
      <c r="U296" s="7">
        <f>IF($V296="","",T296-R296-J296)</f>
        <v/>
      </c>
      <c r="V296" s="13">
        <f>IF(ROWS($V$2:$V296)&lt;=MAX('Per Line'!$AL$2:$AL$1501),MATCH(ROWS($V$2:$V296),'Per Line'!$AL$2:$AL$1501,0),"")</f>
        <v/>
      </c>
    </row>
    <row r="297">
      <c r="A297" s="12" t="n"/>
      <c r="B297">
        <f>IF($V297="","",INDEX('Per Line'!$D$2:$D$1501,$V297)&amp;"")</f>
        <v/>
      </c>
      <c r="C297">
        <f>IF($V297="","",INDEX('Per Line'!$A$2:$A$1501,$V297))</f>
        <v/>
      </c>
      <c r="D297">
        <f>IF($V297="","",INDEX('Per Line'!$Z$2:$Z$1501,$V297)&amp;"")</f>
        <v/>
      </c>
      <c r="E297" s="11">
        <f>IF($V297="","",INDEX('Per Line'!$F$2:$F$1501,$V297))</f>
        <v/>
      </c>
      <c r="F297">
        <f>IF($V297="","",INDEX('Per Line'!$I$2:$I$1501,$V297)&amp;"")</f>
        <v/>
      </c>
      <c r="G297">
        <f>IF($V297="","",INDEX('Per Line'!$J$2:$J$1501,$V297)&amp;"")</f>
        <v/>
      </c>
      <c r="H297">
        <f>IF($V297="","",INDEX('Per Line'!$K$2:$K$1501,$V297)&amp;"")</f>
        <v/>
      </c>
      <c r="I297">
        <f>IF($V297="","",INDEX('Per Line'!$M$2:$M$1501,$V297))</f>
        <v/>
      </c>
      <c r="J297" s="7">
        <f>IF($V297="","",I297*T297/100)</f>
        <v/>
      </c>
      <c r="K297" s="7">
        <f>IF($V297="","",SUMIFS('Per Line'!$V$2:$V$1501,'Per Line'!$D$2:$D$1501,$B297,'Per Line'!$AN$2:$AN$1501,1))</f>
        <v/>
      </c>
      <c r="L297">
        <f>IF($V297="","",Settings!$C$7)</f>
        <v/>
      </c>
      <c r="M297" s="7">
        <f>IF($V297="","",SUMIFS('Per Line'!$V$2:$V$1501,'Per Line'!$D$2:$D$1501,$B297,'Per Line'!$AM$2:$AM$1501,0,'Per Line'!$AN$2:$AN$1501,0))</f>
        <v/>
      </c>
      <c r="N297" s="7">
        <f>IF($V297="","",M297*L297)</f>
        <v/>
      </c>
      <c r="O297">
        <f>IF($V297="","",Settings!$C$6)</f>
        <v/>
      </c>
      <c r="P297" s="7">
        <f>IF($V297="","",SUMIFS('Per Line'!$V$2:$V$1501,'Per Line'!$D$2:$D$1501,$B297,'Per Line'!$AM$2:$AM$1501,1,'Per Line'!$AN$2:$AN$1501,0))</f>
        <v/>
      </c>
      <c r="Q297" s="7">
        <f>IF($V297="","",P297*O297)</f>
        <v/>
      </c>
      <c r="R297" s="7">
        <f>IF($V297="","",Q297+N297)</f>
        <v/>
      </c>
      <c r="S297" s="7">
        <f>IF($V297="","",T297-R297)</f>
        <v/>
      </c>
      <c r="T297" s="7">
        <f>IF($V297="","",M297+P297+K297)</f>
        <v/>
      </c>
      <c r="U297" s="7">
        <f>IF($V297="","",T297-R297-J297)</f>
        <v/>
      </c>
      <c r="V297" s="13">
        <f>IF(ROWS($V$2:$V297)&lt;=MAX('Per Line'!$AL$2:$AL$1501),MATCH(ROWS($V$2:$V297),'Per Line'!$AL$2:$AL$1501,0),"")</f>
        <v/>
      </c>
    </row>
    <row r="298">
      <c r="A298" s="12" t="n"/>
      <c r="B298">
        <f>IF($V298="","",INDEX('Per Line'!$D$2:$D$1501,$V298)&amp;"")</f>
        <v/>
      </c>
      <c r="C298">
        <f>IF($V298="","",INDEX('Per Line'!$A$2:$A$1501,$V298))</f>
        <v/>
      </c>
      <c r="D298">
        <f>IF($V298="","",INDEX('Per Line'!$Z$2:$Z$1501,$V298)&amp;"")</f>
        <v/>
      </c>
      <c r="E298" s="11">
        <f>IF($V298="","",INDEX('Per Line'!$F$2:$F$1501,$V298))</f>
        <v/>
      </c>
      <c r="F298">
        <f>IF($V298="","",INDEX('Per Line'!$I$2:$I$1501,$V298)&amp;"")</f>
        <v/>
      </c>
      <c r="G298">
        <f>IF($V298="","",INDEX('Per Line'!$J$2:$J$1501,$V298)&amp;"")</f>
        <v/>
      </c>
      <c r="H298">
        <f>IF($V298="","",INDEX('Per Line'!$K$2:$K$1501,$V298)&amp;"")</f>
        <v/>
      </c>
      <c r="I298">
        <f>IF($V298="","",INDEX('Per Line'!$M$2:$M$1501,$V298))</f>
        <v/>
      </c>
      <c r="J298" s="7">
        <f>IF($V298="","",I298*T298/100)</f>
        <v/>
      </c>
      <c r="K298" s="7">
        <f>IF($V298="","",SUMIFS('Per Line'!$V$2:$V$1501,'Per Line'!$D$2:$D$1501,$B298,'Per Line'!$AN$2:$AN$1501,1))</f>
        <v/>
      </c>
      <c r="L298">
        <f>IF($V298="","",Settings!$C$7)</f>
        <v/>
      </c>
      <c r="M298" s="7">
        <f>IF($V298="","",SUMIFS('Per Line'!$V$2:$V$1501,'Per Line'!$D$2:$D$1501,$B298,'Per Line'!$AM$2:$AM$1501,0,'Per Line'!$AN$2:$AN$1501,0))</f>
        <v/>
      </c>
      <c r="N298" s="7">
        <f>IF($V298="","",M298*L298)</f>
        <v/>
      </c>
      <c r="O298">
        <f>IF($V298="","",Settings!$C$6)</f>
        <v/>
      </c>
      <c r="P298" s="7">
        <f>IF($V298="","",SUMIFS('Per Line'!$V$2:$V$1501,'Per Line'!$D$2:$D$1501,$B298,'Per Line'!$AM$2:$AM$1501,1,'Per Line'!$AN$2:$AN$1501,0))</f>
        <v/>
      </c>
      <c r="Q298" s="7">
        <f>IF($V298="","",P298*O298)</f>
        <v/>
      </c>
      <c r="R298" s="7">
        <f>IF($V298="","",Q298+N298)</f>
        <v/>
      </c>
      <c r="S298" s="7">
        <f>IF($V298="","",T298-R298)</f>
        <v/>
      </c>
      <c r="T298" s="7">
        <f>IF($V298="","",M298+P298+K298)</f>
        <v/>
      </c>
      <c r="U298" s="7">
        <f>IF($V298="","",T298-R298-J298)</f>
        <v/>
      </c>
      <c r="V298" s="13">
        <f>IF(ROWS($V$2:$V298)&lt;=MAX('Per Line'!$AL$2:$AL$1501),MATCH(ROWS($V$2:$V298),'Per Line'!$AL$2:$AL$1501,0),"")</f>
        <v/>
      </c>
    </row>
    <row r="299">
      <c r="A299" s="12" t="n"/>
      <c r="B299">
        <f>IF($V299="","",INDEX('Per Line'!$D$2:$D$1501,$V299)&amp;"")</f>
        <v/>
      </c>
      <c r="C299">
        <f>IF($V299="","",INDEX('Per Line'!$A$2:$A$1501,$V299))</f>
        <v/>
      </c>
      <c r="D299">
        <f>IF($V299="","",INDEX('Per Line'!$Z$2:$Z$1501,$V299)&amp;"")</f>
        <v/>
      </c>
      <c r="E299" s="11">
        <f>IF($V299="","",INDEX('Per Line'!$F$2:$F$1501,$V299))</f>
        <v/>
      </c>
      <c r="F299">
        <f>IF($V299="","",INDEX('Per Line'!$I$2:$I$1501,$V299)&amp;"")</f>
        <v/>
      </c>
      <c r="G299">
        <f>IF($V299="","",INDEX('Per Line'!$J$2:$J$1501,$V299)&amp;"")</f>
        <v/>
      </c>
      <c r="H299">
        <f>IF($V299="","",INDEX('Per Line'!$K$2:$K$1501,$V299)&amp;"")</f>
        <v/>
      </c>
      <c r="I299">
        <f>IF($V299="","",INDEX('Per Line'!$M$2:$M$1501,$V299))</f>
        <v/>
      </c>
      <c r="J299" s="7">
        <f>IF($V299="","",I299*T299/100)</f>
        <v/>
      </c>
      <c r="K299" s="7">
        <f>IF($V299="","",SUMIFS('Per Line'!$V$2:$V$1501,'Per Line'!$D$2:$D$1501,$B299,'Per Line'!$AN$2:$AN$1501,1))</f>
        <v/>
      </c>
      <c r="L299">
        <f>IF($V299="","",Settings!$C$7)</f>
        <v/>
      </c>
      <c r="M299" s="7">
        <f>IF($V299="","",SUMIFS('Per Line'!$V$2:$V$1501,'Per Line'!$D$2:$D$1501,$B299,'Per Line'!$AM$2:$AM$1501,0,'Per Line'!$AN$2:$AN$1501,0))</f>
        <v/>
      </c>
      <c r="N299" s="7">
        <f>IF($V299="","",M299*L299)</f>
        <v/>
      </c>
      <c r="O299">
        <f>IF($V299="","",Settings!$C$6)</f>
        <v/>
      </c>
      <c r="P299" s="7">
        <f>IF($V299="","",SUMIFS('Per Line'!$V$2:$V$1501,'Per Line'!$D$2:$D$1501,$B299,'Per Line'!$AM$2:$AM$1501,1,'Per Line'!$AN$2:$AN$1501,0))</f>
        <v/>
      </c>
      <c r="Q299" s="7">
        <f>IF($V299="","",P299*O299)</f>
        <v/>
      </c>
      <c r="R299" s="7">
        <f>IF($V299="","",Q299+N299)</f>
        <v/>
      </c>
      <c r="S299" s="7">
        <f>IF($V299="","",T299-R299)</f>
        <v/>
      </c>
      <c r="T299" s="7">
        <f>IF($V299="","",M299+P299+K299)</f>
        <v/>
      </c>
      <c r="U299" s="7">
        <f>IF($V299="","",T299-R299-J299)</f>
        <v/>
      </c>
      <c r="V299" s="13">
        <f>IF(ROWS($V$2:$V299)&lt;=MAX('Per Line'!$AL$2:$AL$1501),MATCH(ROWS($V$2:$V299),'Per Line'!$AL$2:$AL$1501,0),"")</f>
        <v/>
      </c>
    </row>
    <row r="300">
      <c r="A300" s="12" t="n"/>
      <c r="B300">
        <f>IF($V300="","",INDEX('Per Line'!$D$2:$D$1501,$V300)&amp;"")</f>
        <v/>
      </c>
      <c r="C300">
        <f>IF($V300="","",INDEX('Per Line'!$A$2:$A$1501,$V300))</f>
        <v/>
      </c>
      <c r="D300">
        <f>IF($V300="","",INDEX('Per Line'!$Z$2:$Z$1501,$V300)&amp;"")</f>
        <v/>
      </c>
      <c r="E300" s="11">
        <f>IF($V300="","",INDEX('Per Line'!$F$2:$F$1501,$V300))</f>
        <v/>
      </c>
      <c r="F300">
        <f>IF($V300="","",INDEX('Per Line'!$I$2:$I$1501,$V300)&amp;"")</f>
        <v/>
      </c>
      <c r="G300">
        <f>IF($V300="","",INDEX('Per Line'!$J$2:$J$1501,$V300)&amp;"")</f>
        <v/>
      </c>
      <c r="H300">
        <f>IF($V300="","",INDEX('Per Line'!$K$2:$K$1501,$V300)&amp;"")</f>
        <v/>
      </c>
      <c r="I300">
        <f>IF($V300="","",INDEX('Per Line'!$M$2:$M$1501,$V300))</f>
        <v/>
      </c>
      <c r="J300" s="7">
        <f>IF($V300="","",I300*T300/100)</f>
        <v/>
      </c>
      <c r="K300" s="7">
        <f>IF($V300="","",SUMIFS('Per Line'!$V$2:$V$1501,'Per Line'!$D$2:$D$1501,$B300,'Per Line'!$AN$2:$AN$1501,1))</f>
        <v/>
      </c>
      <c r="L300">
        <f>IF($V300="","",Settings!$C$7)</f>
        <v/>
      </c>
      <c r="M300" s="7">
        <f>IF($V300="","",SUMIFS('Per Line'!$V$2:$V$1501,'Per Line'!$D$2:$D$1501,$B300,'Per Line'!$AM$2:$AM$1501,0,'Per Line'!$AN$2:$AN$1501,0))</f>
        <v/>
      </c>
      <c r="N300" s="7">
        <f>IF($V300="","",M300*L300)</f>
        <v/>
      </c>
      <c r="O300">
        <f>IF($V300="","",Settings!$C$6)</f>
        <v/>
      </c>
      <c r="P300" s="7">
        <f>IF($V300="","",SUMIFS('Per Line'!$V$2:$V$1501,'Per Line'!$D$2:$D$1501,$B300,'Per Line'!$AM$2:$AM$1501,1,'Per Line'!$AN$2:$AN$1501,0))</f>
        <v/>
      </c>
      <c r="Q300" s="7">
        <f>IF($V300="","",P300*O300)</f>
        <v/>
      </c>
      <c r="R300" s="7">
        <f>IF($V300="","",Q300+N300)</f>
        <v/>
      </c>
      <c r="S300" s="7">
        <f>IF($V300="","",T300-R300)</f>
        <v/>
      </c>
      <c r="T300" s="7">
        <f>IF($V300="","",M300+P300+K300)</f>
        <v/>
      </c>
      <c r="U300" s="7">
        <f>IF($V300="","",T300-R300-J300)</f>
        <v/>
      </c>
      <c r="V300" s="13">
        <f>IF(ROWS($V$2:$V300)&lt;=MAX('Per Line'!$AL$2:$AL$1501),MATCH(ROWS($V$2:$V300),'Per Line'!$AL$2:$AL$1501,0),"")</f>
        <v/>
      </c>
    </row>
    <row r="301">
      <c r="A301" s="12" t="n"/>
      <c r="B301">
        <f>IF($V301="","",INDEX('Per Line'!$D$2:$D$1501,$V301)&amp;"")</f>
        <v/>
      </c>
      <c r="C301">
        <f>IF($V301="","",INDEX('Per Line'!$A$2:$A$1501,$V301))</f>
        <v/>
      </c>
      <c r="D301">
        <f>IF($V301="","",INDEX('Per Line'!$Z$2:$Z$1501,$V301)&amp;"")</f>
        <v/>
      </c>
      <c r="E301" s="11">
        <f>IF($V301="","",INDEX('Per Line'!$F$2:$F$1501,$V301))</f>
        <v/>
      </c>
      <c r="F301">
        <f>IF($V301="","",INDEX('Per Line'!$I$2:$I$1501,$V301)&amp;"")</f>
        <v/>
      </c>
      <c r="G301">
        <f>IF($V301="","",INDEX('Per Line'!$J$2:$J$1501,$V301)&amp;"")</f>
        <v/>
      </c>
      <c r="H301">
        <f>IF($V301="","",INDEX('Per Line'!$K$2:$K$1501,$V301)&amp;"")</f>
        <v/>
      </c>
      <c r="I301">
        <f>IF($V301="","",INDEX('Per Line'!$M$2:$M$1501,$V301))</f>
        <v/>
      </c>
      <c r="J301" s="7">
        <f>IF($V301="","",I301*T301/100)</f>
        <v/>
      </c>
      <c r="K301" s="7">
        <f>IF($V301="","",SUMIFS('Per Line'!$V$2:$V$1501,'Per Line'!$D$2:$D$1501,$B301,'Per Line'!$AN$2:$AN$1501,1))</f>
        <v/>
      </c>
      <c r="L301">
        <f>IF($V301="","",Settings!$C$7)</f>
        <v/>
      </c>
      <c r="M301" s="7">
        <f>IF($V301="","",SUMIFS('Per Line'!$V$2:$V$1501,'Per Line'!$D$2:$D$1501,$B301,'Per Line'!$AM$2:$AM$1501,0,'Per Line'!$AN$2:$AN$1501,0))</f>
        <v/>
      </c>
      <c r="N301" s="7">
        <f>IF($V301="","",M301*L301)</f>
        <v/>
      </c>
      <c r="O301">
        <f>IF($V301="","",Settings!$C$6)</f>
        <v/>
      </c>
      <c r="P301" s="7">
        <f>IF($V301="","",SUMIFS('Per Line'!$V$2:$V$1501,'Per Line'!$D$2:$D$1501,$B301,'Per Line'!$AM$2:$AM$1501,1,'Per Line'!$AN$2:$AN$1501,0))</f>
        <v/>
      </c>
      <c r="Q301" s="7">
        <f>IF($V301="","",P301*O301)</f>
        <v/>
      </c>
      <c r="R301" s="7">
        <f>IF($V301="","",Q301+N301)</f>
        <v/>
      </c>
      <c r="S301" s="7">
        <f>IF($V301="","",T301-R301)</f>
        <v/>
      </c>
      <c r="T301" s="7">
        <f>IF($V301="","",M301+P301+K301)</f>
        <v/>
      </c>
      <c r="U301" s="7">
        <f>IF($V301="","",T301-R301-J301)</f>
        <v/>
      </c>
      <c r="V301" s="13">
        <f>IF(ROWS($V$2:$V301)&lt;=MAX('Per Line'!$AL$2:$AL$1501),MATCH(ROWS($V$2:$V301),'Per Line'!$AL$2:$AL$1501,0),"")</f>
        <v/>
      </c>
    </row>
    <row r="302">
      <c r="A302" s="12" t="n"/>
      <c r="B302">
        <f>IF($V302="","",INDEX('Per Line'!$D$2:$D$1501,$V302)&amp;"")</f>
        <v/>
      </c>
      <c r="C302">
        <f>IF($V302="","",INDEX('Per Line'!$A$2:$A$1501,$V302))</f>
        <v/>
      </c>
      <c r="D302">
        <f>IF($V302="","",INDEX('Per Line'!$Z$2:$Z$1501,$V302)&amp;"")</f>
        <v/>
      </c>
      <c r="E302" s="11">
        <f>IF($V302="","",INDEX('Per Line'!$F$2:$F$1501,$V302))</f>
        <v/>
      </c>
      <c r="F302">
        <f>IF($V302="","",INDEX('Per Line'!$I$2:$I$1501,$V302)&amp;"")</f>
        <v/>
      </c>
      <c r="G302">
        <f>IF($V302="","",INDEX('Per Line'!$J$2:$J$1501,$V302)&amp;"")</f>
        <v/>
      </c>
      <c r="H302">
        <f>IF($V302="","",INDEX('Per Line'!$K$2:$K$1501,$V302)&amp;"")</f>
        <v/>
      </c>
      <c r="I302">
        <f>IF($V302="","",INDEX('Per Line'!$M$2:$M$1501,$V302))</f>
        <v/>
      </c>
      <c r="J302" s="7">
        <f>IF($V302="","",I302*T302/100)</f>
        <v/>
      </c>
      <c r="K302" s="7">
        <f>IF($V302="","",SUMIFS('Per Line'!$V$2:$V$1501,'Per Line'!$D$2:$D$1501,$B302,'Per Line'!$AN$2:$AN$1501,1))</f>
        <v/>
      </c>
      <c r="L302">
        <f>IF($V302="","",Settings!$C$7)</f>
        <v/>
      </c>
      <c r="M302" s="7">
        <f>IF($V302="","",SUMIFS('Per Line'!$V$2:$V$1501,'Per Line'!$D$2:$D$1501,$B302,'Per Line'!$AM$2:$AM$1501,0,'Per Line'!$AN$2:$AN$1501,0))</f>
        <v/>
      </c>
      <c r="N302" s="7">
        <f>IF($V302="","",M302*L302)</f>
        <v/>
      </c>
      <c r="O302">
        <f>IF($V302="","",Settings!$C$6)</f>
        <v/>
      </c>
      <c r="P302" s="7">
        <f>IF($V302="","",SUMIFS('Per Line'!$V$2:$V$1501,'Per Line'!$D$2:$D$1501,$B302,'Per Line'!$AM$2:$AM$1501,1,'Per Line'!$AN$2:$AN$1501,0))</f>
        <v/>
      </c>
      <c r="Q302" s="7">
        <f>IF($V302="","",P302*O302)</f>
        <v/>
      </c>
      <c r="R302" s="7">
        <f>IF($V302="","",Q302+N302)</f>
        <v/>
      </c>
      <c r="S302" s="7">
        <f>IF($V302="","",T302-R302)</f>
        <v/>
      </c>
      <c r="T302" s="7">
        <f>IF($V302="","",M302+P302+K302)</f>
        <v/>
      </c>
      <c r="U302" s="7">
        <f>IF($V302="","",T302-R302-J302)</f>
        <v/>
      </c>
      <c r="V302" s="13">
        <f>IF(ROWS($V$2:$V302)&lt;=MAX('Per Line'!$AL$2:$AL$1501),MATCH(ROWS($V$2:$V302),'Per Line'!$AL$2:$AL$1501,0),"")</f>
        <v/>
      </c>
    </row>
    <row r="303">
      <c r="A303" s="12" t="n"/>
      <c r="B303">
        <f>IF($V303="","",INDEX('Per Line'!$D$2:$D$1501,$V303)&amp;"")</f>
        <v/>
      </c>
      <c r="C303">
        <f>IF($V303="","",INDEX('Per Line'!$A$2:$A$1501,$V303))</f>
        <v/>
      </c>
      <c r="D303">
        <f>IF($V303="","",INDEX('Per Line'!$Z$2:$Z$1501,$V303)&amp;"")</f>
        <v/>
      </c>
      <c r="E303" s="11">
        <f>IF($V303="","",INDEX('Per Line'!$F$2:$F$1501,$V303))</f>
        <v/>
      </c>
      <c r="F303">
        <f>IF($V303="","",INDEX('Per Line'!$I$2:$I$1501,$V303)&amp;"")</f>
        <v/>
      </c>
      <c r="G303">
        <f>IF($V303="","",INDEX('Per Line'!$J$2:$J$1501,$V303)&amp;"")</f>
        <v/>
      </c>
      <c r="H303">
        <f>IF($V303="","",INDEX('Per Line'!$K$2:$K$1501,$V303)&amp;"")</f>
        <v/>
      </c>
      <c r="I303">
        <f>IF($V303="","",INDEX('Per Line'!$M$2:$M$1501,$V303))</f>
        <v/>
      </c>
      <c r="J303" s="7">
        <f>IF($V303="","",I303*T303/100)</f>
        <v/>
      </c>
      <c r="K303" s="7">
        <f>IF($V303="","",SUMIFS('Per Line'!$V$2:$V$1501,'Per Line'!$D$2:$D$1501,$B303,'Per Line'!$AN$2:$AN$1501,1))</f>
        <v/>
      </c>
      <c r="L303">
        <f>IF($V303="","",Settings!$C$7)</f>
        <v/>
      </c>
      <c r="M303" s="7">
        <f>IF($V303="","",SUMIFS('Per Line'!$V$2:$V$1501,'Per Line'!$D$2:$D$1501,$B303,'Per Line'!$AM$2:$AM$1501,0,'Per Line'!$AN$2:$AN$1501,0))</f>
        <v/>
      </c>
      <c r="N303" s="7">
        <f>IF($V303="","",M303*L303)</f>
        <v/>
      </c>
      <c r="O303">
        <f>IF($V303="","",Settings!$C$6)</f>
        <v/>
      </c>
      <c r="P303" s="7">
        <f>IF($V303="","",SUMIFS('Per Line'!$V$2:$V$1501,'Per Line'!$D$2:$D$1501,$B303,'Per Line'!$AM$2:$AM$1501,1,'Per Line'!$AN$2:$AN$1501,0))</f>
        <v/>
      </c>
      <c r="Q303" s="7">
        <f>IF($V303="","",P303*O303)</f>
        <v/>
      </c>
      <c r="R303" s="7">
        <f>IF($V303="","",Q303+N303)</f>
        <v/>
      </c>
      <c r="S303" s="7">
        <f>IF($V303="","",T303-R303)</f>
        <v/>
      </c>
      <c r="T303" s="7">
        <f>IF($V303="","",M303+P303+K303)</f>
        <v/>
      </c>
      <c r="U303" s="7">
        <f>IF($V303="","",T303-R303-J303)</f>
        <v/>
      </c>
      <c r="V303" s="13">
        <f>IF(ROWS($V$2:$V303)&lt;=MAX('Per Line'!$AL$2:$AL$1501),MATCH(ROWS($V$2:$V303),'Per Line'!$AL$2:$AL$1501,0),"")</f>
        <v/>
      </c>
    </row>
    <row r="304">
      <c r="A304" s="12" t="n"/>
      <c r="B304">
        <f>IF($V304="","",INDEX('Per Line'!$D$2:$D$1501,$V304)&amp;"")</f>
        <v/>
      </c>
      <c r="C304">
        <f>IF($V304="","",INDEX('Per Line'!$A$2:$A$1501,$V304))</f>
        <v/>
      </c>
      <c r="D304">
        <f>IF($V304="","",INDEX('Per Line'!$Z$2:$Z$1501,$V304)&amp;"")</f>
        <v/>
      </c>
      <c r="E304" s="11">
        <f>IF($V304="","",INDEX('Per Line'!$F$2:$F$1501,$V304))</f>
        <v/>
      </c>
      <c r="F304">
        <f>IF($V304="","",INDEX('Per Line'!$I$2:$I$1501,$V304)&amp;"")</f>
        <v/>
      </c>
      <c r="G304">
        <f>IF($V304="","",INDEX('Per Line'!$J$2:$J$1501,$V304)&amp;"")</f>
        <v/>
      </c>
      <c r="H304">
        <f>IF($V304="","",INDEX('Per Line'!$K$2:$K$1501,$V304)&amp;"")</f>
        <v/>
      </c>
      <c r="I304">
        <f>IF($V304="","",INDEX('Per Line'!$M$2:$M$1501,$V304))</f>
        <v/>
      </c>
      <c r="J304" s="7">
        <f>IF($V304="","",I304*T304/100)</f>
        <v/>
      </c>
      <c r="K304" s="7">
        <f>IF($V304="","",SUMIFS('Per Line'!$V$2:$V$1501,'Per Line'!$D$2:$D$1501,$B304,'Per Line'!$AN$2:$AN$1501,1))</f>
        <v/>
      </c>
      <c r="L304">
        <f>IF($V304="","",Settings!$C$7)</f>
        <v/>
      </c>
      <c r="M304" s="7">
        <f>IF($V304="","",SUMIFS('Per Line'!$V$2:$V$1501,'Per Line'!$D$2:$D$1501,$B304,'Per Line'!$AM$2:$AM$1501,0,'Per Line'!$AN$2:$AN$1501,0))</f>
        <v/>
      </c>
      <c r="N304" s="7">
        <f>IF($V304="","",M304*L304)</f>
        <v/>
      </c>
      <c r="O304">
        <f>IF($V304="","",Settings!$C$6)</f>
        <v/>
      </c>
      <c r="P304" s="7">
        <f>IF($V304="","",SUMIFS('Per Line'!$V$2:$V$1501,'Per Line'!$D$2:$D$1501,$B304,'Per Line'!$AM$2:$AM$1501,1,'Per Line'!$AN$2:$AN$1501,0))</f>
        <v/>
      </c>
      <c r="Q304" s="7">
        <f>IF($V304="","",P304*O304)</f>
        <v/>
      </c>
      <c r="R304" s="7">
        <f>IF($V304="","",Q304+N304)</f>
        <v/>
      </c>
      <c r="S304" s="7">
        <f>IF($V304="","",T304-R304)</f>
        <v/>
      </c>
      <c r="T304" s="7">
        <f>IF($V304="","",M304+P304+K304)</f>
        <v/>
      </c>
      <c r="U304" s="7">
        <f>IF($V304="","",T304-R304-J304)</f>
        <v/>
      </c>
      <c r="V304" s="13">
        <f>IF(ROWS($V$2:$V304)&lt;=MAX('Per Line'!$AL$2:$AL$1501),MATCH(ROWS($V$2:$V304),'Per Line'!$AL$2:$AL$1501,0),"")</f>
        <v/>
      </c>
    </row>
    <row r="305">
      <c r="A305" s="12" t="n"/>
      <c r="B305">
        <f>IF($V305="","",INDEX('Per Line'!$D$2:$D$1501,$V305)&amp;"")</f>
        <v/>
      </c>
      <c r="C305">
        <f>IF($V305="","",INDEX('Per Line'!$A$2:$A$1501,$V305))</f>
        <v/>
      </c>
      <c r="D305">
        <f>IF($V305="","",INDEX('Per Line'!$Z$2:$Z$1501,$V305)&amp;"")</f>
        <v/>
      </c>
      <c r="E305" s="11">
        <f>IF($V305="","",INDEX('Per Line'!$F$2:$F$1501,$V305))</f>
        <v/>
      </c>
      <c r="F305">
        <f>IF($V305="","",INDEX('Per Line'!$I$2:$I$1501,$V305)&amp;"")</f>
        <v/>
      </c>
      <c r="G305">
        <f>IF($V305="","",INDEX('Per Line'!$J$2:$J$1501,$V305)&amp;"")</f>
        <v/>
      </c>
      <c r="H305">
        <f>IF($V305="","",INDEX('Per Line'!$K$2:$K$1501,$V305)&amp;"")</f>
        <v/>
      </c>
      <c r="I305">
        <f>IF($V305="","",INDEX('Per Line'!$M$2:$M$1501,$V305))</f>
        <v/>
      </c>
      <c r="J305" s="7">
        <f>IF($V305="","",I305*T305/100)</f>
        <v/>
      </c>
      <c r="K305" s="7">
        <f>IF($V305="","",SUMIFS('Per Line'!$V$2:$V$1501,'Per Line'!$D$2:$D$1501,$B305,'Per Line'!$AN$2:$AN$1501,1))</f>
        <v/>
      </c>
      <c r="L305">
        <f>IF($V305="","",Settings!$C$7)</f>
        <v/>
      </c>
      <c r="M305" s="7">
        <f>IF($V305="","",SUMIFS('Per Line'!$V$2:$V$1501,'Per Line'!$D$2:$D$1501,$B305,'Per Line'!$AM$2:$AM$1501,0,'Per Line'!$AN$2:$AN$1501,0))</f>
        <v/>
      </c>
      <c r="N305" s="7">
        <f>IF($V305="","",M305*L305)</f>
        <v/>
      </c>
      <c r="O305">
        <f>IF($V305="","",Settings!$C$6)</f>
        <v/>
      </c>
      <c r="P305" s="7">
        <f>IF($V305="","",SUMIFS('Per Line'!$V$2:$V$1501,'Per Line'!$D$2:$D$1501,$B305,'Per Line'!$AM$2:$AM$1501,1,'Per Line'!$AN$2:$AN$1501,0))</f>
        <v/>
      </c>
      <c r="Q305" s="7">
        <f>IF($V305="","",P305*O305)</f>
        <v/>
      </c>
      <c r="R305" s="7">
        <f>IF($V305="","",Q305+N305)</f>
        <v/>
      </c>
      <c r="S305" s="7">
        <f>IF($V305="","",T305-R305)</f>
        <v/>
      </c>
      <c r="T305" s="7">
        <f>IF($V305="","",M305+P305+K305)</f>
        <v/>
      </c>
      <c r="U305" s="7">
        <f>IF($V305="","",T305-R305-J305)</f>
        <v/>
      </c>
      <c r="V305" s="13">
        <f>IF(ROWS($V$2:$V305)&lt;=MAX('Per Line'!$AL$2:$AL$1501),MATCH(ROWS($V$2:$V305),'Per Line'!$AL$2:$AL$1501,0),"")</f>
        <v/>
      </c>
    </row>
    <row r="306">
      <c r="A306" s="12" t="n"/>
      <c r="B306">
        <f>IF($V306="","",INDEX('Per Line'!$D$2:$D$1501,$V306)&amp;"")</f>
        <v/>
      </c>
      <c r="C306">
        <f>IF($V306="","",INDEX('Per Line'!$A$2:$A$1501,$V306))</f>
        <v/>
      </c>
      <c r="D306">
        <f>IF($V306="","",INDEX('Per Line'!$Z$2:$Z$1501,$V306)&amp;"")</f>
        <v/>
      </c>
      <c r="E306" s="11">
        <f>IF($V306="","",INDEX('Per Line'!$F$2:$F$1501,$V306))</f>
        <v/>
      </c>
      <c r="F306">
        <f>IF($V306="","",INDEX('Per Line'!$I$2:$I$1501,$V306)&amp;"")</f>
        <v/>
      </c>
      <c r="G306">
        <f>IF($V306="","",INDEX('Per Line'!$J$2:$J$1501,$V306)&amp;"")</f>
        <v/>
      </c>
      <c r="H306">
        <f>IF($V306="","",INDEX('Per Line'!$K$2:$K$1501,$V306)&amp;"")</f>
        <v/>
      </c>
      <c r="I306">
        <f>IF($V306="","",INDEX('Per Line'!$M$2:$M$1501,$V306))</f>
        <v/>
      </c>
      <c r="J306" s="7">
        <f>IF($V306="","",I306*T306/100)</f>
        <v/>
      </c>
      <c r="K306" s="7">
        <f>IF($V306="","",SUMIFS('Per Line'!$V$2:$V$1501,'Per Line'!$D$2:$D$1501,$B306,'Per Line'!$AN$2:$AN$1501,1))</f>
        <v/>
      </c>
      <c r="L306">
        <f>IF($V306="","",Settings!$C$7)</f>
        <v/>
      </c>
      <c r="M306" s="7">
        <f>IF($V306="","",SUMIFS('Per Line'!$V$2:$V$1501,'Per Line'!$D$2:$D$1501,$B306,'Per Line'!$AM$2:$AM$1501,0,'Per Line'!$AN$2:$AN$1501,0))</f>
        <v/>
      </c>
      <c r="N306" s="7">
        <f>IF($V306="","",M306*L306)</f>
        <v/>
      </c>
      <c r="O306">
        <f>IF($V306="","",Settings!$C$6)</f>
        <v/>
      </c>
      <c r="P306" s="7">
        <f>IF($V306="","",SUMIFS('Per Line'!$V$2:$V$1501,'Per Line'!$D$2:$D$1501,$B306,'Per Line'!$AM$2:$AM$1501,1,'Per Line'!$AN$2:$AN$1501,0))</f>
        <v/>
      </c>
      <c r="Q306" s="7">
        <f>IF($V306="","",P306*O306)</f>
        <v/>
      </c>
      <c r="R306" s="7">
        <f>IF($V306="","",Q306+N306)</f>
        <v/>
      </c>
      <c r="S306" s="7">
        <f>IF($V306="","",T306-R306)</f>
        <v/>
      </c>
      <c r="T306" s="7">
        <f>IF($V306="","",M306+P306+K306)</f>
        <v/>
      </c>
      <c r="U306" s="7">
        <f>IF($V306="","",T306-R306-J306)</f>
        <v/>
      </c>
      <c r="V306" s="13">
        <f>IF(ROWS($V$2:$V306)&lt;=MAX('Per Line'!$AL$2:$AL$1501),MATCH(ROWS($V$2:$V306),'Per Line'!$AL$2:$AL$1501,0),"")</f>
        <v/>
      </c>
    </row>
    <row r="307">
      <c r="A307" s="12" t="n"/>
      <c r="B307">
        <f>IF($V307="","",INDEX('Per Line'!$D$2:$D$1501,$V307)&amp;"")</f>
        <v/>
      </c>
      <c r="C307">
        <f>IF($V307="","",INDEX('Per Line'!$A$2:$A$1501,$V307))</f>
        <v/>
      </c>
      <c r="D307">
        <f>IF($V307="","",INDEX('Per Line'!$Z$2:$Z$1501,$V307)&amp;"")</f>
        <v/>
      </c>
      <c r="E307" s="11">
        <f>IF($V307="","",INDEX('Per Line'!$F$2:$F$1501,$V307))</f>
        <v/>
      </c>
      <c r="F307">
        <f>IF($V307="","",INDEX('Per Line'!$I$2:$I$1501,$V307)&amp;"")</f>
        <v/>
      </c>
      <c r="G307">
        <f>IF($V307="","",INDEX('Per Line'!$J$2:$J$1501,$V307)&amp;"")</f>
        <v/>
      </c>
      <c r="H307">
        <f>IF($V307="","",INDEX('Per Line'!$K$2:$K$1501,$V307)&amp;"")</f>
        <v/>
      </c>
      <c r="I307">
        <f>IF($V307="","",INDEX('Per Line'!$M$2:$M$1501,$V307))</f>
        <v/>
      </c>
      <c r="J307" s="7">
        <f>IF($V307="","",I307*T307/100)</f>
        <v/>
      </c>
      <c r="K307" s="7">
        <f>IF($V307="","",SUMIFS('Per Line'!$V$2:$V$1501,'Per Line'!$D$2:$D$1501,$B307,'Per Line'!$AN$2:$AN$1501,1))</f>
        <v/>
      </c>
      <c r="L307">
        <f>IF($V307="","",Settings!$C$7)</f>
        <v/>
      </c>
      <c r="M307" s="7">
        <f>IF($V307="","",SUMIFS('Per Line'!$V$2:$V$1501,'Per Line'!$D$2:$D$1501,$B307,'Per Line'!$AM$2:$AM$1501,0,'Per Line'!$AN$2:$AN$1501,0))</f>
        <v/>
      </c>
      <c r="N307" s="7">
        <f>IF($V307="","",M307*L307)</f>
        <v/>
      </c>
      <c r="O307">
        <f>IF($V307="","",Settings!$C$6)</f>
        <v/>
      </c>
      <c r="P307" s="7">
        <f>IF($V307="","",SUMIFS('Per Line'!$V$2:$V$1501,'Per Line'!$D$2:$D$1501,$B307,'Per Line'!$AM$2:$AM$1501,1,'Per Line'!$AN$2:$AN$1501,0))</f>
        <v/>
      </c>
      <c r="Q307" s="7">
        <f>IF($V307="","",P307*O307)</f>
        <v/>
      </c>
      <c r="R307" s="7">
        <f>IF($V307="","",Q307+N307)</f>
        <v/>
      </c>
      <c r="S307" s="7">
        <f>IF($V307="","",T307-R307)</f>
        <v/>
      </c>
      <c r="T307" s="7">
        <f>IF($V307="","",M307+P307+K307)</f>
        <v/>
      </c>
      <c r="U307" s="7">
        <f>IF($V307="","",T307-R307-J307)</f>
        <v/>
      </c>
      <c r="V307" s="13">
        <f>IF(ROWS($V$2:$V307)&lt;=MAX('Per Line'!$AL$2:$AL$1501),MATCH(ROWS($V$2:$V307),'Per Line'!$AL$2:$AL$1501,0),"")</f>
        <v/>
      </c>
    </row>
    <row r="308">
      <c r="A308" s="12" t="n"/>
      <c r="B308">
        <f>IF($V308="","",INDEX('Per Line'!$D$2:$D$1501,$V308)&amp;"")</f>
        <v/>
      </c>
      <c r="C308">
        <f>IF($V308="","",INDEX('Per Line'!$A$2:$A$1501,$V308))</f>
        <v/>
      </c>
      <c r="D308">
        <f>IF($V308="","",INDEX('Per Line'!$Z$2:$Z$1501,$V308)&amp;"")</f>
        <v/>
      </c>
      <c r="E308" s="11">
        <f>IF($V308="","",INDEX('Per Line'!$F$2:$F$1501,$V308))</f>
        <v/>
      </c>
      <c r="F308">
        <f>IF($V308="","",INDEX('Per Line'!$I$2:$I$1501,$V308)&amp;"")</f>
        <v/>
      </c>
      <c r="G308">
        <f>IF($V308="","",INDEX('Per Line'!$J$2:$J$1501,$V308)&amp;"")</f>
        <v/>
      </c>
      <c r="H308">
        <f>IF($V308="","",INDEX('Per Line'!$K$2:$K$1501,$V308)&amp;"")</f>
        <v/>
      </c>
      <c r="I308">
        <f>IF($V308="","",INDEX('Per Line'!$M$2:$M$1501,$V308))</f>
        <v/>
      </c>
      <c r="J308" s="7">
        <f>IF($V308="","",I308*T308/100)</f>
        <v/>
      </c>
      <c r="K308" s="7">
        <f>IF($V308="","",SUMIFS('Per Line'!$V$2:$V$1501,'Per Line'!$D$2:$D$1501,$B308,'Per Line'!$AN$2:$AN$1501,1))</f>
        <v/>
      </c>
      <c r="L308">
        <f>IF($V308="","",Settings!$C$7)</f>
        <v/>
      </c>
      <c r="M308" s="7">
        <f>IF($V308="","",SUMIFS('Per Line'!$V$2:$V$1501,'Per Line'!$D$2:$D$1501,$B308,'Per Line'!$AM$2:$AM$1501,0,'Per Line'!$AN$2:$AN$1501,0))</f>
        <v/>
      </c>
      <c r="N308" s="7">
        <f>IF($V308="","",M308*L308)</f>
        <v/>
      </c>
      <c r="O308">
        <f>IF($V308="","",Settings!$C$6)</f>
        <v/>
      </c>
      <c r="P308" s="7">
        <f>IF($V308="","",SUMIFS('Per Line'!$V$2:$V$1501,'Per Line'!$D$2:$D$1501,$B308,'Per Line'!$AM$2:$AM$1501,1,'Per Line'!$AN$2:$AN$1501,0))</f>
        <v/>
      </c>
      <c r="Q308" s="7">
        <f>IF($V308="","",P308*O308)</f>
        <v/>
      </c>
      <c r="R308" s="7">
        <f>IF($V308="","",Q308+N308)</f>
        <v/>
      </c>
      <c r="S308" s="7">
        <f>IF($V308="","",T308-R308)</f>
        <v/>
      </c>
      <c r="T308" s="7">
        <f>IF($V308="","",M308+P308+K308)</f>
        <v/>
      </c>
      <c r="U308" s="7">
        <f>IF($V308="","",T308-R308-J308)</f>
        <v/>
      </c>
      <c r="V308" s="13">
        <f>IF(ROWS($V$2:$V308)&lt;=MAX('Per Line'!$AL$2:$AL$1501),MATCH(ROWS($V$2:$V308),'Per Line'!$AL$2:$AL$1501,0),"")</f>
        <v/>
      </c>
    </row>
    <row r="309">
      <c r="A309" s="12" t="n"/>
      <c r="B309">
        <f>IF($V309="","",INDEX('Per Line'!$D$2:$D$1501,$V309)&amp;"")</f>
        <v/>
      </c>
      <c r="C309">
        <f>IF($V309="","",INDEX('Per Line'!$A$2:$A$1501,$V309))</f>
        <v/>
      </c>
      <c r="D309">
        <f>IF($V309="","",INDEX('Per Line'!$Z$2:$Z$1501,$V309)&amp;"")</f>
        <v/>
      </c>
      <c r="E309" s="11">
        <f>IF($V309="","",INDEX('Per Line'!$F$2:$F$1501,$V309))</f>
        <v/>
      </c>
      <c r="F309">
        <f>IF($V309="","",INDEX('Per Line'!$I$2:$I$1501,$V309)&amp;"")</f>
        <v/>
      </c>
      <c r="G309">
        <f>IF($V309="","",INDEX('Per Line'!$J$2:$J$1501,$V309)&amp;"")</f>
        <v/>
      </c>
      <c r="H309">
        <f>IF($V309="","",INDEX('Per Line'!$K$2:$K$1501,$V309)&amp;"")</f>
        <v/>
      </c>
      <c r="I309">
        <f>IF($V309="","",INDEX('Per Line'!$M$2:$M$1501,$V309))</f>
        <v/>
      </c>
      <c r="J309" s="7">
        <f>IF($V309="","",I309*T309/100)</f>
        <v/>
      </c>
      <c r="K309" s="7">
        <f>IF($V309="","",SUMIFS('Per Line'!$V$2:$V$1501,'Per Line'!$D$2:$D$1501,$B309,'Per Line'!$AN$2:$AN$1501,1))</f>
        <v/>
      </c>
      <c r="L309">
        <f>IF($V309="","",Settings!$C$7)</f>
        <v/>
      </c>
      <c r="M309" s="7">
        <f>IF($V309="","",SUMIFS('Per Line'!$V$2:$V$1501,'Per Line'!$D$2:$D$1501,$B309,'Per Line'!$AM$2:$AM$1501,0,'Per Line'!$AN$2:$AN$1501,0))</f>
        <v/>
      </c>
      <c r="N309" s="7">
        <f>IF($V309="","",M309*L309)</f>
        <v/>
      </c>
      <c r="O309">
        <f>IF($V309="","",Settings!$C$6)</f>
        <v/>
      </c>
      <c r="P309" s="7">
        <f>IF($V309="","",SUMIFS('Per Line'!$V$2:$V$1501,'Per Line'!$D$2:$D$1501,$B309,'Per Line'!$AM$2:$AM$1501,1,'Per Line'!$AN$2:$AN$1501,0))</f>
        <v/>
      </c>
      <c r="Q309" s="7">
        <f>IF($V309="","",P309*O309)</f>
        <v/>
      </c>
      <c r="R309" s="7">
        <f>IF($V309="","",Q309+N309)</f>
        <v/>
      </c>
      <c r="S309" s="7">
        <f>IF($V309="","",T309-R309)</f>
        <v/>
      </c>
      <c r="T309" s="7">
        <f>IF($V309="","",M309+P309+K309)</f>
        <v/>
      </c>
      <c r="U309" s="7">
        <f>IF($V309="","",T309-R309-J309)</f>
        <v/>
      </c>
      <c r="V309" s="13">
        <f>IF(ROWS($V$2:$V309)&lt;=MAX('Per Line'!$AL$2:$AL$1501),MATCH(ROWS($V$2:$V309),'Per Line'!$AL$2:$AL$1501,0),"")</f>
        <v/>
      </c>
    </row>
    <row r="310">
      <c r="A310" s="12" t="n"/>
      <c r="B310">
        <f>IF($V310="","",INDEX('Per Line'!$D$2:$D$1501,$V310)&amp;"")</f>
        <v/>
      </c>
      <c r="C310">
        <f>IF($V310="","",INDEX('Per Line'!$A$2:$A$1501,$V310))</f>
        <v/>
      </c>
      <c r="D310">
        <f>IF($V310="","",INDEX('Per Line'!$Z$2:$Z$1501,$V310)&amp;"")</f>
        <v/>
      </c>
      <c r="E310" s="11">
        <f>IF($V310="","",INDEX('Per Line'!$F$2:$F$1501,$V310))</f>
        <v/>
      </c>
      <c r="F310">
        <f>IF($V310="","",INDEX('Per Line'!$I$2:$I$1501,$V310)&amp;"")</f>
        <v/>
      </c>
      <c r="G310">
        <f>IF($V310="","",INDEX('Per Line'!$J$2:$J$1501,$V310)&amp;"")</f>
        <v/>
      </c>
      <c r="H310">
        <f>IF($V310="","",INDEX('Per Line'!$K$2:$K$1501,$V310)&amp;"")</f>
        <v/>
      </c>
      <c r="I310">
        <f>IF($V310="","",INDEX('Per Line'!$M$2:$M$1501,$V310))</f>
        <v/>
      </c>
      <c r="J310" s="7">
        <f>IF($V310="","",I310*T310/100)</f>
        <v/>
      </c>
      <c r="K310" s="7">
        <f>IF($V310="","",SUMIFS('Per Line'!$V$2:$V$1501,'Per Line'!$D$2:$D$1501,$B310,'Per Line'!$AN$2:$AN$1501,1))</f>
        <v/>
      </c>
      <c r="L310">
        <f>IF($V310="","",Settings!$C$7)</f>
        <v/>
      </c>
      <c r="M310" s="7">
        <f>IF($V310="","",SUMIFS('Per Line'!$V$2:$V$1501,'Per Line'!$D$2:$D$1501,$B310,'Per Line'!$AM$2:$AM$1501,0,'Per Line'!$AN$2:$AN$1501,0))</f>
        <v/>
      </c>
      <c r="N310" s="7">
        <f>IF($V310="","",M310*L310)</f>
        <v/>
      </c>
      <c r="O310">
        <f>IF($V310="","",Settings!$C$6)</f>
        <v/>
      </c>
      <c r="P310" s="7">
        <f>IF($V310="","",SUMIFS('Per Line'!$V$2:$V$1501,'Per Line'!$D$2:$D$1501,$B310,'Per Line'!$AM$2:$AM$1501,1,'Per Line'!$AN$2:$AN$1501,0))</f>
        <v/>
      </c>
      <c r="Q310" s="7">
        <f>IF($V310="","",P310*O310)</f>
        <v/>
      </c>
      <c r="R310" s="7">
        <f>IF($V310="","",Q310+N310)</f>
        <v/>
      </c>
      <c r="S310" s="7">
        <f>IF($V310="","",T310-R310)</f>
        <v/>
      </c>
      <c r="T310" s="7">
        <f>IF($V310="","",M310+P310+K310)</f>
        <v/>
      </c>
      <c r="U310" s="7">
        <f>IF($V310="","",T310-R310-J310)</f>
        <v/>
      </c>
      <c r="V310" s="13">
        <f>IF(ROWS($V$2:$V310)&lt;=MAX('Per Line'!$AL$2:$AL$1501),MATCH(ROWS($V$2:$V310),'Per Line'!$AL$2:$AL$1501,0),"")</f>
        <v/>
      </c>
    </row>
    <row r="311">
      <c r="A311" s="12" t="n"/>
      <c r="B311">
        <f>IF($V311="","",INDEX('Per Line'!$D$2:$D$1501,$V311)&amp;"")</f>
        <v/>
      </c>
      <c r="C311">
        <f>IF($V311="","",INDEX('Per Line'!$A$2:$A$1501,$V311))</f>
        <v/>
      </c>
      <c r="D311">
        <f>IF($V311="","",INDEX('Per Line'!$Z$2:$Z$1501,$V311)&amp;"")</f>
        <v/>
      </c>
      <c r="E311" s="11">
        <f>IF($V311="","",INDEX('Per Line'!$F$2:$F$1501,$V311))</f>
        <v/>
      </c>
      <c r="F311">
        <f>IF($V311="","",INDEX('Per Line'!$I$2:$I$1501,$V311)&amp;"")</f>
        <v/>
      </c>
      <c r="G311">
        <f>IF($V311="","",INDEX('Per Line'!$J$2:$J$1501,$V311)&amp;"")</f>
        <v/>
      </c>
      <c r="H311">
        <f>IF($V311="","",INDEX('Per Line'!$K$2:$K$1501,$V311)&amp;"")</f>
        <v/>
      </c>
      <c r="I311">
        <f>IF($V311="","",INDEX('Per Line'!$M$2:$M$1501,$V311))</f>
        <v/>
      </c>
      <c r="J311" s="7">
        <f>IF($V311="","",I311*T311/100)</f>
        <v/>
      </c>
      <c r="K311" s="7">
        <f>IF($V311="","",SUMIFS('Per Line'!$V$2:$V$1501,'Per Line'!$D$2:$D$1501,$B311,'Per Line'!$AN$2:$AN$1501,1))</f>
        <v/>
      </c>
      <c r="L311">
        <f>IF($V311="","",Settings!$C$7)</f>
        <v/>
      </c>
      <c r="M311" s="7">
        <f>IF($V311="","",SUMIFS('Per Line'!$V$2:$V$1501,'Per Line'!$D$2:$D$1501,$B311,'Per Line'!$AM$2:$AM$1501,0,'Per Line'!$AN$2:$AN$1501,0))</f>
        <v/>
      </c>
      <c r="N311" s="7">
        <f>IF($V311="","",M311*L311)</f>
        <v/>
      </c>
      <c r="O311">
        <f>IF($V311="","",Settings!$C$6)</f>
        <v/>
      </c>
      <c r="P311" s="7">
        <f>IF($V311="","",SUMIFS('Per Line'!$V$2:$V$1501,'Per Line'!$D$2:$D$1501,$B311,'Per Line'!$AM$2:$AM$1501,1,'Per Line'!$AN$2:$AN$1501,0))</f>
        <v/>
      </c>
      <c r="Q311" s="7">
        <f>IF($V311="","",P311*O311)</f>
        <v/>
      </c>
      <c r="R311" s="7">
        <f>IF($V311="","",Q311+N311)</f>
        <v/>
      </c>
      <c r="S311" s="7">
        <f>IF($V311="","",T311-R311)</f>
        <v/>
      </c>
      <c r="T311" s="7">
        <f>IF($V311="","",M311+P311+K311)</f>
        <v/>
      </c>
      <c r="U311" s="7">
        <f>IF($V311="","",T311-R311-J311)</f>
        <v/>
      </c>
      <c r="V311" s="13">
        <f>IF(ROWS($V$2:$V311)&lt;=MAX('Per Line'!$AL$2:$AL$1501),MATCH(ROWS($V$2:$V311),'Per Line'!$AL$2:$AL$1501,0),"")</f>
        <v/>
      </c>
    </row>
    <row r="312">
      <c r="A312" s="12" t="n"/>
      <c r="B312">
        <f>IF($V312="","",INDEX('Per Line'!$D$2:$D$1501,$V312)&amp;"")</f>
        <v/>
      </c>
      <c r="C312">
        <f>IF($V312="","",INDEX('Per Line'!$A$2:$A$1501,$V312))</f>
        <v/>
      </c>
      <c r="D312">
        <f>IF($V312="","",INDEX('Per Line'!$Z$2:$Z$1501,$V312)&amp;"")</f>
        <v/>
      </c>
      <c r="E312" s="11">
        <f>IF($V312="","",INDEX('Per Line'!$F$2:$F$1501,$V312))</f>
        <v/>
      </c>
      <c r="F312">
        <f>IF($V312="","",INDEX('Per Line'!$I$2:$I$1501,$V312)&amp;"")</f>
        <v/>
      </c>
      <c r="G312">
        <f>IF($V312="","",INDEX('Per Line'!$J$2:$J$1501,$V312)&amp;"")</f>
        <v/>
      </c>
      <c r="H312">
        <f>IF($V312="","",INDEX('Per Line'!$K$2:$K$1501,$V312)&amp;"")</f>
        <v/>
      </c>
      <c r="I312">
        <f>IF($V312="","",INDEX('Per Line'!$M$2:$M$1501,$V312))</f>
        <v/>
      </c>
      <c r="J312" s="7">
        <f>IF($V312="","",I312*T312/100)</f>
        <v/>
      </c>
      <c r="K312" s="7">
        <f>IF($V312="","",SUMIFS('Per Line'!$V$2:$V$1501,'Per Line'!$D$2:$D$1501,$B312,'Per Line'!$AN$2:$AN$1501,1))</f>
        <v/>
      </c>
      <c r="L312">
        <f>IF($V312="","",Settings!$C$7)</f>
        <v/>
      </c>
      <c r="M312" s="7">
        <f>IF($V312="","",SUMIFS('Per Line'!$V$2:$V$1501,'Per Line'!$D$2:$D$1501,$B312,'Per Line'!$AM$2:$AM$1501,0,'Per Line'!$AN$2:$AN$1501,0))</f>
        <v/>
      </c>
      <c r="N312" s="7">
        <f>IF($V312="","",M312*L312)</f>
        <v/>
      </c>
      <c r="O312">
        <f>IF($V312="","",Settings!$C$6)</f>
        <v/>
      </c>
      <c r="P312" s="7">
        <f>IF($V312="","",SUMIFS('Per Line'!$V$2:$V$1501,'Per Line'!$D$2:$D$1501,$B312,'Per Line'!$AM$2:$AM$1501,1,'Per Line'!$AN$2:$AN$1501,0))</f>
        <v/>
      </c>
      <c r="Q312" s="7">
        <f>IF($V312="","",P312*O312)</f>
        <v/>
      </c>
      <c r="R312" s="7">
        <f>IF($V312="","",Q312+N312)</f>
        <v/>
      </c>
      <c r="S312" s="7">
        <f>IF($V312="","",T312-R312)</f>
        <v/>
      </c>
      <c r="T312" s="7">
        <f>IF($V312="","",M312+P312+K312)</f>
        <v/>
      </c>
      <c r="U312" s="7">
        <f>IF($V312="","",T312-R312-J312)</f>
        <v/>
      </c>
      <c r="V312" s="13">
        <f>IF(ROWS($V$2:$V312)&lt;=MAX('Per Line'!$AL$2:$AL$1501),MATCH(ROWS($V$2:$V312),'Per Line'!$AL$2:$AL$1501,0),"")</f>
        <v/>
      </c>
    </row>
    <row r="313">
      <c r="A313" s="12" t="n"/>
      <c r="B313">
        <f>IF($V313="","",INDEX('Per Line'!$D$2:$D$1501,$V313)&amp;"")</f>
        <v/>
      </c>
      <c r="C313">
        <f>IF($V313="","",INDEX('Per Line'!$A$2:$A$1501,$V313))</f>
        <v/>
      </c>
      <c r="D313">
        <f>IF($V313="","",INDEX('Per Line'!$Z$2:$Z$1501,$V313)&amp;"")</f>
        <v/>
      </c>
      <c r="E313" s="11">
        <f>IF($V313="","",INDEX('Per Line'!$F$2:$F$1501,$V313))</f>
        <v/>
      </c>
      <c r="F313">
        <f>IF($V313="","",INDEX('Per Line'!$I$2:$I$1501,$V313)&amp;"")</f>
        <v/>
      </c>
      <c r="G313">
        <f>IF($V313="","",INDEX('Per Line'!$J$2:$J$1501,$V313)&amp;"")</f>
        <v/>
      </c>
      <c r="H313">
        <f>IF($V313="","",INDEX('Per Line'!$K$2:$K$1501,$V313)&amp;"")</f>
        <v/>
      </c>
      <c r="I313">
        <f>IF($V313="","",INDEX('Per Line'!$M$2:$M$1501,$V313))</f>
        <v/>
      </c>
      <c r="J313" s="7">
        <f>IF($V313="","",I313*T313/100)</f>
        <v/>
      </c>
      <c r="K313" s="7">
        <f>IF($V313="","",SUMIFS('Per Line'!$V$2:$V$1501,'Per Line'!$D$2:$D$1501,$B313,'Per Line'!$AN$2:$AN$1501,1))</f>
        <v/>
      </c>
      <c r="L313">
        <f>IF($V313="","",Settings!$C$7)</f>
        <v/>
      </c>
      <c r="M313" s="7">
        <f>IF($V313="","",SUMIFS('Per Line'!$V$2:$V$1501,'Per Line'!$D$2:$D$1501,$B313,'Per Line'!$AM$2:$AM$1501,0,'Per Line'!$AN$2:$AN$1501,0))</f>
        <v/>
      </c>
      <c r="N313" s="7">
        <f>IF($V313="","",M313*L313)</f>
        <v/>
      </c>
      <c r="O313">
        <f>IF($V313="","",Settings!$C$6)</f>
        <v/>
      </c>
      <c r="P313" s="7">
        <f>IF($V313="","",SUMIFS('Per Line'!$V$2:$V$1501,'Per Line'!$D$2:$D$1501,$B313,'Per Line'!$AM$2:$AM$1501,1,'Per Line'!$AN$2:$AN$1501,0))</f>
        <v/>
      </c>
      <c r="Q313" s="7">
        <f>IF($V313="","",P313*O313)</f>
        <v/>
      </c>
      <c r="R313" s="7">
        <f>IF($V313="","",Q313+N313)</f>
        <v/>
      </c>
      <c r="S313" s="7">
        <f>IF($V313="","",T313-R313)</f>
        <v/>
      </c>
      <c r="T313" s="7">
        <f>IF($V313="","",M313+P313+K313)</f>
        <v/>
      </c>
      <c r="U313" s="7">
        <f>IF($V313="","",T313-R313-J313)</f>
        <v/>
      </c>
      <c r="V313" s="13">
        <f>IF(ROWS($V$2:$V313)&lt;=MAX('Per Line'!$AL$2:$AL$1501),MATCH(ROWS($V$2:$V313),'Per Line'!$AL$2:$AL$1501,0),"")</f>
        <v/>
      </c>
    </row>
    <row r="314">
      <c r="A314" s="12" t="n"/>
      <c r="B314">
        <f>IF($V314="","",INDEX('Per Line'!$D$2:$D$1501,$V314)&amp;"")</f>
        <v/>
      </c>
      <c r="C314">
        <f>IF($V314="","",INDEX('Per Line'!$A$2:$A$1501,$V314))</f>
        <v/>
      </c>
      <c r="D314">
        <f>IF($V314="","",INDEX('Per Line'!$Z$2:$Z$1501,$V314)&amp;"")</f>
        <v/>
      </c>
      <c r="E314" s="11">
        <f>IF($V314="","",INDEX('Per Line'!$F$2:$F$1501,$V314))</f>
        <v/>
      </c>
      <c r="F314">
        <f>IF($V314="","",INDEX('Per Line'!$I$2:$I$1501,$V314)&amp;"")</f>
        <v/>
      </c>
      <c r="G314">
        <f>IF($V314="","",INDEX('Per Line'!$J$2:$J$1501,$V314)&amp;"")</f>
        <v/>
      </c>
      <c r="H314">
        <f>IF($V314="","",INDEX('Per Line'!$K$2:$K$1501,$V314)&amp;"")</f>
        <v/>
      </c>
      <c r="I314">
        <f>IF($V314="","",INDEX('Per Line'!$M$2:$M$1501,$V314))</f>
        <v/>
      </c>
      <c r="J314" s="7">
        <f>IF($V314="","",I314*T314/100)</f>
        <v/>
      </c>
      <c r="K314" s="7">
        <f>IF($V314="","",SUMIFS('Per Line'!$V$2:$V$1501,'Per Line'!$D$2:$D$1501,$B314,'Per Line'!$AN$2:$AN$1501,1))</f>
        <v/>
      </c>
      <c r="L314">
        <f>IF($V314="","",Settings!$C$7)</f>
        <v/>
      </c>
      <c r="M314" s="7">
        <f>IF($V314="","",SUMIFS('Per Line'!$V$2:$V$1501,'Per Line'!$D$2:$D$1501,$B314,'Per Line'!$AM$2:$AM$1501,0,'Per Line'!$AN$2:$AN$1501,0))</f>
        <v/>
      </c>
      <c r="N314" s="7">
        <f>IF($V314="","",M314*L314)</f>
        <v/>
      </c>
      <c r="O314">
        <f>IF($V314="","",Settings!$C$6)</f>
        <v/>
      </c>
      <c r="P314" s="7">
        <f>IF($V314="","",SUMIFS('Per Line'!$V$2:$V$1501,'Per Line'!$D$2:$D$1501,$B314,'Per Line'!$AM$2:$AM$1501,1,'Per Line'!$AN$2:$AN$1501,0))</f>
        <v/>
      </c>
      <c r="Q314" s="7">
        <f>IF($V314="","",P314*O314)</f>
        <v/>
      </c>
      <c r="R314" s="7">
        <f>IF($V314="","",Q314+N314)</f>
        <v/>
      </c>
      <c r="S314" s="7">
        <f>IF($V314="","",T314-R314)</f>
        <v/>
      </c>
      <c r="T314" s="7">
        <f>IF($V314="","",M314+P314+K314)</f>
        <v/>
      </c>
      <c r="U314" s="7">
        <f>IF($V314="","",T314-R314-J314)</f>
        <v/>
      </c>
      <c r="V314" s="13">
        <f>IF(ROWS($V$2:$V314)&lt;=MAX('Per Line'!$AL$2:$AL$1501),MATCH(ROWS($V$2:$V314),'Per Line'!$AL$2:$AL$1501,0),"")</f>
        <v/>
      </c>
    </row>
    <row r="315">
      <c r="A315" s="12" t="n"/>
      <c r="B315">
        <f>IF($V315="","",INDEX('Per Line'!$D$2:$D$1501,$V315)&amp;"")</f>
        <v/>
      </c>
      <c r="C315">
        <f>IF($V315="","",INDEX('Per Line'!$A$2:$A$1501,$V315))</f>
        <v/>
      </c>
      <c r="D315">
        <f>IF($V315="","",INDEX('Per Line'!$Z$2:$Z$1501,$V315)&amp;"")</f>
        <v/>
      </c>
      <c r="E315" s="11">
        <f>IF($V315="","",INDEX('Per Line'!$F$2:$F$1501,$V315))</f>
        <v/>
      </c>
      <c r="F315">
        <f>IF($V315="","",INDEX('Per Line'!$I$2:$I$1501,$V315)&amp;"")</f>
        <v/>
      </c>
      <c r="G315">
        <f>IF($V315="","",INDEX('Per Line'!$J$2:$J$1501,$V315)&amp;"")</f>
        <v/>
      </c>
      <c r="H315">
        <f>IF($V315="","",INDEX('Per Line'!$K$2:$K$1501,$V315)&amp;"")</f>
        <v/>
      </c>
      <c r="I315">
        <f>IF($V315="","",INDEX('Per Line'!$M$2:$M$1501,$V315))</f>
        <v/>
      </c>
      <c r="J315" s="7">
        <f>IF($V315="","",I315*T315/100)</f>
        <v/>
      </c>
      <c r="K315" s="7">
        <f>IF($V315="","",SUMIFS('Per Line'!$V$2:$V$1501,'Per Line'!$D$2:$D$1501,$B315,'Per Line'!$AN$2:$AN$1501,1))</f>
        <v/>
      </c>
      <c r="L315">
        <f>IF($V315="","",Settings!$C$7)</f>
        <v/>
      </c>
      <c r="M315" s="7">
        <f>IF($V315="","",SUMIFS('Per Line'!$V$2:$V$1501,'Per Line'!$D$2:$D$1501,$B315,'Per Line'!$AM$2:$AM$1501,0,'Per Line'!$AN$2:$AN$1501,0))</f>
        <v/>
      </c>
      <c r="N315" s="7">
        <f>IF($V315="","",M315*L315)</f>
        <v/>
      </c>
      <c r="O315">
        <f>IF($V315="","",Settings!$C$6)</f>
        <v/>
      </c>
      <c r="P315" s="7">
        <f>IF($V315="","",SUMIFS('Per Line'!$V$2:$V$1501,'Per Line'!$D$2:$D$1501,$B315,'Per Line'!$AM$2:$AM$1501,1,'Per Line'!$AN$2:$AN$1501,0))</f>
        <v/>
      </c>
      <c r="Q315" s="7">
        <f>IF($V315="","",P315*O315)</f>
        <v/>
      </c>
      <c r="R315" s="7">
        <f>IF($V315="","",Q315+N315)</f>
        <v/>
      </c>
      <c r="S315" s="7">
        <f>IF($V315="","",T315-R315)</f>
        <v/>
      </c>
      <c r="T315" s="7">
        <f>IF($V315="","",M315+P315+K315)</f>
        <v/>
      </c>
      <c r="U315" s="7">
        <f>IF($V315="","",T315-R315-J315)</f>
        <v/>
      </c>
      <c r="V315" s="13">
        <f>IF(ROWS($V$2:$V315)&lt;=MAX('Per Line'!$AL$2:$AL$1501),MATCH(ROWS($V$2:$V315),'Per Line'!$AL$2:$AL$1501,0),"")</f>
        <v/>
      </c>
    </row>
    <row r="316">
      <c r="A316" s="12" t="n"/>
      <c r="B316">
        <f>IF($V316="","",INDEX('Per Line'!$D$2:$D$1501,$V316)&amp;"")</f>
        <v/>
      </c>
      <c r="C316">
        <f>IF($V316="","",INDEX('Per Line'!$A$2:$A$1501,$V316))</f>
        <v/>
      </c>
      <c r="D316">
        <f>IF($V316="","",INDEX('Per Line'!$Z$2:$Z$1501,$V316)&amp;"")</f>
        <v/>
      </c>
      <c r="E316" s="11">
        <f>IF($V316="","",INDEX('Per Line'!$F$2:$F$1501,$V316))</f>
        <v/>
      </c>
      <c r="F316">
        <f>IF($V316="","",INDEX('Per Line'!$I$2:$I$1501,$V316)&amp;"")</f>
        <v/>
      </c>
      <c r="G316">
        <f>IF($V316="","",INDEX('Per Line'!$J$2:$J$1501,$V316)&amp;"")</f>
        <v/>
      </c>
      <c r="H316">
        <f>IF($V316="","",INDEX('Per Line'!$K$2:$K$1501,$V316)&amp;"")</f>
        <v/>
      </c>
      <c r="I316">
        <f>IF($V316="","",INDEX('Per Line'!$M$2:$M$1501,$V316))</f>
        <v/>
      </c>
      <c r="J316" s="7">
        <f>IF($V316="","",I316*T316/100)</f>
        <v/>
      </c>
      <c r="K316" s="7">
        <f>IF($V316="","",SUMIFS('Per Line'!$V$2:$V$1501,'Per Line'!$D$2:$D$1501,$B316,'Per Line'!$AN$2:$AN$1501,1))</f>
        <v/>
      </c>
      <c r="L316">
        <f>IF($V316="","",Settings!$C$7)</f>
        <v/>
      </c>
      <c r="M316" s="7">
        <f>IF($V316="","",SUMIFS('Per Line'!$V$2:$V$1501,'Per Line'!$D$2:$D$1501,$B316,'Per Line'!$AM$2:$AM$1501,0,'Per Line'!$AN$2:$AN$1501,0))</f>
        <v/>
      </c>
      <c r="N316" s="7">
        <f>IF($V316="","",M316*L316)</f>
        <v/>
      </c>
      <c r="O316">
        <f>IF($V316="","",Settings!$C$6)</f>
        <v/>
      </c>
      <c r="P316" s="7">
        <f>IF($V316="","",SUMIFS('Per Line'!$V$2:$V$1501,'Per Line'!$D$2:$D$1501,$B316,'Per Line'!$AM$2:$AM$1501,1,'Per Line'!$AN$2:$AN$1501,0))</f>
        <v/>
      </c>
      <c r="Q316" s="7">
        <f>IF($V316="","",P316*O316)</f>
        <v/>
      </c>
      <c r="R316" s="7">
        <f>IF($V316="","",Q316+N316)</f>
        <v/>
      </c>
      <c r="S316" s="7">
        <f>IF($V316="","",T316-R316)</f>
        <v/>
      </c>
      <c r="T316" s="7">
        <f>IF($V316="","",M316+P316+K316)</f>
        <v/>
      </c>
      <c r="U316" s="7">
        <f>IF($V316="","",T316-R316-J316)</f>
        <v/>
      </c>
      <c r="V316" s="13">
        <f>IF(ROWS($V$2:$V316)&lt;=MAX('Per Line'!$AL$2:$AL$1501),MATCH(ROWS($V$2:$V316),'Per Line'!$AL$2:$AL$1501,0),"")</f>
        <v/>
      </c>
    </row>
    <row r="317">
      <c r="A317" s="12" t="n"/>
      <c r="B317">
        <f>IF($V317="","",INDEX('Per Line'!$D$2:$D$1501,$V317)&amp;"")</f>
        <v/>
      </c>
      <c r="C317">
        <f>IF($V317="","",INDEX('Per Line'!$A$2:$A$1501,$V317))</f>
        <v/>
      </c>
      <c r="D317">
        <f>IF($V317="","",INDEX('Per Line'!$Z$2:$Z$1501,$V317)&amp;"")</f>
        <v/>
      </c>
      <c r="E317" s="11">
        <f>IF($V317="","",INDEX('Per Line'!$F$2:$F$1501,$V317))</f>
        <v/>
      </c>
      <c r="F317">
        <f>IF($V317="","",INDEX('Per Line'!$I$2:$I$1501,$V317)&amp;"")</f>
        <v/>
      </c>
      <c r="G317">
        <f>IF($V317="","",INDEX('Per Line'!$J$2:$J$1501,$V317)&amp;"")</f>
        <v/>
      </c>
      <c r="H317">
        <f>IF($V317="","",INDEX('Per Line'!$K$2:$K$1501,$V317)&amp;"")</f>
        <v/>
      </c>
      <c r="I317">
        <f>IF($V317="","",INDEX('Per Line'!$M$2:$M$1501,$V317))</f>
        <v/>
      </c>
      <c r="J317" s="7">
        <f>IF($V317="","",I317*T317/100)</f>
        <v/>
      </c>
      <c r="K317" s="7">
        <f>IF($V317="","",SUMIFS('Per Line'!$V$2:$V$1501,'Per Line'!$D$2:$D$1501,$B317,'Per Line'!$AN$2:$AN$1501,1))</f>
        <v/>
      </c>
      <c r="L317">
        <f>IF($V317="","",Settings!$C$7)</f>
        <v/>
      </c>
      <c r="M317" s="7">
        <f>IF($V317="","",SUMIFS('Per Line'!$V$2:$V$1501,'Per Line'!$D$2:$D$1501,$B317,'Per Line'!$AM$2:$AM$1501,0,'Per Line'!$AN$2:$AN$1501,0))</f>
        <v/>
      </c>
      <c r="N317" s="7">
        <f>IF($V317="","",M317*L317)</f>
        <v/>
      </c>
      <c r="O317">
        <f>IF($V317="","",Settings!$C$6)</f>
        <v/>
      </c>
      <c r="P317" s="7">
        <f>IF($V317="","",SUMIFS('Per Line'!$V$2:$V$1501,'Per Line'!$D$2:$D$1501,$B317,'Per Line'!$AM$2:$AM$1501,1,'Per Line'!$AN$2:$AN$1501,0))</f>
        <v/>
      </c>
      <c r="Q317" s="7">
        <f>IF($V317="","",P317*O317)</f>
        <v/>
      </c>
      <c r="R317" s="7">
        <f>IF($V317="","",Q317+N317)</f>
        <v/>
      </c>
      <c r="S317" s="7">
        <f>IF($V317="","",T317-R317)</f>
        <v/>
      </c>
      <c r="T317" s="7">
        <f>IF($V317="","",M317+P317+K317)</f>
        <v/>
      </c>
      <c r="U317" s="7">
        <f>IF($V317="","",T317-R317-J317)</f>
        <v/>
      </c>
      <c r="V317" s="13">
        <f>IF(ROWS($V$2:$V317)&lt;=MAX('Per Line'!$AL$2:$AL$1501),MATCH(ROWS($V$2:$V317),'Per Line'!$AL$2:$AL$1501,0),"")</f>
        <v/>
      </c>
    </row>
    <row r="318">
      <c r="A318" s="12" t="n"/>
      <c r="B318">
        <f>IF($V318="","",INDEX('Per Line'!$D$2:$D$1501,$V318)&amp;"")</f>
        <v/>
      </c>
      <c r="C318">
        <f>IF($V318="","",INDEX('Per Line'!$A$2:$A$1501,$V318))</f>
        <v/>
      </c>
      <c r="D318">
        <f>IF($V318="","",INDEX('Per Line'!$Z$2:$Z$1501,$V318)&amp;"")</f>
        <v/>
      </c>
      <c r="E318" s="11">
        <f>IF($V318="","",INDEX('Per Line'!$F$2:$F$1501,$V318))</f>
        <v/>
      </c>
      <c r="F318">
        <f>IF($V318="","",INDEX('Per Line'!$I$2:$I$1501,$V318)&amp;"")</f>
        <v/>
      </c>
      <c r="G318">
        <f>IF($V318="","",INDEX('Per Line'!$J$2:$J$1501,$V318)&amp;"")</f>
        <v/>
      </c>
      <c r="H318">
        <f>IF($V318="","",INDEX('Per Line'!$K$2:$K$1501,$V318)&amp;"")</f>
        <v/>
      </c>
      <c r="I318">
        <f>IF($V318="","",INDEX('Per Line'!$M$2:$M$1501,$V318))</f>
        <v/>
      </c>
      <c r="J318" s="7">
        <f>IF($V318="","",I318*T318/100)</f>
        <v/>
      </c>
      <c r="K318" s="7">
        <f>IF($V318="","",SUMIFS('Per Line'!$V$2:$V$1501,'Per Line'!$D$2:$D$1501,$B318,'Per Line'!$AN$2:$AN$1501,1))</f>
        <v/>
      </c>
      <c r="L318">
        <f>IF($V318="","",Settings!$C$7)</f>
        <v/>
      </c>
      <c r="M318" s="7">
        <f>IF($V318="","",SUMIFS('Per Line'!$V$2:$V$1501,'Per Line'!$D$2:$D$1501,$B318,'Per Line'!$AM$2:$AM$1501,0,'Per Line'!$AN$2:$AN$1501,0))</f>
        <v/>
      </c>
      <c r="N318" s="7">
        <f>IF($V318="","",M318*L318)</f>
        <v/>
      </c>
      <c r="O318">
        <f>IF($V318="","",Settings!$C$6)</f>
        <v/>
      </c>
      <c r="P318" s="7">
        <f>IF($V318="","",SUMIFS('Per Line'!$V$2:$V$1501,'Per Line'!$D$2:$D$1501,$B318,'Per Line'!$AM$2:$AM$1501,1,'Per Line'!$AN$2:$AN$1501,0))</f>
        <v/>
      </c>
      <c r="Q318" s="7">
        <f>IF($V318="","",P318*O318)</f>
        <v/>
      </c>
      <c r="R318" s="7">
        <f>IF($V318="","",Q318+N318)</f>
        <v/>
      </c>
      <c r="S318" s="7">
        <f>IF($V318="","",T318-R318)</f>
        <v/>
      </c>
      <c r="T318" s="7">
        <f>IF($V318="","",M318+P318+K318)</f>
        <v/>
      </c>
      <c r="U318" s="7">
        <f>IF($V318="","",T318-R318-J318)</f>
        <v/>
      </c>
      <c r="V318" s="13">
        <f>IF(ROWS($V$2:$V318)&lt;=MAX('Per Line'!$AL$2:$AL$1501),MATCH(ROWS($V$2:$V318),'Per Line'!$AL$2:$AL$1501,0),"")</f>
        <v/>
      </c>
    </row>
    <row r="319">
      <c r="A319" s="12" t="n"/>
      <c r="B319">
        <f>IF($V319="","",INDEX('Per Line'!$D$2:$D$1501,$V319)&amp;"")</f>
        <v/>
      </c>
      <c r="C319">
        <f>IF($V319="","",INDEX('Per Line'!$A$2:$A$1501,$V319))</f>
        <v/>
      </c>
      <c r="D319">
        <f>IF($V319="","",INDEX('Per Line'!$Z$2:$Z$1501,$V319)&amp;"")</f>
        <v/>
      </c>
      <c r="E319" s="11">
        <f>IF($V319="","",INDEX('Per Line'!$F$2:$F$1501,$V319))</f>
        <v/>
      </c>
      <c r="F319">
        <f>IF($V319="","",INDEX('Per Line'!$I$2:$I$1501,$V319)&amp;"")</f>
        <v/>
      </c>
      <c r="G319">
        <f>IF($V319="","",INDEX('Per Line'!$J$2:$J$1501,$V319)&amp;"")</f>
        <v/>
      </c>
      <c r="H319">
        <f>IF($V319="","",INDEX('Per Line'!$K$2:$K$1501,$V319)&amp;"")</f>
        <v/>
      </c>
      <c r="I319">
        <f>IF($V319="","",INDEX('Per Line'!$M$2:$M$1501,$V319))</f>
        <v/>
      </c>
      <c r="J319" s="7">
        <f>IF($V319="","",I319*T319/100)</f>
        <v/>
      </c>
      <c r="K319" s="7">
        <f>IF($V319="","",SUMIFS('Per Line'!$V$2:$V$1501,'Per Line'!$D$2:$D$1501,$B319,'Per Line'!$AN$2:$AN$1501,1))</f>
        <v/>
      </c>
      <c r="L319">
        <f>IF($V319="","",Settings!$C$7)</f>
        <v/>
      </c>
      <c r="M319" s="7">
        <f>IF($V319="","",SUMIFS('Per Line'!$V$2:$V$1501,'Per Line'!$D$2:$D$1501,$B319,'Per Line'!$AM$2:$AM$1501,0,'Per Line'!$AN$2:$AN$1501,0))</f>
        <v/>
      </c>
      <c r="N319" s="7">
        <f>IF($V319="","",M319*L319)</f>
        <v/>
      </c>
      <c r="O319">
        <f>IF($V319="","",Settings!$C$6)</f>
        <v/>
      </c>
      <c r="P319" s="7">
        <f>IF($V319="","",SUMIFS('Per Line'!$V$2:$V$1501,'Per Line'!$D$2:$D$1501,$B319,'Per Line'!$AM$2:$AM$1501,1,'Per Line'!$AN$2:$AN$1501,0))</f>
        <v/>
      </c>
      <c r="Q319" s="7">
        <f>IF($V319="","",P319*O319)</f>
        <v/>
      </c>
      <c r="R319" s="7">
        <f>IF($V319="","",Q319+N319)</f>
        <v/>
      </c>
      <c r="S319" s="7">
        <f>IF($V319="","",T319-R319)</f>
        <v/>
      </c>
      <c r="T319" s="7">
        <f>IF($V319="","",M319+P319+K319)</f>
        <v/>
      </c>
      <c r="U319" s="7">
        <f>IF($V319="","",T319-R319-J319)</f>
        <v/>
      </c>
      <c r="V319" s="13">
        <f>IF(ROWS($V$2:$V319)&lt;=MAX('Per Line'!$AL$2:$AL$1501),MATCH(ROWS($V$2:$V319),'Per Line'!$AL$2:$AL$1501,0),"")</f>
        <v/>
      </c>
    </row>
    <row r="320">
      <c r="A320" s="12" t="n"/>
      <c r="B320">
        <f>IF($V320="","",INDEX('Per Line'!$D$2:$D$1501,$V320)&amp;"")</f>
        <v/>
      </c>
      <c r="C320">
        <f>IF($V320="","",INDEX('Per Line'!$A$2:$A$1501,$V320))</f>
        <v/>
      </c>
      <c r="D320">
        <f>IF($V320="","",INDEX('Per Line'!$Z$2:$Z$1501,$V320)&amp;"")</f>
        <v/>
      </c>
      <c r="E320" s="11">
        <f>IF($V320="","",INDEX('Per Line'!$F$2:$F$1501,$V320))</f>
        <v/>
      </c>
      <c r="F320">
        <f>IF($V320="","",INDEX('Per Line'!$I$2:$I$1501,$V320)&amp;"")</f>
        <v/>
      </c>
      <c r="G320">
        <f>IF($V320="","",INDEX('Per Line'!$J$2:$J$1501,$V320)&amp;"")</f>
        <v/>
      </c>
      <c r="H320">
        <f>IF($V320="","",INDEX('Per Line'!$K$2:$K$1501,$V320)&amp;"")</f>
        <v/>
      </c>
      <c r="I320">
        <f>IF($V320="","",INDEX('Per Line'!$M$2:$M$1501,$V320))</f>
        <v/>
      </c>
      <c r="J320" s="7">
        <f>IF($V320="","",I320*T320/100)</f>
        <v/>
      </c>
      <c r="K320" s="7">
        <f>IF($V320="","",SUMIFS('Per Line'!$V$2:$V$1501,'Per Line'!$D$2:$D$1501,$B320,'Per Line'!$AN$2:$AN$1501,1))</f>
        <v/>
      </c>
      <c r="L320">
        <f>IF($V320="","",Settings!$C$7)</f>
        <v/>
      </c>
      <c r="M320" s="7">
        <f>IF($V320="","",SUMIFS('Per Line'!$V$2:$V$1501,'Per Line'!$D$2:$D$1501,$B320,'Per Line'!$AM$2:$AM$1501,0,'Per Line'!$AN$2:$AN$1501,0))</f>
        <v/>
      </c>
      <c r="N320" s="7">
        <f>IF($V320="","",M320*L320)</f>
        <v/>
      </c>
      <c r="O320">
        <f>IF($V320="","",Settings!$C$6)</f>
        <v/>
      </c>
      <c r="P320" s="7">
        <f>IF($V320="","",SUMIFS('Per Line'!$V$2:$V$1501,'Per Line'!$D$2:$D$1501,$B320,'Per Line'!$AM$2:$AM$1501,1,'Per Line'!$AN$2:$AN$1501,0))</f>
        <v/>
      </c>
      <c r="Q320" s="7">
        <f>IF($V320="","",P320*O320)</f>
        <v/>
      </c>
      <c r="R320" s="7">
        <f>IF($V320="","",Q320+N320)</f>
        <v/>
      </c>
      <c r="S320" s="7">
        <f>IF($V320="","",T320-R320)</f>
        <v/>
      </c>
      <c r="T320" s="7">
        <f>IF($V320="","",M320+P320+K320)</f>
        <v/>
      </c>
      <c r="U320" s="7">
        <f>IF($V320="","",T320-R320-J320)</f>
        <v/>
      </c>
      <c r="V320" s="13">
        <f>IF(ROWS($V$2:$V320)&lt;=MAX('Per Line'!$AL$2:$AL$1501),MATCH(ROWS($V$2:$V320),'Per Line'!$AL$2:$AL$1501,0),"")</f>
        <v/>
      </c>
    </row>
    <row r="321">
      <c r="A321" s="12" t="n"/>
      <c r="B321">
        <f>IF($V321="","",INDEX('Per Line'!$D$2:$D$1501,$V321)&amp;"")</f>
        <v/>
      </c>
      <c r="C321">
        <f>IF($V321="","",INDEX('Per Line'!$A$2:$A$1501,$V321))</f>
        <v/>
      </c>
      <c r="D321">
        <f>IF($V321="","",INDEX('Per Line'!$Z$2:$Z$1501,$V321)&amp;"")</f>
        <v/>
      </c>
      <c r="E321" s="11">
        <f>IF($V321="","",INDEX('Per Line'!$F$2:$F$1501,$V321))</f>
        <v/>
      </c>
      <c r="F321">
        <f>IF($V321="","",INDEX('Per Line'!$I$2:$I$1501,$V321)&amp;"")</f>
        <v/>
      </c>
      <c r="G321">
        <f>IF($V321="","",INDEX('Per Line'!$J$2:$J$1501,$V321)&amp;"")</f>
        <v/>
      </c>
      <c r="H321">
        <f>IF($V321="","",INDEX('Per Line'!$K$2:$K$1501,$V321)&amp;"")</f>
        <v/>
      </c>
      <c r="I321">
        <f>IF($V321="","",INDEX('Per Line'!$M$2:$M$1501,$V321))</f>
        <v/>
      </c>
      <c r="J321" s="7">
        <f>IF($V321="","",I321*T321/100)</f>
        <v/>
      </c>
      <c r="K321" s="7">
        <f>IF($V321="","",SUMIFS('Per Line'!$V$2:$V$1501,'Per Line'!$D$2:$D$1501,$B321,'Per Line'!$AN$2:$AN$1501,1))</f>
        <v/>
      </c>
      <c r="L321">
        <f>IF($V321="","",Settings!$C$7)</f>
        <v/>
      </c>
      <c r="M321" s="7">
        <f>IF($V321="","",SUMIFS('Per Line'!$V$2:$V$1501,'Per Line'!$D$2:$D$1501,$B321,'Per Line'!$AM$2:$AM$1501,0,'Per Line'!$AN$2:$AN$1501,0))</f>
        <v/>
      </c>
      <c r="N321" s="7">
        <f>IF($V321="","",M321*L321)</f>
        <v/>
      </c>
      <c r="O321">
        <f>IF($V321="","",Settings!$C$6)</f>
        <v/>
      </c>
      <c r="P321" s="7">
        <f>IF($V321="","",SUMIFS('Per Line'!$V$2:$V$1501,'Per Line'!$D$2:$D$1501,$B321,'Per Line'!$AM$2:$AM$1501,1,'Per Line'!$AN$2:$AN$1501,0))</f>
        <v/>
      </c>
      <c r="Q321" s="7">
        <f>IF($V321="","",P321*O321)</f>
        <v/>
      </c>
      <c r="R321" s="7">
        <f>IF($V321="","",Q321+N321)</f>
        <v/>
      </c>
      <c r="S321" s="7">
        <f>IF($V321="","",T321-R321)</f>
        <v/>
      </c>
      <c r="T321" s="7">
        <f>IF($V321="","",M321+P321+K321)</f>
        <v/>
      </c>
      <c r="U321" s="7">
        <f>IF($V321="","",T321-R321-J321)</f>
        <v/>
      </c>
      <c r="V321" s="13">
        <f>IF(ROWS($V$2:$V321)&lt;=MAX('Per Line'!$AL$2:$AL$1501),MATCH(ROWS($V$2:$V321),'Per Line'!$AL$2:$AL$1501,0),"")</f>
        <v/>
      </c>
    </row>
    <row r="322">
      <c r="A322" s="12" t="n"/>
      <c r="B322">
        <f>IF($V322="","",INDEX('Per Line'!$D$2:$D$1501,$V322)&amp;"")</f>
        <v/>
      </c>
      <c r="C322">
        <f>IF($V322="","",INDEX('Per Line'!$A$2:$A$1501,$V322))</f>
        <v/>
      </c>
      <c r="D322">
        <f>IF($V322="","",INDEX('Per Line'!$Z$2:$Z$1501,$V322)&amp;"")</f>
        <v/>
      </c>
      <c r="E322" s="11">
        <f>IF($V322="","",INDEX('Per Line'!$F$2:$F$1501,$V322))</f>
        <v/>
      </c>
      <c r="F322">
        <f>IF($V322="","",INDEX('Per Line'!$I$2:$I$1501,$V322)&amp;"")</f>
        <v/>
      </c>
      <c r="G322">
        <f>IF($V322="","",INDEX('Per Line'!$J$2:$J$1501,$V322)&amp;"")</f>
        <v/>
      </c>
      <c r="H322">
        <f>IF($V322="","",INDEX('Per Line'!$K$2:$K$1501,$V322)&amp;"")</f>
        <v/>
      </c>
      <c r="I322">
        <f>IF($V322="","",INDEX('Per Line'!$M$2:$M$1501,$V322))</f>
        <v/>
      </c>
      <c r="J322" s="7">
        <f>IF($V322="","",I322*T322/100)</f>
        <v/>
      </c>
      <c r="K322" s="7">
        <f>IF($V322="","",SUMIFS('Per Line'!$V$2:$V$1501,'Per Line'!$D$2:$D$1501,$B322,'Per Line'!$AN$2:$AN$1501,1))</f>
        <v/>
      </c>
      <c r="L322">
        <f>IF($V322="","",Settings!$C$7)</f>
        <v/>
      </c>
      <c r="M322" s="7">
        <f>IF($V322="","",SUMIFS('Per Line'!$V$2:$V$1501,'Per Line'!$D$2:$D$1501,$B322,'Per Line'!$AM$2:$AM$1501,0,'Per Line'!$AN$2:$AN$1501,0))</f>
        <v/>
      </c>
      <c r="N322" s="7">
        <f>IF($V322="","",M322*L322)</f>
        <v/>
      </c>
      <c r="O322">
        <f>IF($V322="","",Settings!$C$6)</f>
        <v/>
      </c>
      <c r="P322" s="7">
        <f>IF($V322="","",SUMIFS('Per Line'!$V$2:$V$1501,'Per Line'!$D$2:$D$1501,$B322,'Per Line'!$AM$2:$AM$1501,1,'Per Line'!$AN$2:$AN$1501,0))</f>
        <v/>
      </c>
      <c r="Q322" s="7">
        <f>IF($V322="","",P322*O322)</f>
        <v/>
      </c>
      <c r="R322" s="7">
        <f>IF($V322="","",Q322+N322)</f>
        <v/>
      </c>
      <c r="S322" s="7">
        <f>IF($V322="","",T322-R322)</f>
        <v/>
      </c>
      <c r="T322" s="7">
        <f>IF($V322="","",M322+P322+K322)</f>
        <v/>
      </c>
      <c r="U322" s="7">
        <f>IF($V322="","",T322-R322-J322)</f>
        <v/>
      </c>
      <c r="V322" s="13">
        <f>IF(ROWS($V$2:$V322)&lt;=MAX('Per Line'!$AL$2:$AL$1501),MATCH(ROWS($V$2:$V322),'Per Line'!$AL$2:$AL$1501,0),"")</f>
        <v/>
      </c>
    </row>
    <row r="323">
      <c r="A323" s="12" t="n"/>
      <c r="B323">
        <f>IF($V323="","",INDEX('Per Line'!$D$2:$D$1501,$V323)&amp;"")</f>
        <v/>
      </c>
      <c r="C323">
        <f>IF($V323="","",INDEX('Per Line'!$A$2:$A$1501,$V323))</f>
        <v/>
      </c>
      <c r="D323">
        <f>IF($V323="","",INDEX('Per Line'!$Z$2:$Z$1501,$V323)&amp;"")</f>
        <v/>
      </c>
      <c r="E323" s="11">
        <f>IF($V323="","",INDEX('Per Line'!$F$2:$F$1501,$V323))</f>
        <v/>
      </c>
      <c r="F323">
        <f>IF($V323="","",INDEX('Per Line'!$I$2:$I$1501,$V323)&amp;"")</f>
        <v/>
      </c>
      <c r="G323">
        <f>IF($V323="","",INDEX('Per Line'!$J$2:$J$1501,$V323)&amp;"")</f>
        <v/>
      </c>
      <c r="H323">
        <f>IF($V323="","",INDEX('Per Line'!$K$2:$K$1501,$V323)&amp;"")</f>
        <v/>
      </c>
      <c r="I323">
        <f>IF($V323="","",INDEX('Per Line'!$M$2:$M$1501,$V323))</f>
        <v/>
      </c>
      <c r="J323" s="7">
        <f>IF($V323="","",I323*T323/100)</f>
        <v/>
      </c>
      <c r="K323" s="7">
        <f>IF($V323="","",SUMIFS('Per Line'!$V$2:$V$1501,'Per Line'!$D$2:$D$1501,$B323,'Per Line'!$AN$2:$AN$1501,1))</f>
        <v/>
      </c>
      <c r="L323">
        <f>IF($V323="","",Settings!$C$7)</f>
        <v/>
      </c>
      <c r="M323" s="7">
        <f>IF($V323="","",SUMIFS('Per Line'!$V$2:$V$1501,'Per Line'!$D$2:$D$1501,$B323,'Per Line'!$AM$2:$AM$1501,0,'Per Line'!$AN$2:$AN$1501,0))</f>
        <v/>
      </c>
      <c r="N323" s="7">
        <f>IF($V323="","",M323*L323)</f>
        <v/>
      </c>
      <c r="O323">
        <f>IF($V323="","",Settings!$C$6)</f>
        <v/>
      </c>
      <c r="P323" s="7">
        <f>IF($V323="","",SUMIFS('Per Line'!$V$2:$V$1501,'Per Line'!$D$2:$D$1501,$B323,'Per Line'!$AM$2:$AM$1501,1,'Per Line'!$AN$2:$AN$1501,0))</f>
        <v/>
      </c>
      <c r="Q323" s="7">
        <f>IF($V323="","",P323*O323)</f>
        <v/>
      </c>
      <c r="R323" s="7">
        <f>IF($V323="","",Q323+N323)</f>
        <v/>
      </c>
      <c r="S323" s="7">
        <f>IF($V323="","",T323-R323)</f>
        <v/>
      </c>
      <c r="T323" s="7">
        <f>IF($V323="","",M323+P323+K323)</f>
        <v/>
      </c>
      <c r="U323" s="7">
        <f>IF($V323="","",T323-R323-J323)</f>
        <v/>
      </c>
      <c r="V323" s="13">
        <f>IF(ROWS($V$2:$V323)&lt;=MAX('Per Line'!$AL$2:$AL$1501),MATCH(ROWS($V$2:$V323),'Per Line'!$AL$2:$AL$1501,0),"")</f>
        <v/>
      </c>
    </row>
    <row r="324">
      <c r="A324" s="12" t="n"/>
      <c r="B324">
        <f>IF($V324="","",INDEX('Per Line'!$D$2:$D$1501,$V324)&amp;"")</f>
        <v/>
      </c>
      <c r="C324">
        <f>IF($V324="","",INDEX('Per Line'!$A$2:$A$1501,$V324))</f>
        <v/>
      </c>
      <c r="D324">
        <f>IF($V324="","",INDEX('Per Line'!$Z$2:$Z$1501,$V324)&amp;"")</f>
        <v/>
      </c>
      <c r="E324" s="11">
        <f>IF($V324="","",INDEX('Per Line'!$F$2:$F$1501,$V324))</f>
        <v/>
      </c>
      <c r="F324">
        <f>IF($V324="","",INDEX('Per Line'!$I$2:$I$1501,$V324)&amp;"")</f>
        <v/>
      </c>
      <c r="G324">
        <f>IF($V324="","",INDEX('Per Line'!$J$2:$J$1501,$V324)&amp;"")</f>
        <v/>
      </c>
      <c r="H324">
        <f>IF($V324="","",INDEX('Per Line'!$K$2:$K$1501,$V324)&amp;"")</f>
        <v/>
      </c>
      <c r="I324">
        <f>IF($V324="","",INDEX('Per Line'!$M$2:$M$1501,$V324))</f>
        <v/>
      </c>
      <c r="J324" s="7">
        <f>IF($V324="","",I324*T324/100)</f>
        <v/>
      </c>
      <c r="K324" s="7">
        <f>IF($V324="","",SUMIFS('Per Line'!$V$2:$V$1501,'Per Line'!$D$2:$D$1501,$B324,'Per Line'!$AN$2:$AN$1501,1))</f>
        <v/>
      </c>
      <c r="L324">
        <f>IF($V324="","",Settings!$C$7)</f>
        <v/>
      </c>
      <c r="M324" s="7">
        <f>IF($V324="","",SUMIFS('Per Line'!$V$2:$V$1501,'Per Line'!$D$2:$D$1501,$B324,'Per Line'!$AM$2:$AM$1501,0,'Per Line'!$AN$2:$AN$1501,0))</f>
        <v/>
      </c>
      <c r="N324" s="7">
        <f>IF($V324="","",M324*L324)</f>
        <v/>
      </c>
      <c r="O324">
        <f>IF($V324="","",Settings!$C$6)</f>
        <v/>
      </c>
      <c r="P324" s="7">
        <f>IF($V324="","",SUMIFS('Per Line'!$V$2:$V$1501,'Per Line'!$D$2:$D$1501,$B324,'Per Line'!$AM$2:$AM$1501,1,'Per Line'!$AN$2:$AN$1501,0))</f>
        <v/>
      </c>
      <c r="Q324" s="7">
        <f>IF($V324="","",P324*O324)</f>
        <v/>
      </c>
      <c r="R324" s="7">
        <f>IF($V324="","",Q324+N324)</f>
        <v/>
      </c>
      <c r="S324" s="7">
        <f>IF($V324="","",T324-R324)</f>
        <v/>
      </c>
      <c r="T324" s="7">
        <f>IF($V324="","",M324+P324+K324)</f>
        <v/>
      </c>
      <c r="U324" s="7">
        <f>IF($V324="","",T324-R324-J324)</f>
        <v/>
      </c>
      <c r="V324" s="13">
        <f>IF(ROWS($V$2:$V324)&lt;=MAX('Per Line'!$AL$2:$AL$1501),MATCH(ROWS($V$2:$V324),'Per Line'!$AL$2:$AL$1501,0),"")</f>
        <v/>
      </c>
    </row>
    <row r="325">
      <c r="A325" s="12" t="n"/>
      <c r="B325">
        <f>IF($V325="","",INDEX('Per Line'!$D$2:$D$1501,$V325)&amp;"")</f>
        <v/>
      </c>
      <c r="C325">
        <f>IF($V325="","",INDEX('Per Line'!$A$2:$A$1501,$V325))</f>
        <v/>
      </c>
      <c r="D325">
        <f>IF($V325="","",INDEX('Per Line'!$Z$2:$Z$1501,$V325)&amp;"")</f>
        <v/>
      </c>
      <c r="E325" s="11">
        <f>IF($V325="","",INDEX('Per Line'!$F$2:$F$1501,$V325))</f>
        <v/>
      </c>
      <c r="F325">
        <f>IF($V325="","",INDEX('Per Line'!$I$2:$I$1501,$V325)&amp;"")</f>
        <v/>
      </c>
      <c r="G325">
        <f>IF($V325="","",INDEX('Per Line'!$J$2:$J$1501,$V325)&amp;"")</f>
        <v/>
      </c>
      <c r="H325">
        <f>IF($V325="","",INDEX('Per Line'!$K$2:$K$1501,$V325)&amp;"")</f>
        <v/>
      </c>
      <c r="I325">
        <f>IF($V325="","",INDEX('Per Line'!$M$2:$M$1501,$V325))</f>
        <v/>
      </c>
      <c r="J325" s="7">
        <f>IF($V325="","",I325*T325/100)</f>
        <v/>
      </c>
      <c r="K325" s="7">
        <f>IF($V325="","",SUMIFS('Per Line'!$V$2:$V$1501,'Per Line'!$D$2:$D$1501,$B325,'Per Line'!$AN$2:$AN$1501,1))</f>
        <v/>
      </c>
      <c r="L325">
        <f>IF($V325="","",Settings!$C$7)</f>
        <v/>
      </c>
      <c r="M325" s="7">
        <f>IF($V325="","",SUMIFS('Per Line'!$V$2:$V$1501,'Per Line'!$D$2:$D$1501,$B325,'Per Line'!$AM$2:$AM$1501,0,'Per Line'!$AN$2:$AN$1501,0))</f>
        <v/>
      </c>
      <c r="N325" s="7">
        <f>IF($V325="","",M325*L325)</f>
        <v/>
      </c>
      <c r="O325">
        <f>IF($V325="","",Settings!$C$6)</f>
        <v/>
      </c>
      <c r="P325" s="7">
        <f>IF($V325="","",SUMIFS('Per Line'!$V$2:$V$1501,'Per Line'!$D$2:$D$1501,$B325,'Per Line'!$AM$2:$AM$1501,1,'Per Line'!$AN$2:$AN$1501,0))</f>
        <v/>
      </c>
      <c r="Q325" s="7">
        <f>IF($V325="","",P325*O325)</f>
        <v/>
      </c>
      <c r="R325" s="7">
        <f>IF($V325="","",Q325+N325)</f>
        <v/>
      </c>
      <c r="S325" s="7">
        <f>IF($V325="","",T325-R325)</f>
        <v/>
      </c>
      <c r="T325" s="7">
        <f>IF($V325="","",M325+P325+K325)</f>
        <v/>
      </c>
      <c r="U325" s="7">
        <f>IF($V325="","",T325-R325-J325)</f>
        <v/>
      </c>
      <c r="V325" s="13">
        <f>IF(ROWS($V$2:$V325)&lt;=MAX('Per Line'!$AL$2:$AL$1501),MATCH(ROWS($V$2:$V325),'Per Line'!$AL$2:$AL$1501,0),"")</f>
        <v/>
      </c>
    </row>
    <row r="326">
      <c r="A326" s="12" t="n"/>
      <c r="B326">
        <f>IF($V326="","",INDEX('Per Line'!$D$2:$D$1501,$V326)&amp;"")</f>
        <v/>
      </c>
      <c r="C326">
        <f>IF($V326="","",INDEX('Per Line'!$A$2:$A$1501,$V326))</f>
        <v/>
      </c>
      <c r="D326">
        <f>IF($V326="","",INDEX('Per Line'!$Z$2:$Z$1501,$V326)&amp;"")</f>
        <v/>
      </c>
      <c r="E326" s="11">
        <f>IF($V326="","",INDEX('Per Line'!$F$2:$F$1501,$V326))</f>
        <v/>
      </c>
      <c r="F326">
        <f>IF($V326="","",INDEX('Per Line'!$I$2:$I$1501,$V326)&amp;"")</f>
        <v/>
      </c>
      <c r="G326">
        <f>IF($V326="","",INDEX('Per Line'!$J$2:$J$1501,$V326)&amp;"")</f>
        <v/>
      </c>
      <c r="H326">
        <f>IF($V326="","",INDEX('Per Line'!$K$2:$K$1501,$V326)&amp;"")</f>
        <v/>
      </c>
      <c r="I326">
        <f>IF($V326="","",INDEX('Per Line'!$M$2:$M$1501,$V326))</f>
        <v/>
      </c>
      <c r="J326" s="7">
        <f>IF($V326="","",I326*T326/100)</f>
        <v/>
      </c>
      <c r="K326" s="7">
        <f>IF($V326="","",SUMIFS('Per Line'!$V$2:$V$1501,'Per Line'!$D$2:$D$1501,$B326,'Per Line'!$AN$2:$AN$1501,1))</f>
        <v/>
      </c>
      <c r="L326">
        <f>IF($V326="","",Settings!$C$7)</f>
        <v/>
      </c>
      <c r="M326" s="7">
        <f>IF($V326="","",SUMIFS('Per Line'!$V$2:$V$1501,'Per Line'!$D$2:$D$1501,$B326,'Per Line'!$AM$2:$AM$1501,0,'Per Line'!$AN$2:$AN$1501,0))</f>
        <v/>
      </c>
      <c r="N326" s="7">
        <f>IF($V326="","",M326*L326)</f>
        <v/>
      </c>
      <c r="O326">
        <f>IF($V326="","",Settings!$C$6)</f>
        <v/>
      </c>
      <c r="P326" s="7">
        <f>IF($V326="","",SUMIFS('Per Line'!$V$2:$V$1501,'Per Line'!$D$2:$D$1501,$B326,'Per Line'!$AM$2:$AM$1501,1,'Per Line'!$AN$2:$AN$1501,0))</f>
        <v/>
      </c>
      <c r="Q326" s="7">
        <f>IF($V326="","",P326*O326)</f>
        <v/>
      </c>
      <c r="R326" s="7">
        <f>IF($V326="","",Q326+N326)</f>
        <v/>
      </c>
      <c r="S326" s="7">
        <f>IF($V326="","",T326-R326)</f>
        <v/>
      </c>
      <c r="T326" s="7">
        <f>IF($V326="","",M326+P326+K326)</f>
        <v/>
      </c>
      <c r="U326" s="7">
        <f>IF($V326="","",T326-R326-J326)</f>
        <v/>
      </c>
      <c r="V326" s="13">
        <f>IF(ROWS($V$2:$V326)&lt;=MAX('Per Line'!$AL$2:$AL$1501),MATCH(ROWS($V$2:$V326),'Per Line'!$AL$2:$AL$1501,0),"")</f>
        <v/>
      </c>
    </row>
    <row r="327">
      <c r="A327" s="12" t="n"/>
      <c r="B327">
        <f>IF($V327="","",INDEX('Per Line'!$D$2:$D$1501,$V327)&amp;"")</f>
        <v/>
      </c>
      <c r="C327">
        <f>IF($V327="","",INDEX('Per Line'!$A$2:$A$1501,$V327))</f>
        <v/>
      </c>
      <c r="D327">
        <f>IF($V327="","",INDEX('Per Line'!$Z$2:$Z$1501,$V327)&amp;"")</f>
        <v/>
      </c>
      <c r="E327" s="11">
        <f>IF($V327="","",INDEX('Per Line'!$F$2:$F$1501,$V327))</f>
        <v/>
      </c>
      <c r="F327">
        <f>IF($V327="","",INDEX('Per Line'!$I$2:$I$1501,$V327)&amp;"")</f>
        <v/>
      </c>
      <c r="G327">
        <f>IF($V327="","",INDEX('Per Line'!$J$2:$J$1501,$V327)&amp;"")</f>
        <v/>
      </c>
      <c r="H327">
        <f>IF($V327="","",INDEX('Per Line'!$K$2:$K$1501,$V327)&amp;"")</f>
        <v/>
      </c>
      <c r="I327">
        <f>IF($V327="","",INDEX('Per Line'!$M$2:$M$1501,$V327))</f>
        <v/>
      </c>
      <c r="J327" s="7">
        <f>IF($V327="","",I327*T327/100)</f>
        <v/>
      </c>
      <c r="K327" s="7">
        <f>IF($V327="","",SUMIFS('Per Line'!$V$2:$V$1501,'Per Line'!$D$2:$D$1501,$B327,'Per Line'!$AN$2:$AN$1501,1))</f>
        <v/>
      </c>
      <c r="L327">
        <f>IF($V327="","",Settings!$C$7)</f>
        <v/>
      </c>
      <c r="M327" s="7">
        <f>IF($V327="","",SUMIFS('Per Line'!$V$2:$V$1501,'Per Line'!$D$2:$D$1501,$B327,'Per Line'!$AM$2:$AM$1501,0,'Per Line'!$AN$2:$AN$1501,0))</f>
        <v/>
      </c>
      <c r="N327" s="7">
        <f>IF($V327="","",M327*L327)</f>
        <v/>
      </c>
      <c r="O327">
        <f>IF($V327="","",Settings!$C$6)</f>
        <v/>
      </c>
      <c r="P327" s="7">
        <f>IF($V327="","",SUMIFS('Per Line'!$V$2:$V$1501,'Per Line'!$D$2:$D$1501,$B327,'Per Line'!$AM$2:$AM$1501,1,'Per Line'!$AN$2:$AN$1501,0))</f>
        <v/>
      </c>
      <c r="Q327" s="7">
        <f>IF($V327="","",P327*O327)</f>
        <v/>
      </c>
      <c r="R327" s="7">
        <f>IF($V327="","",Q327+N327)</f>
        <v/>
      </c>
      <c r="S327" s="7">
        <f>IF($V327="","",T327-R327)</f>
        <v/>
      </c>
      <c r="T327" s="7">
        <f>IF($V327="","",M327+P327+K327)</f>
        <v/>
      </c>
      <c r="U327" s="7">
        <f>IF($V327="","",T327-R327-J327)</f>
        <v/>
      </c>
      <c r="V327" s="13">
        <f>IF(ROWS($V$2:$V327)&lt;=MAX('Per Line'!$AL$2:$AL$1501),MATCH(ROWS($V$2:$V327),'Per Line'!$AL$2:$AL$1501,0),"")</f>
        <v/>
      </c>
    </row>
    <row r="328">
      <c r="A328" s="12" t="n"/>
      <c r="B328">
        <f>IF($V328="","",INDEX('Per Line'!$D$2:$D$1501,$V328)&amp;"")</f>
        <v/>
      </c>
      <c r="C328">
        <f>IF($V328="","",INDEX('Per Line'!$A$2:$A$1501,$V328))</f>
        <v/>
      </c>
      <c r="D328">
        <f>IF($V328="","",INDEX('Per Line'!$Z$2:$Z$1501,$V328)&amp;"")</f>
        <v/>
      </c>
      <c r="E328" s="11">
        <f>IF($V328="","",INDEX('Per Line'!$F$2:$F$1501,$V328))</f>
        <v/>
      </c>
      <c r="F328">
        <f>IF($V328="","",INDEX('Per Line'!$I$2:$I$1501,$V328)&amp;"")</f>
        <v/>
      </c>
      <c r="G328">
        <f>IF($V328="","",INDEX('Per Line'!$J$2:$J$1501,$V328)&amp;"")</f>
        <v/>
      </c>
      <c r="H328">
        <f>IF($V328="","",INDEX('Per Line'!$K$2:$K$1501,$V328)&amp;"")</f>
        <v/>
      </c>
      <c r="I328">
        <f>IF($V328="","",INDEX('Per Line'!$M$2:$M$1501,$V328))</f>
        <v/>
      </c>
      <c r="J328" s="7">
        <f>IF($V328="","",I328*T328/100)</f>
        <v/>
      </c>
      <c r="K328" s="7">
        <f>IF($V328="","",SUMIFS('Per Line'!$V$2:$V$1501,'Per Line'!$D$2:$D$1501,$B328,'Per Line'!$AN$2:$AN$1501,1))</f>
        <v/>
      </c>
      <c r="L328">
        <f>IF($V328="","",Settings!$C$7)</f>
        <v/>
      </c>
      <c r="M328" s="7">
        <f>IF($V328="","",SUMIFS('Per Line'!$V$2:$V$1501,'Per Line'!$D$2:$D$1501,$B328,'Per Line'!$AM$2:$AM$1501,0,'Per Line'!$AN$2:$AN$1501,0))</f>
        <v/>
      </c>
      <c r="N328" s="7">
        <f>IF($V328="","",M328*L328)</f>
        <v/>
      </c>
      <c r="O328">
        <f>IF($V328="","",Settings!$C$6)</f>
        <v/>
      </c>
      <c r="P328" s="7">
        <f>IF($V328="","",SUMIFS('Per Line'!$V$2:$V$1501,'Per Line'!$D$2:$D$1501,$B328,'Per Line'!$AM$2:$AM$1501,1,'Per Line'!$AN$2:$AN$1501,0))</f>
        <v/>
      </c>
      <c r="Q328" s="7">
        <f>IF($V328="","",P328*O328)</f>
        <v/>
      </c>
      <c r="R328" s="7">
        <f>IF($V328="","",Q328+N328)</f>
        <v/>
      </c>
      <c r="S328" s="7">
        <f>IF($V328="","",T328-R328)</f>
        <v/>
      </c>
      <c r="T328" s="7">
        <f>IF($V328="","",M328+P328+K328)</f>
        <v/>
      </c>
      <c r="U328" s="7">
        <f>IF($V328="","",T328-R328-J328)</f>
        <v/>
      </c>
      <c r="V328" s="13">
        <f>IF(ROWS($V$2:$V328)&lt;=MAX('Per Line'!$AL$2:$AL$1501),MATCH(ROWS($V$2:$V328),'Per Line'!$AL$2:$AL$1501,0),"")</f>
        <v/>
      </c>
    </row>
    <row r="329">
      <c r="A329" s="12" t="n"/>
      <c r="B329">
        <f>IF($V329="","",INDEX('Per Line'!$D$2:$D$1501,$V329)&amp;"")</f>
        <v/>
      </c>
      <c r="C329">
        <f>IF($V329="","",INDEX('Per Line'!$A$2:$A$1501,$V329))</f>
        <v/>
      </c>
      <c r="D329">
        <f>IF($V329="","",INDEX('Per Line'!$Z$2:$Z$1501,$V329)&amp;"")</f>
        <v/>
      </c>
      <c r="E329" s="11">
        <f>IF($V329="","",INDEX('Per Line'!$F$2:$F$1501,$V329))</f>
        <v/>
      </c>
      <c r="F329">
        <f>IF($V329="","",INDEX('Per Line'!$I$2:$I$1501,$V329)&amp;"")</f>
        <v/>
      </c>
      <c r="G329">
        <f>IF($V329="","",INDEX('Per Line'!$J$2:$J$1501,$V329)&amp;"")</f>
        <v/>
      </c>
      <c r="H329">
        <f>IF($V329="","",INDEX('Per Line'!$K$2:$K$1501,$V329)&amp;"")</f>
        <v/>
      </c>
      <c r="I329">
        <f>IF($V329="","",INDEX('Per Line'!$M$2:$M$1501,$V329))</f>
        <v/>
      </c>
      <c r="J329" s="7">
        <f>IF($V329="","",I329*T329/100)</f>
        <v/>
      </c>
      <c r="K329" s="7">
        <f>IF($V329="","",SUMIFS('Per Line'!$V$2:$V$1501,'Per Line'!$D$2:$D$1501,$B329,'Per Line'!$AN$2:$AN$1501,1))</f>
        <v/>
      </c>
      <c r="L329">
        <f>IF($V329="","",Settings!$C$7)</f>
        <v/>
      </c>
      <c r="M329" s="7">
        <f>IF($V329="","",SUMIFS('Per Line'!$V$2:$V$1501,'Per Line'!$D$2:$D$1501,$B329,'Per Line'!$AM$2:$AM$1501,0,'Per Line'!$AN$2:$AN$1501,0))</f>
        <v/>
      </c>
      <c r="N329" s="7">
        <f>IF($V329="","",M329*L329)</f>
        <v/>
      </c>
      <c r="O329">
        <f>IF($V329="","",Settings!$C$6)</f>
        <v/>
      </c>
      <c r="P329" s="7">
        <f>IF($V329="","",SUMIFS('Per Line'!$V$2:$V$1501,'Per Line'!$D$2:$D$1501,$B329,'Per Line'!$AM$2:$AM$1501,1,'Per Line'!$AN$2:$AN$1501,0))</f>
        <v/>
      </c>
      <c r="Q329" s="7">
        <f>IF($V329="","",P329*O329)</f>
        <v/>
      </c>
      <c r="R329" s="7">
        <f>IF($V329="","",Q329+N329)</f>
        <v/>
      </c>
      <c r="S329" s="7">
        <f>IF($V329="","",T329-R329)</f>
        <v/>
      </c>
      <c r="T329" s="7">
        <f>IF($V329="","",M329+P329+K329)</f>
        <v/>
      </c>
      <c r="U329" s="7">
        <f>IF($V329="","",T329-R329-J329)</f>
        <v/>
      </c>
      <c r="V329" s="13">
        <f>IF(ROWS($V$2:$V329)&lt;=MAX('Per Line'!$AL$2:$AL$1501),MATCH(ROWS($V$2:$V329),'Per Line'!$AL$2:$AL$1501,0),"")</f>
        <v/>
      </c>
    </row>
    <row r="330">
      <c r="A330" s="12" t="n"/>
      <c r="B330">
        <f>IF($V330="","",INDEX('Per Line'!$D$2:$D$1501,$V330)&amp;"")</f>
        <v/>
      </c>
      <c r="C330">
        <f>IF($V330="","",INDEX('Per Line'!$A$2:$A$1501,$V330))</f>
        <v/>
      </c>
      <c r="D330">
        <f>IF($V330="","",INDEX('Per Line'!$Z$2:$Z$1501,$V330)&amp;"")</f>
        <v/>
      </c>
      <c r="E330" s="11">
        <f>IF($V330="","",INDEX('Per Line'!$F$2:$F$1501,$V330))</f>
        <v/>
      </c>
      <c r="F330">
        <f>IF($V330="","",INDEX('Per Line'!$I$2:$I$1501,$V330)&amp;"")</f>
        <v/>
      </c>
      <c r="G330">
        <f>IF($V330="","",INDEX('Per Line'!$J$2:$J$1501,$V330)&amp;"")</f>
        <v/>
      </c>
      <c r="H330">
        <f>IF($V330="","",INDEX('Per Line'!$K$2:$K$1501,$V330)&amp;"")</f>
        <v/>
      </c>
      <c r="I330">
        <f>IF($V330="","",INDEX('Per Line'!$M$2:$M$1501,$V330))</f>
        <v/>
      </c>
      <c r="J330" s="7">
        <f>IF($V330="","",I330*T330/100)</f>
        <v/>
      </c>
      <c r="K330" s="7">
        <f>IF($V330="","",SUMIFS('Per Line'!$V$2:$V$1501,'Per Line'!$D$2:$D$1501,$B330,'Per Line'!$AN$2:$AN$1501,1))</f>
        <v/>
      </c>
      <c r="L330">
        <f>IF($V330="","",Settings!$C$7)</f>
        <v/>
      </c>
      <c r="M330" s="7">
        <f>IF($V330="","",SUMIFS('Per Line'!$V$2:$V$1501,'Per Line'!$D$2:$D$1501,$B330,'Per Line'!$AM$2:$AM$1501,0,'Per Line'!$AN$2:$AN$1501,0))</f>
        <v/>
      </c>
      <c r="N330" s="7">
        <f>IF($V330="","",M330*L330)</f>
        <v/>
      </c>
      <c r="O330">
        <f>IF($V330="","",Settings!$C$6)</f>
        <v/>
      </c>
      <c r="P330" s="7">
        <f>IF($V330="","",SUMIFS('Per Line'!$V$2:$V$1501,'Per Line'!$D$2:$D$1501,$B330,'Per Line'!$AM$2:$AM$1501,1,'Per Line'!$AN$2:$AN$1501,0))</f>
        <v/>
      </c>
      <c r="Q330" s="7">
        <f>IF($V330="","",P330*O330)</f>
        <v/>
      </c>
      <c r="R330" s="7">
        <f>IF($V330="","",Q330+N330)</f>
        <v/>
      </c>
      <c r="S330" s="7">
        <f>IF($V330="","",T330-R330)</f>
        <v/>
      </c>
      <c r="T330" s="7">
        <f>IF($V330="","",M330+P330+K330)</f>
        <v/>
      </c>
      <c r="U330" s="7">
        <f>IF($V330="","",T330-R330-J330)</f>
        <v/>
      </c>
      <c r="V330" s="13">
        <f>IF(ROWS($V$2:$V330)&lt;=MAX('Per Line'!$AL$2:$AL$1501),MATCH(ROWS($V$2:$V330),'Per Line'!$AL$2:$AL$1501,0),"")</f>
        <v/>
      </c>
    </row>
    <row r="331">
      <c r="A331" s="12" t="n"/>
      <c r="B331">
        <f>IF($V331="","",INDEX('Per Line'!$D$2:$D$1501,$V331)&amp;"")</f>
        <v/>
      </c>
      <c r="C331">
        <f>IF($V331="","",INDEX('Per Line'!$A$2:$A$1501,$V331))</f>
        <v/>
      </c>
      <c r="D331">
        <f>IF($V331="","",INDEX('Per Line'!$Z$2:$Z$1501,$V331)&amp;"")</f>
        <v/>
      </c>
      <c r="E331" s="11">
        <f>IF($V331="","",INDEX('Per Line'!$F$2:$F$1501,$V331))</f>
        <v/>
      </c>
      <c r="F331">
        <f>IF($V331="","",INDEX('Per Line'!$I$2:$I$1501,$V331)&amp;"")</f>
        <v/>
      </c>
      <c r="G331">
        <f>IF($V331="","",INDEX('Per Line'!$J$2:$J$1501,$V331)&amp;"")</f>
        <v/>
      </c>
      <c r="H331">
        <f>IF($V331="","",INDEX('Per Line'!$K$2:$K$1501,$V331)&amp;"")</f>
        <v/>
      </c>
      <c r="I331">
        <f>IF($V331="","",INDEX('Per Line'!$M$2:$M$1501,$V331))</f>
        <v/>
      </c>
      <c r="J331" s="7">
        <f>IF($V331="","",I331*T331/100)</f>
        <v/>
      </c>
      <c r="K331" s="7">
        <f>IF($V331="","",SUMIFS('Per Line'!$V$2:$V$1501,'Per Line'!$D$2:$D$1501,$B331,'Per Line'!$AN$2:$AN$1501,1))</f>
        <v/>
      </c>
      <c r="L331">
        <f>IF($V331="","",Settings!$C$7)</f>
        <v/>
      </c>
      <c r="M331" s="7">
        <f>IF($V331="","",SUMIFS('Per Line'!$V$2:$V$1501,'Per Line'!$D$2:$D$1501,$B331,'Per Line'!$AM$2:$AM$1501,0,'Per Line'!$AN$2:$AN$1501,0))</f>
        <v/>
      </c>
      <c r="N331" s="7">
        <f>IF($V331="","",M331*L331)</f>
        <v/>
      </c>
      <c r="O331">
        <f>IF($V331="","",Settings!$C$6)</f>
        <v/>
      </c>
      <c r="P331" s="7">
        <f>IF($V331="","",SUMIFS('Per Line'!$V$2:$V$1501,'Per Line'!$D$2:$D$1501,$B331,'Per Line'!$AM$2:$AM$1501,1,'Per Line'!$AN$2:$AN$1501,0))</f>
        <v/>
      </c>
      <c r="Q331" s="7">
        <f>IF($V331="","",P331*O331)</f>
        <v/>
      </c>
      <c r="R331" s="7">
        <f>IF($V331="","",Q331+N331)</f>
        <v/>
      </c>
      <c r="S331" s="7">
        <f>IF($V331="","",T331-R331)</f>
        <v/>
      </c>
      <c r="T331" s="7">
        <f>IF($V331="","",M331+P331+K331)</f>
        <v/>
      </c>
      <c r="U331" s="7">
        <f>IF($V331="","",T331-R331-J331)</f>
        <v/>
      </c>
      <c r="V331" s="13">
        <f>IF(ROWS($V$2:$V331)&lt;=MAX('Per Line'!$AL$2:$AL$1501),MATCH(ROWS($V$2:$V331),'Per Line'!$AL$2:$AL$1501,0),"")</f>
        <v/>
      </c>
    </row>
    <row r="332">
      <c r="A332" s="12" t="n"/>
      <c r="B332">
        <f>IF($V332="","",INDEX('Per Line'!$D$2:$D$1501,$V332)&amp;"")</f>
        <v/>
      </c>
      <c r="C332">
        <f>IF($V332="","",INDEX('Per Line'!$A$2:$A$1501,$V332))</f>
        <v/>
      </c>
      <c r="D332">
        <f>IF($V332="","",INDEX('Per Line'!$Z$2:$Z$1501,$V332)&amp;"")</f>
        <v/>
      </c>
      <c r="E332" s="11">
        <f>IF($V332="","",INDEX('Per Line'!$F$2:$F$1501,$V332))</f>
        <v/>
      </c>
      <c r="F332">
        <f>IF($V332="","",INDEX('Per Line'!$I$2:$I$1501,$V332)&amp;"")</f>
        <v/>
      </c>
      <c r="G332">
        <f>IF($V332="","",INDEX('Per Line'!$J$2:$J$1501,$V332)&amp;"")</f>
        <v/>
      </c>
      <c r="H332">
        <f>IF($V332="","",INDEX('Per Line'!$K$2:$K$1501,$V332)&amp;"")</f>
        <v/>
      </c>
      <c r="I332">
        <f>IF($V332="","",INDEX('Per Line'!$M$2:$M$1501,$V332))</f>
        <v/>
      </c>
      <c r="J332" s="7">
        <f>IF($V332="","",I332*T332/100)</f>
        <v/>
      </c>
      <c r="K332" s="7">
        <f>IF($V332="","",SUMIFS('Per Line'!$V$2:$V$1501,'Per Line'!$D$2:$D$1501,$B332,'Per Line'!$AN$2:$AN$1501,1))</f>
        <v/>
      </c>
      <c r="L332">
        <f>IF($V332="","",Settings!$C$7)</f>
        <v/>
      </c>
      <c r="M332" s="7">
        <f>IF($V332="","",SUMIFS('Per Line'!$V$2:$V$1501,'Per Line'!$D$2:$D$1501,$B332,'Per Line'!$AM$2:$AM$1501,0,'Per Line'!$AN$2:$AN$1501,0))</f>
        <v/>
      </c>
      <c r="N332" s="7">
        <f>IF($V332="","",M332*L332)</f>
        <v/>
      </c>
      <c r="O332">
        <f>IF($V332="","",Settings!$C$6)</f>
        <v/>
      </c>
      <c r="P332" s="7">
        <f>IF($V332="","",SUMIFS('Per Line'!$V$2:$V$1501,'Per Line'!$D$2:$D$1501,$B332,'Per Line'!$AM$2:$AM$1501,1,'Per Line'!$AN$2:$AN$1501,0))</f>
        <v/>
      </c>
      <c r="Q332" s="7">
        <f>IF($V332="","",P332*O332)</f>
        <v/>
      </c>
      <c r="R332" s="7">
        <f>IF($V332="","",Q332+N332)</f>
        <v/>
      </c>
      <c r="S332" s="7">
        <f>IF($V332="","",T332-R332)</f>
        <v/>
      </c>
      <c r="T332" s="7">
        <f>IF($V332="","",M332+P332+K332)</f>
        <v/>
      </c>
      <c r="U332" s="7">
        <f>IF($V332="","",T332-R332-J332)</f>
        <v/>
      </c>
      <c r="V332" s="13">
        <f>IF(ROWS($V$2:$V332)&lt;=MAX('Per Line'!$AL$2:$AL$1501),MATCH(ROWS($V$2:$V332),'Per Line'!$AL$2:$AL$1501,0),"")</f>
        <v/>
      </c>
    </row>
    <row r="333">
      <c r="A333" s="12" t="n"/>
      <c r="B333">
        <f>IF($V333="","",INDEX('Per Line'!$D$2:$D$1501,$V333)&amp;"")</f>
        <v/>
      </c>
      <c r="C333">
        <f>IF($V333="","",INDEX('Per Line'!$A$2:$A$1501,$V333))</f>
        <v/>
      </c>
      <c r="D333">
        <f>IF($V333="","",INDEX('Per Line'!$Z$2:$Z$1501,$V333)&amp;"")</f>
        <v/>
      </c>
      <c r="E333" s="11">
        <f>IF($V333="","",INDEX('Per Line'!$F$2:$F$1501,$V333))</f>
        <v/>
      </c>
      <c r="F333">
        <f>IF($V333="","",INDEX('Per Line'!$I$2:$I$1501,$V333)&amp;"")</f>
        <v/>
      </c>
      <c r="G333">
        <f>IF($V333="","",INDEX('Per Line'!$J$2:$J$1501,$V333)&amp;"")</f>
        <v/>
      </c>
      <c r="H333">
        <f>IF($V333="","",INDEX('Per Line'!$K$2:$K$1501,$V333)&amp;"")</f>
        <v/>
      </c>
      <c r="I333">
        <f>IF($V333="","",INDEX('Per Line'!$M$2:$M$1501,$V333))</f>
        <v/>
      </c>
      <c r="J333" s="7">
        <f>IF($V333="","",I333*T333/100)</f>
        <v/>
      </c>
      <c r="K333" s="7">
        <f>IF($V333="","",SUMIFS('Per Line'!$V$2:$V$1501,'Per Line'!$D$2:$D$1501,$B333,'Per Line'!$AN$2:$AN$1501,1))</f>
        <v/>
      </c>
      <c r="L333">
        <f>IF($V333="","",Settings!$C$7)</f>
        <v/>
      </c>
      <c r="M333" s="7">
        <f>IF($V333="","",SUMIFS('Per Line'!$V$2:$V$1501,'Per Line'!$D$2:$D$1501,$B333,'Per Line'!$AM$2:$AM$1501,0,'Per Line'!$AN$2:$AN$1501,0))</f>
        <v/>
      </c>
      <c r="N333" s="7">
        <f>IF($V333="","",M333*L333)</f>
        <v/>
      </c>
      <c r="O333">
        <f>IF($V333="","",Settings!$C$6)</f>
        <v/>
      </c>
      <c r="P333" s="7">
        <f>IF($V333="","",SUMIFS('Per Line'!$V$2:$V$1501,'Per Line'!$D$2:$D$1501,$B333,'Per Line'!$AM$2:$AM$1501,1,'Per Line'!$AN$2:$AN$1501,0))</f>
        <v/>
      </c>
      <c r="Q333" s="7">
        <f>IF($V333="","",P333*O333)</f>
        <v/>
      </c>
      <c r="R333" s="7">
        <f>IF($V333="","",Q333+N333)</f>
        <v/>
      </c>
      <c r="S333" s="7">
        <f>IF($V333="","",T333-R333)</f>
        <v/>
      </c>
      <c r="T333" s="7">
        <f>IF($V333="","",M333+P333+K333)</f>
        <v/>
      </c>
      <c r="U333" s="7">
        <f>IF($V333="","",T333-R333-J333)</f>
        <v/>
      </c>
      <c r="V333" s="13">
        <f>IF(ROWS($V$2:$V333)&lt;=MAX('Per Line'!$AL$2:$AL$1501),MATCH(ROWS($V$2:$V333),'Per Line'!$AL$2:$AL$1501,0),"")</f>
        <v/>
      </c>
    </row>
    <row r="334">
      <c r="A334" s="12" t="n"/>
      <c r="B334">
        <f>IF($V334="","",INDEX('Per Line'!$D$2:$D$1501,$V334)&amp;"")</f>
        <v/>
      </c>
      <c r="C334">
        <f>IF($V334="","",INDEX('Per Line'!$A$2:$A$1501,$V334))</f>
        <v/>
      </c>
      <c r="D334">
        <f>IF($V334="","",INDEX('Per Line'!$Z$2:$Z$1501,$V334)&amp;"")</f>
        <v/>
      </c>
      <c r="E334" s="11">
        <f>IF($V334="","",INDEX('Per Line'!$F$2:$F$1501,$V334))</f>
        <v/>
      </c>
      <c r="F334">
        <f>IF($V334="","",INDEX('Per Line'!$I$2:$I$1501,$V334)&amp;"")</f>
        <v/>
      </c>
      <c r="G334">
        <f>IF($V334="","",INDEX('Per Line'!$J$2:$J$1501,$V334)&amp;"")</f>
        <v/>
      </c>
      <c r="H334">
        <f>IF($V334="","",INDEX('Per Line'!$K$2:$K$1501,$V334)&amp;"")</f>
        <v/>
      </c>
      <c r="I334">
        <f>IF($V334="","",INDEX('Per Line'!$M$2:$M$1501,$V334))</f>
        <v/>
      </c>
      <c r="J334" s="7">
        <f>IF($V334="","",I334*T334/100)</f>
        <v/>
      </c>
      <c r="K334" s="7">
        <f>IF($V334="","",SUMIFS('Per Line'!$V$2:$V$1501,'Per Line'!$D$2:$D$1501,$B334,'Per Line'!$AN$2:$AN$1501,1))</f>
        <v/>
      </c>
      <c r="L334">
        <f>IF($V334="","",Settings!$C$7)</f>
        <v/>
      </c>
      <c r="M334" s="7">
        <f>IF($V334="","",SUMIFS('Per Line'!$V$2:$V$1501,'Per Line'!$D$2:$D$1501,$B334,'Per Line'!$AM$2:$AM$1501,0,'Per Line'!$AN$2:$AN$1501,0))</f>
        <v/>
      </c>
      <c r="N334" s="7">
        <f>IF($V334="","",M334*L334)</f>
        <v/>
      </c>
      <c r="O334">
        <f>IF($V334="","",Settings!$C$6)</f>
        <v/>
      </c>
      <c r="P334" s="7">
        <f>IF($V334="","",SUMIFS('Per Line'!$V$2:$V$1501,'Per Line'!$D$2:$D$1501,$B334,'Per Line'!$AM$2:$AM$1501,1,'Per Line'!$AN$2:$AN$1501,0))</f>
        <v/>
      </c>
      <c r="Q334" s="7">
        <f>IF($V334="","",P334*O334)</f>
        <v/>
      </c>
      <c r="R334" s="7">
        <f>IF($V334="","",Q334+N334)</f>
        <v/>
      </c>
      <c r="S334" s="7">
        <f>IF($V334="","",T334-R334)</f>
        <v/>
      </c>
      <c r="T334" s="7">
        <f>IF($V334="","",M334+P334+K334)</f>
        <v/>
      </c>
      <c r="U334" s="7">
        <f>IF($V334="","",T334-R334-J334)</f>
        <v/>
      </c>
      <c r="V334" s="13">
        <f>IF(ROWS($V$2:$V334)&lt;=MAX('Per Line'!$AL$2:$AL$1501),MATCH(ROWS($V$2:$V334),'Per Line'!$AL$2:$AL$1501,0),"")</f>
        <v/>
      </c>
    </row>
    <row r="335">
      <c r="A335" s="12" t="n"/>
      <c r="B335">
        <f>IF($V335="","",INDEX('Per Line'!$D$2:$D$1501,$V335)&amp;"")</f>
        <v/>
      </c>
      <c r="C335">
        <f>IF($V335="","",INDEX('Per Line'!$A$2:$A$1501,$V335))</f>
        <v/>
      </c>
      <c r="D335">
        <f>IF($V335="","",INDEX('Per Line'!$Z$2:$Z$1501,$V335)&amp;"")</f>
        <v/>
      </c>
      <c r="E335" s="11">
        <f>IF($V335="","",INDEX('Per Line'!$F$2:$F$1501,$V335))</f>
        <v/>
      </c>
      <c r="F335">
        <f>IF($V335="","",INDEX('Per Line'!$I$2:$I$1501,$V335)&amp;"")</f>
        <v/>
      </c>
      <c r="G335">
        <f>IF($V335="","",INDEX('Per Line'!$J$2:$J$1501,$V335)&amp;"")</f>
        <v/>
      </c>
      <c r="H335">
        <f>IF($V335="","",INDEX('Per Line'!$K$2:$K$1501,$V335)&amp;"")</f>
        <v/>
      </c>
      <c r="I335">
        <f>IF($V335="","",INDEX('Per Line'!$M$2:$M$1501,$V335))</f>
        <v/>
      </c>
      <c r="J335" s="7">
        <f>IF($V335="","",I335*T335/100)</f>
        <v/>
      </c>
      <c r="K335" s="7">
        <f>IF($V335="","",SUMIFS('Per Line'!$V$2:$V$1501,'Per Line'!$D$2:$D$1501,$B335,'Per Line'!$AN$2:$AN$1501,1))</f>
        <v/>
      </c>
      <c r="L335">
        <f>IF($V335="","",Settings!$C$7)</f>
        <v/>
      </c>
      <c r="M335" s="7">
        <f>IF($V335="","",SUMIFS('Per Line'!$V$2:$V$1501,'Per Line'!$D$2:$D$1501,$B335,'Per Line'!$AM$2:$AM$1501,0,'Per Line'!$AN$2:$AN$1501,0))</f>
        <v/>
      </c>
      <c r="N335" s="7">
        <f>IF($V335="","",M335*L335)</f>
        <v/>
      </c>
      <c r="O335">
        <f>IF($V335="","",Settings!$C$6)</f>
        <v/>
      </c>
      <c r="P335" s="7">
        <f>IF($V335="","",SUMIFS('Per Line'!$V$2:$V$1501,'Per Line'!$D$2:$D$1501,$B335,'Per Line'!$AM$2:$AM$1501,1,'Per Line'!$AN$2:$AN$1501,0))</f>
        <v/>
      </c>
      <c r="Q335" s="7">
        <f>IF($V335="","",P335*O335)</f>
        <v/>
      </c>
      <c r="R335" s="7">
        <f>IF($V335="","",Q335+N335)</f>
        <v/>
      </c>
      <c r="S335" s="7">
        <f>IF($V335="","",T335-R335)</f>
        <v/>
      </c>
      <c r="T335" s="7">
        <f>IF($V335="","",M335+P335+K335)</f>
        <v/>
      </c>
      <c r="U335" s="7">
        <f>IF($V335="","",T335-R335-J335)</f>
        <v/>
      </c>
      <c r="V335" s="13">
        <f>IF(ROWS($V$2:$V335)&lt;=MAX('Per Line'!$AL$2:$AL$1501),MATCH(ROWS($V$2:$V335),'Per Line'!$AL$2:$AL$1501,0),"")</f>
        <v/>
      </c>
    </row>
    <row r="336">
      <c r="A336" s="12" t="n"/>
      <c r="B336">
        <f>IF($V336="","",INDEX('Per Line'!$D$2:$D$1501,$V336)&amp;"")</f>
        <v/>
      </c>
      <c r="C336">
        <f>IF($V336="","",INDEX('Per Line'!$A$2:$A$1501,$V336))</f>
        <v/>
      </c>
      <c r="D336">
        <f>IF($V336="","",INDEX('Per Line'!$Z$2:$Z$1501,$V336)&amp;"")</f>
        <v/>
      </c>
      <c r="E336" s="11">
        <f>IF($V336="","",INDEX('Per Line'!$F$2:$F$1501,$V336))</f>
        <v/>
      </c>
      <c r="F336">
        <f>IF($V336="","",INDEX('Per Line'!$I$2:$I$1501,$V336)&amp;"")</f>
        <v/>
      </c>
      <c r="G336">
        <f>IF($V336="","",INDEX('Per Line'!$J$2:$J$1501,$V336)&amp;"")</f>
        <v/>
      </c>
      <c r="H336">
        <f>IF($V336="","",INDEX('Per Line'!$K$2:$K$1501,$V336)&amp;"")</f>
        <v/>
      </c>
      <c r="I336">
        <f>IF($V336="","",INDEX('Per Line'!$M$2:$M$1501,$V336))</f>
        <v/>
      </c>
      <c r="J336" s="7">
        <f>IF($V336="","",I336*T336/100)</f>
        <v/>
      </c>
      <c r="K336" s="7">
        <f>IF($V336="","",SUMIFS('Per Line'!$V$2:$V$1501,'Per Line'!$D$2:$D$1501,$B336,'Per Line'!$AN$2:$AN$1501,1))</f>
        <v/>
      </c>
      <c r="L336">
        <f>IF($V336="","",Settings!$C$7)</f>
        <v/>
      </c>
      <c r="M336" s="7">
        <f>IF($V336="","",SUMIFS('Per Line'!$V$2:$V$1501,'Per Line'!$D$2:$D$1501,$B336,'Per Line'!$AM$2:$AM$1501,0,'Per Line'!$AN$2:$AN$1501,0))</f>
        <v/>
      </c>
      <c r="N336" s="7">
        <f>IF($V336="","",M336*L336)</f>
        <v/>
      </c>
      <c r="O336">
        <f>IF($V336="","",Settings!$C$6)</f>
        <v/>
      </c>
      <c r="P336" s="7">
        <f>IF($V336="","",SUMIFS('Per Line'!$V$2:$V$1501,'Per Line'!$D$2:$D$1501,$B336,'Per Line'!$AM$2:$AM$1501,1,'Per Line'!$AN$2:$AN$1501,0))</f>
        <v/>
      </c>
      <c r="Q336" s="7">
        <f>IF($V336="","",P336*O336)</f>
        <v/>
      </c>
      <c r="R336" s="7">
        <f>IF($V336="","",Q336+N336)</f>
        <v/>
      </c>
      <c r="S336" s="7">
        <f>IF($V336="","",T336-R336)</f>
        <v/>
      </c>
      <c r="T336" s="7">
        <f>IF($V336="","",M336+P336+K336)</f>
        <v/>
      </c>
      <c r="U336" s="7">
        <f>IF($V336="","",T336-R336-J336)</f>
        <v/>
      </c>
      <c r="V336" s="13">
        <f>IF(ROWS($V$2:$V336)&lt;=MAX('Per Line'!$AL$2:$AL$1501),MATCH(ROWS($V$2:$V336),'Per Line'!$AL$2:$AL$1501,0),"")</f>
        <v/>
      </c>
    </row>
    <row r="337">
      <c r="A337" s="12" t="n"/>
      <c r="B337">
        <f>IF($V337="","",INDEX('Per Line'!$D$2:$D$1501,$V337)&amp;"")</f>
        <v/>
      </c>
      <c r="C337">
        <f>IF($V337="","",INDEX('Per Line'!$A$2:$A$1501,$V337))</f>
        <v/>
      </c>
      <c r="D337">
        <f>IF($V337="","",INDEX('Per Line'!$Z$2:$Z$1501,$V337)&amp;"")</f>
        <v/>
      </c>
      <c r="E337" s="11">
        <f>IF($V337="","",INDEX('Per Line'!$F$2:$F$1501,$V337))</f>
        <v/>
      </c>
      <c r="F337">
        <f>IF($V337="","",INDEX('Per Line'!$I$2:$I$1501,$V337)&amp;"")</f>
        <v/>
      </c>
      <c r="G337">
        <f>IF($V337="","",INDEX('Per Line'!$J$2:$J$1501,$V337)&amp;"")</f>
        <v/>
      </c>
      <c r="H337">
        <f>IF($V337="","",INDEX('Per Line'!$K$2:$K$1501,$V337)&amp;"")</f>
        <v/>
      </c>
      <c r="I337">
        <f>IF($V337="","",INDEX('Per Line'!$M$2:$M$1501,$V337))</f>
        <v/>
      </c>
      <c r="J337" s="7">
        <f>IF($V337="","",I337*T337/100)</f>
        <v/>
      </c>
      <c r="K337" s="7">
        <f>IF($V337="","",SUMIFS('Per Line'!$V$2:$V$1501,'Per Line'!$D$2:$D$1501,$B337,'Per Line'!$AN$2:$AN$1501,1))</f>
        <v/>
      </c>
      <c r="L337">
        <f>IF($V337="","",Settings!$C$7)</f>
        <v/>
      </c>
      <c r="M337" s="7">
        <f>IF($V337="","",SUMIFS('Per Line'!$V$2:$V$1501,'Per Line'!$D$2:$D$1501,$B337,'Per Line'!$AM$2:$AM$1501,0,'Per Line'!$AN$2:$AN$1501,0))</f>
        <v/>
      </c>
      <c r="N337" s="7">
        <f>IF($V337="","",M337*L337)</f>
        <v/>
      </c>
      <c r="O337">
        <f>IF($V337="","",Settings!$C$6)</f>
        <v/>
      </c>
      <c r="P337" s="7">
        <f>IF($V337="","",SUMIFS('Per Line'!$V$2:$V$1501,'Per Line'!$D$2:$D$1501,$B337,'Per Line'!$AM$2:$AM$1501,1,'Per Line'!$AN$2:$AN$1501,0))</f>
        <v/>
      </c>
      <c r="Q337" s="7">
        <f>IF($V337="","",P337*O337)</f>
        <v/>
      </c>
      <c r="R337" s="7">
        <f>IF($V337="","",Q337+N337)</f>
        <v/>
      </c>
      <c r="S337" s="7">
        <f>IF($V337="","",T337-R337)</f>
        <v/>
      </c>
      <c r="T337" s="7">
        <f>IF($V337="","",M337+P337+K337)</f>
        <v/>
      </c>
      <c r="U337" s="7">
        <f>IF($V337="","",T337-R337-J337)</f>
        <v/>
      </c>
      <c r="V337" s="13">
        <f>IF(ROWS($V$2:$V337)&lt;=MAX('Per Line'!$AL$2:$AL$1501),MATCH(ROWS($V$2:$V337),'Per Line'!$AL$2:$AL$1501,0),"")</f>
        <v/>
      </c>
    </row>
    <row r="338">
      <c r="A338" s="12" t="n"/>
      <c r="B338">
        <f>IF($V338="","",INDEX('Per Line'!$D$2:$D$1501,$V338)&amp;"")</f>
        <v/>
      </c>
      <c r="C338">
        <f>IF($V338="","",INDEX('Per Line'!$A$2:$A$1501,$V338))</f>
        <v/>
      </c>
      <c r="D338">
        <f>IF($V338="","",INDEX('Per Line'!$Z$2:$Z$1501,$V338)&amp;"")</f>
        <v/>
      </c>
      <c r="E338" s="11">
        <f>IF($V338="","",INDEX('Per Line'!$F$2:$F$1501,$V338))</f>
        <v/>
      </c>
      <c r="F338">
        <f>IF($V338="","",INDEX('Per Line'!$I$2:$I$1501,$V338)&amp;"")</f>
        <v/>
      </c>
      <c r="G338">
        <f>IF($V338="","",INDEX('Per Line'!$J$2:$J$1501,$V338)&amp;"")</f>
        <v/>
      </c>
      <c r="H338">
        <f>IF($V338="","",INDEX('Per Line'!$K$2:$K$1501,$V338)&amp;"")</f>
        <v/>
      </c>
      <c r="I338">
        <f>IF($V338="","",INDEX('Per Line'!$M$2:$M$1501,$V338))</f>
        <v/>
      </c>
      <c r="J338" s="7">
        <f>IF($V338="","",I338*T338/100)</f>
        <v/>
      </c>
      <c r="K338" s="7">
        <f>IF($V338="","",SUMIFS('Per Line'!$V$2:$V$1501,'Per Line'!$D$2:$D$1501,$B338,'Per Line'!$AN$2:$AN$1501,1))</f>
        <v/>
      </c>
      <c r="L338">
        <f>IF($V338="","",Settings!$C$7)</f>
        <v/>
      </c>
      <c r="M338" s="7">
        <f>IF($V338="","",SUMIFS('Per Line'!$V$2:$V$1501,'Per Line'!$D$2:$D$1501,$B338,'Per Line'!$AM$2:$AM$1501,0,'Per Line'!$AN$2:$AN$1501,0))</f>
        <v/>
      </c>
      <c r="N338" s="7">
        <f>IF($V338="","",M338*L338)</f>
        <v/>
      </c>
      <c r="O338">
        <f>IF($V338="","",Settings!$C$6)</f>
        <v/>
      </c>
      <c r="P338" s="7">
        <f>IF($V338="","",SUMIFS('Per Line'!$V$2:$V$1501,'Per Line'!$D$2:$D$1501,$B338,'Per Line'!$AM$2:$AM$1501,1,'Per Line'!$AN$2:$AN$1501,0))</f>
        <v/>
      </c>
      <c r="Q338" s="7">
        <f>IF($V338="","",P338*O338)</f>
        <v/>
      </c>
      <c r="R338" s="7">
        <f>IF($V338="","",Q338+N338)</f>
        <v/>
      </c>
      <c r="S338" s="7">
        <f>IF($V338="","",T338-R338)</f>
        <v/>
      </c>
      <c r="T338" s="7">
        <f>IF($V338="","",M338+P338+K338)</f>
        <v/>
      </c>
      <c r="U338" s="7">
        <f>IF($V338="","",T338-R338-J338)</f>
        <v/>
      </c>
      <c r="V338" s="13">
        <f>IF(ROWS($V$2:$V338)&lt;=MAX('Per Line'!$AL$2:$AL$1501),MATCH(ROWS($V$2:$V338),'Per Line'!$AL$2:$AL$1501,0),"")</f>
        <v/>
      </c>
    </row>
    <row r="339">
      <c r="A339" s="12" t="n"/>
      <c r="B339">
        <f>IF($V339="","",INDEX('Per Line'!$D$2:$D$1501,$V339)&amp;"")</f>
        <v/>
      </c>
      <c r="C339">
        <f>IF($V339="","",INDEX('Per Line'!$A$2:$A$1501,$V339))</f>
        <v/>
      </c>
      <c r="D339">
        <f>IF($V339="","",INDEX('Per Line'!$Z$2:$Z$1501,$V339)&amp;"")</f>
        <v/>
      </c>
      <c r="E339" s="11">
        <f>IF($V339="","",INDEX('Per Line'!$F$2:$F$1501,$V339))</f>
        <v/>
      </c>
      <c r="F339">
        <f>IF($V339="","",INDEX('Per Line'!$I$2:$I$1501,$V339)&amp;"")</f>
        <v/>
      </c>
      <c r="G339">
        <f>IF($V339="","",INDEX('Per Line'!$J$2:$J$1501,$V339)&amp;"")</f>
        <v/>
      </c>
      <c r="H339">
        <f>IF($V339="","",INDEX('Per Line'!$K$2:$K$1501,$V339)&amp;"")</f>
        <v/>
      </c>
      <c r="I339">
        <f>IF($V339="","",INDEX('Per Line'!$M$2:$M$1501,$V339))</f>
        <v/>
      </c>
      <c r="J339" s="7">
        <f>IF($V339="","",I339*T339/100)</f>
        <v/>
      </c>
      <c r="K339" s="7">
        <f>IF($V339="","",SUMIFS('Per Line'!$V$2:$V$1501,'Per Line'!$D$2:$D$1501,$B339,'Per Line'!$AN$2:$AN$1501,1))</f>
        <v/>
      </c>
      <c r="L339">
        <f>IF($V339="","",Settings!$C$7)</f>
        <v/>
      </c>
      <c r="M339" s="7">
        <f>IF($V339="","",SUMIFS('Per Line'!$V$2:$V$1501,'Per Line'!$D$2:$D$1501,$B339,'Per Line'!$AM$2:$AM$1501,0,'Per Line'!$AN$2:$AN$1501,0))</f>
        <v/>
      </c>
      <c r="N339" s="7">
        <f>IF($V339="","",M339*L339)</f>
        <v/>
      </c>
      <c r="O339">
        <f>IF($V339="","",Settings!$C$6)</f>
        <v/>
      </c>
      <c r="P339" s="7">
        <f>IF($V339="","",SUMIFS('Per Line'!$V$2:$V$1501,'Per Line'!$D$2:$D$1501,$B339,'Per Line'!$AM$2:$AM$1501,1,'Per Line'!$AN$2:$AN$1501,0))</f>
        <v/>
      </c>
      <c r="Q339" s="7">
        <f>IF($V339="","",P339*O339)</f>
        <v/>
      </c>
      <c r="R339" s="7">
        <f>IF($V339="","",Q339+N339)</f>
        <v/>
      </c>
      <c r="S339" s="7">
        <f>IF($V339="","",T339-R339)</f>
        <v/>
      </c>
      <c r="T339" s="7">
        <f>IF($V339="","",M339+P339+K339)</f>
        <v/>
      </c>
      <c r="U339" s="7">
        <f>IF($V339="","",T339-R339-J339)</f>
        <v/>
      </c>
      <c r="V339" s="13">
        <f>IF(ROWS($V$2:$V339)&lt;=MAX('Per Line'!$AL$2:$AL$1501),MATCH(ROWS($V$2:$V339),'Per Line'!$AL$2:$AL$1501,0),"")</f>
        <v/>
      </c>
    </row>
    <row r="340">
      <c r="A340" s="12" t="n"/>
      <c r="B340">
        <f>IF($V340="","",INDEX('Per Line'!$D$2:$D$1501,$V340)&amp;"")</f>
        <v/>
      </c>
      <c r="C340">
        <f>IF($V340="","",INDEX('Per Line'!$A$2:$A$1501,$V340))</f>
        <v/>
      </c>
      <c r="D340">
        <f>IF($V340="","",INDEX('Per Line'!$Z$2:$Z$1501,$V340)&amp;"")</f>
        <v/>
      </c>
      <c r="E340" s="11">
        <f>IF($V340="","",INDEX('Per Line'!$F$2:$F$1501,$V340))</f>
        <v/>
      </c>
      <c r="F340">
        <f>IF($V340="","",INDEX('Per Line'!$I$2:$I$1501,$V340)&amp;"")</f>
        <v/>
      </c>
      <c r="G340">
        <f>IF($V340="","",INDEX('Per Line'!$J$2:$J$1501,$V340)&amp;"")</f>
        <v/>
      </c>
      <c r="H340">
        <f>IF($V340="","",INDEX('Per Line'!$K$2:$K$1501,$V340)&amp;"")</f>
        <v/>
      </c>
      <c r="I340">
        <f>IF($V340="","",INDEX('Per Line'!$M$2:$M$1501,$V340))</f>
        <v/>
      </c>
      <c r="J340" s="7">
        <f>IF($V340="","",I340*T340/100)</f>
        <v/>
      </c>
      <c r="K340" s="7">
        <f>IF($V340="","",SUMIFS('Per Line'!$V$2:$V$1501,'Per Line'!$D$2:$D$1501,$B340,'Per Line'!$AN$2:$AN$1501,1))</f>
        <v/>
      </c>
      <c r="L340">
        <f>IF($V340="","",Settings!$C$7)</f>
        <v/>
      </c>
      <c r="M340" s="7">
        <f>IF($V340="","",SUMIFS('Per Line'!$V$2:$V$1501,'Per Line'!$D$2:$D$1501,$B340,'Per Line'!$AM$2:$AM$1501,0,'Per Line'!$AN$2:$AN$1501,0))</f>
        <v/>
      </c>
      <c r="N340" s="7">
        <f>IF($V340="","",M340*L340)</f>
        <v/>
      </c>
      <c r="O340">
        <f>IF($V340="","",Settings!$C$6)</f>
        <v/>
      </c>
      <c r="P340" s="7">
        <f>IF($V340="","",SUMIFS('Per Line'!$V$2:$V$1501,'Per Line'!$D$2:$D$1501,$B340,'Per Line'!$AM$2:$AM$1501,1,'Per Line'!$AN$2:$AN$1501,0))</f>
        <v/>
      </c>
      <c r="Q340" s="7">
        <f>IF($V340="","",P340*O340)</f>
        <v/>
      </c>
      <c r="R340" s="7">
        <f>IF($V340="","",Q340+N340)</f>
        <v/>
      </c>
      <c r="S340" s="7">
        <f>IF($V340="","",T340-R340)</f>
        <v/>
      </c>
      <c r="T340" s="7">
        <f>IF($V340="","",M340+P340+K340)</f>
        <v/>
      </c>
      <c r="U340" s="7">
        <f>IF($V340="","",T340-R340-J340)</f>
        <v/>
      </c>
      <c r="V340" s="13">
        <f>IF(ROWS($V$2:$V340)&lt;=MAX('Per Line'!$AL$2:$AL$1501),MATCH(ROWS($V$2:$V340),'Per Line'!$AL$2:$AL$1501,0),"")</f>
        <v/>
      </c>
    </row>
    <row r="341">
      <c r="A341" s="12" t="n"/>
      <c r="B341">
        <f>IF($V341="","",INDEX('Per Line'!$D$2:$D$1501,$V341)&amp;"")</f>
        <v/>
      </c>
      <c r="C341">
        <f>IF($V341="","",INDEX('Per Line'!$A$2:$A$1501,$V341))</f>
        <v/>
      </c>
      <c r="D341">
        <f>IF($V341="","",INDEX('Per Line'!$Z$2:$Z$1501,$V341)&amp;"")</f>
        <v/>
      </c>
      <c r="E341" s="11">
        <f>IF($V341="","",INDEX('Per Line'!$F$2:$F$1501,$V341))</f>
        <v/>
      </c>
      <c r="F341">
        <f>IF($V341="","",INDEX('Per Line'!$I$2:$I$1501,$V341)&amp;"")</f>
        <v/>
      </c>
      <c r="G341">
        <f>IF($V341="","",INDEX('Per Line'!$J$2:$J$1501,$V341)&amp;"")</f>
        <v/>
      </c>
      <c r="H341">
        <f>IF($V341="","",INDEX('Per Line'!$K$2:$K$1501,$V341)&amp;"")</f>
        <v/>
      </c>
      <c r="I341">
        <f>IF($V341="","",INDEX('Per Line'!$M$2:$M$1501,$V341))</f>
        <v/>
      </c>
      <c r="J341" s="7">
        <f>IF($V341="","",I341*T341/100)</f>
        <v/>
      </c>
      <c r="K341" s="7">
        <f>IF($V341="","",SUMIFS('Per Line'!$V$2:$V$1501,'Per Line'!$D$2:$D$1501,$B341,'Per Line'!$AN$2:$AN$1501,1))</f>
        <v/>
      </c>
      <c r="L341">
        <f>IF($V341="","",Settings!$C$7)</f>
        <v/>
      </c>
      <c r="M341" s="7">
        <f>IF($V341="","",SUMIFS('Per Line'!$V$2:$V$1501,'Per Line'!$D$2:$D$1501,$B341,'Per Line'!$AM$2:$AM$1501,0,'Per Line'!$AN$2:$AN$1501,0))</f>
        <v/>
      </c>
      <c r="N341" s="7">
        <f>IF($V341="","",M341*L341)</f>
        <v/>
      </c>
      <c r="O341">
        <f>IF($V341="","",Settings!$C$6)</f>
        <v/>
      </c>
      <c r="P341" s="7">
        <f>IF($V341="","",SUMIFS('Per Line'!$V$2:$V$1501,'Per Line'!$D$2:$D$1501,$B341,'Per Line'!$AM$2:$AM$1501,1,'Per Line'!$AN$2:$AN$1501,0))</f>
        <v/>
      </c>
      <c r="Q341" s="7">
        <f>IF($V341="","",P341*O341)</f>
        <v/>
      </c>
      <c r="R341" s="7">
        <f>IF($V341="","",Q341+N341)</f>
        <v/>
      </c>
      <c r="S341" s="7">
        <f>IF($V341="","",T341-R341)</f>
        <v/>
      </c>
      <c r="T341" s="7">
        <f>IF($V341="","",M341+P341+K341)</f>
        <v/>
      </c>
      <c r="U341" s="7">
        <f>IF($V341="","",T341-R341-J341)</f>
        <v/>
      </c>
      <c r="V341" s="13">
        <f>IF(ROWS($V$2:$V341)&lt;=MAX('Per Line'!$AL$2:$AL$1501),MATCH(ROWS($V$2:$V341),'Per Line'!$AL$2:$AL$1501,0),"")</f>
        <v/>
      </c>
    </row>
    <row r="342">
      <c r="A342" s="12" t="n"/>
      <c r="B342">
        <f>IF($V342="","",INDEX('Per Line'!$D$2:$D$1501,$V342)&amp;"")</f>
        <v/>
      </c>
      <c r="C342">
        <f>IF($V342="","",INDEX('Per Line'!$A$2:$A$1501,$V342))</f>
        <v/>
      </c>
      <c r="D342">
        <f>IF($V342="","",INDEX('Per Line'!$Z$2:$Z$1501,$V342)&amp;"")</f>
        <v/>
      </c>
      <c r="E342" s="11">
        <f>IF($V342="","",INDEX('Per Line'!$F$2:$F$1501,$V342))</f>
        <v/>
      </c>
      <c r="F342">
        <f>IF($V342="","",INDEX('Per Line'!$I$2:$I$1501,$V342)&amp;"")</f>
        <v/>
      </c>
      <c r="G342">
        <f>IF($V342="","",INDEX('Per Line'!$J$2:$J$1501,$V342)&amp;"")</f>
        <v/>
      </c>
      <c r="H342">
        <f>IF($V342="","",INDEX('Per Line'!$K$2:$K$1501,$V342)&amp;"")</f>
        <v/>
      </c>
      <c r="I342">
        <f>IF($V342="","",INDEX('Per Line'!$M$2:$M$1501,$V342))</f>
        <v/>
      </c>
      <c r="J342" s="7">
        <f>IF($V342="","",I342*T342/100)</f>
        <v/>
      </c>
      <c r="K342" s="7">
        <f>IF($V342="","",SUMIFS('Per Line'!$V$2:$V$1501,'Per Line'!$D$2:$D$1501,$B342,'Per Line'!$AN$2:$AN$1501,1))</f>
        <v/>
      </c>
      <c r="L342">
        <f>IF($V342="","",Settings!$C$7)</f>
        <v/>
      </c>
      <c r="M342" s="7">
        <f>IF($V342="","",SUMIFS('Per Line'!$V$2:$V$1501,'Per Line'!$D$2:$D$1501,$B342,'Per Line'!$AM$2:$AM$1501,0,'Per Line'!$AN$2:$AN$1501,0))</f>
        <v/>
      </c>
      <c r="N342" s="7">
        <f>IF($V342="","",M342*L342)</f>
        <v/>
      </c>
      <c r="O342">
        <f>IF($V342="","",Settings!$C$6)</f>
        <v/>
      </c>
      <c r="P342" s="7">
        <f>IF($V342="","",SUMIFS('Per Line'!$V$2:$V$1501,'Per Line'!$D$2:$D$1501,$B342,'Per Line'!$AM$2:$AM$1501,1,'Per Line'!$AN$2:$AN$1501,0))</f>
        <v/>
      </c>
      <c r="Q342" s="7">
        <f>IF($V342="","",P342*O342)</f>
        <v/>
      </c>
      <c r="R342" s="7">
        <f>IF($V342="","",Q342+N342)</f>
        <v/>
      </c>
      <c r="S342" s="7">
        <f>IF($V342="","",T342-R342)</f>
        <v/>
      </c>
      <c r="T342" s="7">
        <f>IF($V342="","",M342+P342+K342)</f>
        <v/>
      </c>
      <c r="U342" s="7">
        <f>IF($V342="","",T342-R342-J342)</f>
        <v/>
      </c>
      <c r="V342" s="13">
        <f>IF(ROWS($V$2:$V342)&lt;=MAX('Per Line'!$AL$2:$AL$1501),MATCH(ROWS($V$2:$V342),'Per Line'!$AL$2:$AL$1501,0),"")</f>
        <v/>
      </c>
    </row>
    <row r="343">
      <c r="A343" s="12" t="n"/>
      <c r="B343">
        <f>IF($V343="","",INDEX('Per Line'!$D$2:$D$1501,$V343)&amp;"")</f>
        <v/>
      </c>
      <c r="C343">
        <f>IF($V343="","",INDEX('Per Line'!$A$2:$A$1501,$V343))</f>
        <v/>
      </c>
      <c r="D343">
        <f>IF($V343="","",INDEX('Per Line'!$Z$2:$Z$1501,$V343)&amp;"")</f>
        <v/>
      </c>
      <c r="E343" s="11">
        <f>IF($V343="","",INDEX('Per Line'!$F$2:$F$1501,$V343))</f>
        <v/>
      </c>
      <c r="F343">
        <f>IF($V343="","",INDEX('Per Line'!$I$2:$I$1501,$V343)&amp;"")</f>
        <v/>
      </c>
      <c r="G343">
        <f>IF($V343="","",INDEX('Per Line'!$J$2:$J$1501,$V343)&amp;"")</f>
        <v/>
      </c>
      <c r="H343">
        <f>IF($V343="","",INDEX('Per Line'!$K$2:$K$1501,$V343)&amp;"")</f>
        <v/>
      </c>
      <c r="I343">
        <f>IF($V343="","",INDEX('Per Line'!$M$2:$M$1501,$V343))</f>
        <v/>
      </c>
      <c r="J343" s="7">
        <f>IF($V343="","",I343*T343/100)</f>
        <v/>
      </c>
      <c r="K343" s="7">
        <f>IF($V343="","",SUMIFS('Per Line'!$V$2:$V$1501,'Per Line'!$D$2:$D$1501,$B343,'Per Line'!$AN$2:$AN$1501,1))</f>
        <v/>
      </c>
      <c r="L343">
        <f>IF($V343="","",Settings!$C$7)</f>
        <v/>
      </c>
      <c r="M343" s="7">
        <f>IF($V343="","",SUMIFS('Per Line'!$V$2:$V$1501,'Per Line'!$D$2:$D$1501,$B343,'Per Line'!$AM$2:$AM$1501,0,'Per Line'!$AN$2:$AN$1501,0))</f>
        <v/>
      </c>
      <c r="N343" s="7">
        <f>IF($V343="","",M343*L343)</f>
        <v/>
      </c>
      <c r="O343">
        <f>IF($V343="","",Settings!$C$6)</f>
        <v/>
      </c>
      <c r="P343" s="7">
        <f>IF($V343="","",SUMIFS('Per Line'!$V$2:$V$1501,'Per Line'!$D$2:$D$1501,$B343,'Per Line'!$AM$2:$AM$1501,1,'Per Line'!$AN$2:$AN$1501,0))</f>
        <v/>
      </c>
      <c r="Q343" s="7">
        <f>IF($V343="","",P343*O343)</f>
        <v/>
      </c>
      <c r="R343" s="7">
        <f>IF($V343="","",Q343+N343)</f>
        <v/>
      </c>
      <c r="S343" s="7">
        <f>IF($V343="","",T343-R343)</f>
        <v/>
      </c>
      <c r="T343" s="7">
        <f>IF($V343="","",M343+P343+K343)</f>
        <v/>
      </c>
      <c r="U343" s="7">
        <f>IF($V343="","",T343-R343-J343)</f>
        <v/>
      </c>
      <c r="V343" s="13">
        <f>IF(ROWS($V$2:$V343)&lt;=MAX('Per Line'!$AL$2:$AL$1501),MATCH(ROWS($V$2:$V343),'Per Line'!$AL$2:$AL$1501,0),"")</f>
        <v/>
      </c>
    </row>
    <row r="344">
      <c r="A344" s="12" t="n"/>
      <c r="B344">
        <f>IF($V344="","",INDEX('Per Line'!$D$2:$D$1501,$V344)&amp;"")</f>
        <v/>
      </c>
      <c r="C344">
        <f>IF($V344="","",INDEX('Per Line'!$A$2:$A$1501,$V344))</f>
        <v/>
      </c>
      <c r="D344">
        <f>IF($V344="","",INDEX('Per Line'!$Z$2:$Z$1501,$V344)&amp;"")</f>
        <v/>
      </c>
      <c r="E344" s="11">
        <f>IF($V344="","",INDEX('Per Line'!$F$2:$F$1501,$V344))</f>
        <v/>
      </c>
      <c r="F344">
        <f>IF($V344="","",INDEX('Per Line'!$I$2:$I$1501,$V344)&amp;"")</f>
        <v/>
      </c>
      <c r="G344">
        <f>IF($V344="","",INDEX('Per Line'!$J$2:$J$1501,$V344)&amp;"")</f>
        <v/>
      </c>
      <c r="H344">
        <f>IF($V344="","",INDEX('Per Line'!$K$2:$K$1501,$V344)&amp;"")</f>
        <v/>
      </c>
      <c r="I344">
        <f>IF($V344="","",INDEX('Per Line'!$M$2:$M$1501,$V344))</f>
        <v/>
      </c>
      <c r="J344" s="7">
        <f>IF($V344="","",I344*T344/100)</f>
        <v/>
      </c>
      <c r="K344" s="7">
        <f>IF($V344="","",SUMIFS('Per Line'!$V$2:$V$1501,'Per Line'!$D$2:$D$1501,$B344,'Per Line'!$AN$2:$AN$1501,1))</f>
        <v/>
      </c>
      <c r="L344">
        <f>IF($V344="","",Settings!$C$7)</f>
        <v/>
      </c>
      <c r="M344" s="7">
        <f>IF($V344="","",SUMIFS('Per Line'!$V$2:$V$1501,'Per Line'!$D$2:$D$1501,$B344,'Per Line'!$AM$2:$AM$1501,0,'Per Line'!$AN$2:$AN$1501,0))</f>
        <v/>
      </c>
      <c r="N344" s="7">
        <f>IF($V344="","",M344*L344)</f>
        <v/>
      </c>
      <c r="O344">
        <f>IF($V344="","",Settings!$C$6)</f>
        <v/>
      </c>
      <c r="P344" s="7">
        <f>IF($V344="","",SUMIFS('Per Line'!$V$2:$V$1501,'Per Line'!$D$2:$D$1501,$B344,'Per Line'!$AM$2:$AM$1501,1,'Per Line'!$AN$2:$AN$1501,0))</f>
        <v/>
      </c>
      <c r="Q344" s="7">
        <f>IF($V344="","",P344*O344)</f>
        <v/>
      </c>
      <c r="R344" s="7">
        <f>IF($V344="","",Q344+N344)</f>
        <v/>
      </c>
      <c r="S344" s="7">
        <f>IF($V344="","",T344-R344)</f>
        <v/>
      </c>
      <c r="T344" s="7">
        <f>IF($V344="","",M344+P344+K344)</f>
        <v/>
      </c>
      <c r="U344" s="7">
        <f>IF($V344="","",T344-R344-J344)</f>
        <v/>
      </c>
      <c r="V344" s="13">
        <f>IF(ROWS($V$2:$V344)&lt;=MAX('Per Line'!$AL$2:$AL$1501),MATCH(ROWS($V$2:$V344),'Per Line'!$AL$2:$AL$1501,0),"")</f>
        <v/>
      </c>
    </row>
    <row r="345">
      <c r="A345" s="12" t="n"/>
      <c r="B345">
        <f>IF($V345="","",INDEX('Per Line'!$D$2:$D$1501,$V345)&amp;"")</f>
        <v/>
      </c>
      <c r="C345">
        <f>IF($V345="","",INDEX('Per Line'!$A$2:$A$1501,$V345))</f>
        <v/>
      </c>
      <c r="D345">
        <f>IF($V345="","",INDEX('Per Line'!$Z$2:$Z$1501,$V345)&amp;"")</f>
        <v/>
      </c>
      <c r="E345" s="11">
        <f>IF($V345="","",INDEX('Per Line'!$F$2:$F$1501,$V345))</f>
        <v/>
      </c>
      <c r="F345">
        <f>IF($V345="","",INDEX('Per Line'!$I$2:$I$1501,$V345)&amp;"")</f>
        <v/>
      </c>
      <c r="G345">
        <f>IF($V345="","",INDEX('Per Line'!$J$2:$J$1501,$V345)&amp;"")</f>
        <v/>
      </c>
      <c r="H345">
        <f>IF($V345="","",INDEX('Per Line'!$K$2:$K$1501,$V345)&amp;"")</f>
        <v/>
      </c>
      <c r="I345">
        <f>IF($V345="","",INDEX('Per Line'!$M$2:$M$1501,$V345))</f>
        <v/>
      </c>
      <c r="J345" s="7">
        <f>IF($V345="","",I345*T345/100)</f>
        <v/>
      </c>
      <c r="K345" s="7">
        <f>IF($V345="","",SUMIFS('Per Line'!$V$2:$V$1501,'Per Line'!$D$2:$D$1501,$B345,'Per Line'!$AN$2:$AN$1501,1))</f>
        <v/>
      </c>
      <c r="L345">
        <f>IF($V345="","",Settings!$C$7)</f>
        <v/>
      </c>
      <c r="M345" s="7">
        <f>IF($V345="","",SUMIFS('Per Line'!$V$2:$V$1501,'Per Line'!$D$2:$D$1501,$B345,'Per Line'!$AM$2:$AM$1501,0,'Per Line'!$AN$2:$AN$1501,0))</f>
        <v/>
      </c>
      <c r="N345" s="7">
        <f>IF($V345="","",M345*L345)</f>
        <v/>
      </c>
      <c r="O345">
        <f>IF($V345="","",Settings!$C$6)</f>
        <v/>
      </c>
      <c r="P345" s="7">
        <f>IF($V345="","",SUMIFS('Per Line'!$V$2:$V$1501,'Per Line'!$D$2:$D$1501,$B345,'Per Line'!$AM$2:$AM$1501,1,'Per Line'!$AN$2:$AN$1501,0))</f>
        <v/>
      </c>
      <c r="Q345" s="7">
        <f>IF($V345="","",P345*O345)</f>
        <v/>
      </c>
      <c r="R345" s="7">
        <f>IF($V345="","",Q345+N345)</f>
        <v/>
      </c>
      <c r="S345" s="7">
        <f>IF($V345="","",T345-R345)</f>
        <v/>
      </c>
      <c r="T345" s="7">
        <f>IF($V345="","",M345+P345+K345)</f>
        <v/>
      </c>
      <c r="U345" s="7">
        <f>IF($V345="","",T345-R345-J345)</f>
        <v/>
      </c>
      <c r="V345" s="13">
        <f>IF(ROWS($V$2:$V345)&lt;=MAX('Per Line'!$AL$2:$AL$1501),MATCH(ROWS($V$2:$V345),'Per Line'!$AL$2:$AL$1501,0),"")</f>
        <v/>
      </c>
    </row>
    <row r="346">
      <c r="A346" s="12" t="n"/>
      <c r="B346">
        <f>IF($V346="","",INDEX('Per Line'!$D$2:$D$1501,$V346)&amp;"")</f>
        <v/>
      </c>
      <c r="C346">
        <f>IF($V346="","",INDEX('Per Line'!$A$2:$A$1501,$V346))</f>
        <v/>
      </c>
      <c r="D346">
        <f>IF($V346="","",INDEX('Per Line'!$Z$2:$Z$1501,$V346)&amp;"")</f>
        <v/>
      </c>
      <c r="E346" s="11">
        <f>IF($V346="","",INDEX('Per Line'!$F$2:$F$1501,$V346))</f>
        <v/>
      </c>
      <c r="F346">
        <f>IF($V346="","",INDEX('Per Line'!$I$2:$I$1501,$V346)&amp;"")</f>
        <v/>
      </c>
      <c r="G346">
        <f>IF($V346="","",INDEX('Per Line'!$J$2:$J$1501,$V346)&amp;"")</f>
        <v/>
      </c>
      <c r="H346">
        <f>IF($V346="","",INDEX('Per Line'!$K$2:$K$1501,$V346)&amp;"")</f>
        <v/>
      </c>
      <c r="I346">
        <f>IF($V346="","",INDEX('Per Line'!$M$2:$M$1501,$V346))</f>
        <v/>
      </c>
      <c r="J346" s="7">
        <f>IF($V346="","",I346*T346/100)</f>
        <v/>
      </c>
      <c r="K346" s="7">
        <f>IF($V346="","",SUMIFS('Per Line'!$V$2:$V$1501,'Per Line'!$D$2:$D$1501,$B346,'Per Line'!$AN$2:$AN$1501,1))</f>
        <v/>
      </c>
      <c r="L346">
        <f>IF($V346="","",Settings!$C$7)</f>
        <v/>
      </c>
      <c r="M346" s="7">
        <f>IF($V346="","",SUMIFS('Per Line'!$V$2:$V$1501,'Per Line'!$D$2:$D$1501,$B346,'Per Line'!$AM$2:$AM$1501,0,'Per Line'!$AN$2:$AN$1501,0))</f>
        <v/>
      </c>
      <c r="N346" s="7">
        <f>IF($V346="","",M346*L346)</f>
        <v/>
      </c>
      <c r="O346">
        <f>IF($V346="","",Settings!$C$6)</f>
        <v/>
      </c>
      <c r="P346" s="7">
        <f>IF($V346="","",SUMIFS('Per Line'!$V$2:$V$1501,'Per Line'!$D$2:$D$1501,$B346,'Per Line'!$AM$2:$AM$1501,1,'Per Line'!$AN$2:$AN$1501,0))</f>
        <v/>
      </c>
      <c r="Q346" s="7">
        <f>IF($V346="","",P346*O346)</f>
        <v/>
      </c>
      <c r="R346" s="7">
        <f>IF($V346="","",Q346+N346)</f>
        <v/>
      </c>
      <c r="S346" s="7">
        <f>IF($V346="","",T346-R346)</f>
        <v/>
      </c>
      <c r="T346" s="7">
        <f>IF($V346="","",M346+P346+K346)</f>
        <v/>
      </c>
      <c r="U346" s="7">
        <f>IF($V346="","",T346-R346-J346)</f>
        <v/>
      </c>
      <c r="V346" s="13">
        <f>IF(ROWS($V$2:$V346)&lt;=MAX('Per Line'!$AL$2:$AL$1501),MATCH(ROWS($V$2:$V346),'Per Line'!$AL$2:$AL$1501,0),"")</f>
        <v/>
      </c>
    </row>
    <row r="347">
      <c r="A347" s="12" t="n"/>
      <c r="B347">
        <f>IF($V347="","",INDEX('Per Line'!$D$2:$D$1501,$V347)&amp;"")</f>
        <v/>
      </c>
      <c r="C347">
        <f>IF($V347="","",INDEX('Per Line'!$A$2:$A$1501,$V347))</f>
        <v/>
      </c>
      <c r="D347">
        <f>IF($V347="","",INDEX('Per Line'!$Z$2:$Z$1501,$V347)&amp;"")</f>
        <v/>
      </c>
      <c r="E347" s="11">
        <f>IF($V347="","",INDEX('Per Line'!$F$2:$F$1501,$V347))</f>
        <v/>
      </c>
      <c r="F347">
        <f>IF($V347="","",INDEX('Per Line'!$I$2:$I$1501,$V347)&amp;"")</f>
        <v/>
      </c>
      <c r="G347">
        <f>IF($V347="","",INDEX('Per Line'!$J$2:$J$1501,$V347)&amp;"")</f>
        <v/>
      </c>
      <c r="H347">
        <f>IF($V347="","",INDEX('Per Line'!$K$2:$K$1501,$V347)&amp;"")</f>
        <v/>
      </c>
      <c r="I347">
        <f>IF($V347="","",INDEX('Per Line'!$M$2:$M$1501,$V347))</f>
        <v/>
      </c>
      <c r="J347" s="7">
        <f>IF($V347="","",I347*T347/100)</f>
        <v/>
      </c>
      <c r="K347" s="7">
        <f>IF($V347="","",SUMIFS('Per Line'!$V$2:$V$1501,'Per Line'!$D$2:$D$1501,$B347,'Per Line'!$AN$2:$AN$1501,1))</f>
        <v/>
      </c>
      <c r="L347">
        <f>IF($V347="","",Settings!$C$7)</f>
        <v/>
      </c>
      <c r="M347" s="7">
        <f>IF($V347="","",SUMIFS('Per Line'!$V$2:$V$1501,'Per Line'!$D$2:$D$1501,$B347,'Per Line'!$AM$2:$AM$1501,0,'Per Line'!$AN$2:$AN$1501,0))</f>
        <v/>
      </c>
      <c r="N347" s="7">
        <f>IF($V347="","",M347*L347)</f>
        <v/>
      </c>
      <c r="O347">
        <f>IF($V347="","",Settings!$C$6)</f>
        <v/>
      </c>
      <c r="P347" s="7">
        <f>IF($V347="","",SUMIFS('Per Line'!$V$2:$V$1501,'Per Line'!$D$2:$D$1501,$B347,'Per Line'!$AM$2:$AM$1501,1,'Per Line'!$AN$2:$AN$1501,0))</f>
        <v/>
      </c>
      <c r="Q347" s="7">
        <f>IF($V347="","",P347*O347)</f>
        <v/>
      </c>
      <c r="R347" s="7">
        <f>IF($V347="","",Q347+N347)</f>
        <v/>
      </c>
      <c r="S347" s="7">
        <f>IF($V347="","",T347-R347)</f>
        <v/>
      </c>
      <c r="T347" s="7">
        <f>IF($V347="","",M347+P347+K347)</f>
        <v/>
      </c>
      <c r="U347" s="7">
        <f>IF($V347="","",T347-R347-J347)</f>
        <v/>
      </c>
      <c r="V347" s="13">
        <f>IF(ROWS($V$2:$V347)&lt;=MAX('Per Line'!$AL$2:$AL$1501),MATCH(ROWS($V$2:$V347),'Per Line'!$AL$2:$AL$1501,0),"")</f>
        <v/>
      </c>
    </row>
    <row r="348">
      <c r="A348" s="12" t="n"/>
      <c r="B348">
        <f>IF($V348="","",INDEX('Per Line'!$D$2:$D$1501,$V348)&amp;"")</f>
        <v/>
      </c>
      <c r="C348">
        <f>IF($V348="","",INDEX('Per Line'!$A$2:$A$1501,$V348))</f>
        <v/>
      </c>
      <c r="D348">
        <f>IF($V348="","",INDEX('Per Line'!$Z$2:$Z$1501,$V348)&amp;"")</f>
        <v/>
      </c>
      <c r="E348" s="11">
        <f>IF($V348="","",INDEX('Per Line'!$F$2:$F$1501,$V348))</f>
        <v/>
      </c>
      <c r="F348">
        <f>IF($V348="","",INDEX('Per Line'!$I$2:$I$1501,$V348)&amp;"")</f>
        <v/>
      </c>
      <c r="G348">
        <f>IF($V348="","",INDEX('Per Line'!$J$2:$J$1501,$V348)&amp;"")</f>
        <v/>
      </c>
      <c r="H348">
        <f>IF($V348="","",INDEX('Per Line'!$K$2:$K$1501,$V348)&amp;"")</f>
        <v/>
      </c>
      <c r="I348">
        <f>IF($V348="","",INDEX('Per Line'!$M$2:$M$1501,$V348))</f>
        <v/>
      </c>
      <c r="J348" s="7">
        <f>IF($V348="","",I348*T348/100)</f>
        <v/>
      </c>
      <c r="K348" s="7">
        <f>IF($V348="","",SUMIFS('Per Line'!$V$2:$V$1501,'Per Line'!$D$2:$D$1501,$B348,'Per Line'!$AN$2:$AN$1501,1))</f>
        <v/>
      </c>
      <c r="L348">
        <f>IF($V348="","",Settings!$C$7)</f>
        <v/>
      </c>
      <c r="M348" s="7">
        <f>IF($V348="","",SUMIFS('Per Line'!$V$2:$V$1501,'Per Line'!$D$2:$D$1501,$B348,'Per Line'!$AM$2:$AM$1501,0,'Per Line'!$AN$2:$AN$1501,0))</f>
        <v/>
      </c>
      <c r="N348" s="7">
        <f>IF($V348="","",M348*L348)</f>
        <v/>
      </c>
      <c r="O348">
        <f>IF($V348="","",Settings!$C$6)</f>
        <v/>
      </c>
      <c r="P348" s="7">
        <f>IF($V348="","",SUMIFS('Per Line'!$V$2:$V$1501,'Per Line'!$D$2:$D$1501,$B348,'Per Line'!$AM$2:$AM$1501,1,'Per Line'!$AN$2:$AN$1501,0))</f>
        <v/>
      </c>
      <c r="Q348" s="7">
        <f>IF($V348="","",P348*O348)</f>
        <v/>
      </c>
      <c r="R348" s="7">
        <f>IF($V348="","",Q348+N348)</f>
        <v/>
      </c>
      <c r="S348" s="7">
        <f>IF($V348="","",T348-R348)</f>
        <v/>
      </c>
      <c r="T348" s="7">
        <f>IF($V348="","",M348+P348+K348)</f>
        <v/>
      </c>
      <c r="U348" s="7">
        <f>IF($V348="","",T348-R348-J348)</f>
        <v/>
      </c>
      <c r="V348" s="13">
        <f>IF(ROWS($V$2:$V348)&lt;=MAX('Per Line'!$AL$2:$AL$1501),MATCH(ROWS($V$2:$V348),'Per Line'!$AL$2:$AL$1501,0),"")</f>
        <v/>
      </c>
    </row>
    <row r="349">
      <c r="A349" s="12" t="n"/>
      <c r="B349">
        <f>IF($V349="","",INDEX('Per Line'!$D$2:$D$1501,$V349)&amp;"")</f>
        <v/>
      </c>
      <c r="C349">
        <f>IF($V349="","",INDEX('Per Line'!$A$2:$A$1501,$V349))</f>
        <v/>
      </c>
      <c r="D349">
        <f>IF($V349="","",INDEX('Per Line'!$Z$2:$Z$1501,$V349)&amp;"")</f>
        <v/>
      </c>
      <c r="E349" s="11">
        <f>IF($V349="","",INDEX('Per Line'!$F$2:$F$1501,$V349))</f>
        <v/>
      </c>
      <c r="F349">
        <f>IF($V349="","",INDEX('Per Line'!$I$2:$I$1501,$V349)&amp;"")</f>
        <v/>
      </c>
      <c r="G349">
        <f>IF($V349="","",INDEX('Per Line'!$J$2:$J$1501,$V349)&amp;"")</f>
        <v/>
      </c>
      <c r="H349">
        <f>IF($V349="","",INDEX('Per Line'!$K$2:$K$1501,$V349)&amp;"")</f>
        <v/>
      </c>
      <c r="I349">
        <f>IF($V349="","",INDEX('Per Line'!$M$2:$M$1501,$V349))</f>
        <v/>
      </c>
      <c r="J349" s="7">
        <f>IF($V349="","",I349*T349/100)</f>
        <v/>
      </c>
      <c r="K349" s="7">
        <f>IF($V349="","",SUMIFS('Per Line'!$V$2:$V$1501,'Per Line'!$D$2:$D$1501,$B349,'Per Line'!$AN$2:$AN$1501,1))</f>
        <v/>
      </c>
      <c r="L349">
        <f>IF($V349="","",Settings!$C$7)</f>
        <v/>
      </c>
      <c r="M349" s="7">
        <f>IF($V349="","",SUMIFS('Per Line'!$V$2:$V$1501,'Per Line'!$D$2:$D$1501,$B349,'Per Line'!$AM$2:$AM$1501,0,'Per Line'!$AN$2:$AN$1501,0))</f>
        <v/>
      </c>
      <c r="N349" s="7">
        <f>IF($V349="","",M349*L349)</f>
        <v/>
      </c>
      <c r="O349">
        <f>IF($V349="","",Settings!$C$6)</f>
        <v/>
      </c>
      <c r="P349" s="7">
        <f>IF($V349="","",SUMIFS('Per Line'!$V$2:$V$1501,'Per Line'!$D$2:$D$1501,$B349,'Per Line'!$AM$2:$AM$1501,1,'Per Line'!$AN$2:$AN$1501,0))</f>
        <v/>
      </c>
      <c r="Q349" s="7">
        <f>IF($V349="","",P349*O349)</f>
        <v/>
      </c>
      <c r="R349" s="7">
        <f>IF($V349="","",Q349+N349)</f>
        <v/>
      </c>
      <c r="S349" s="7">
        <f>IF($V349="","",T349-R349)</f>
        <v/>
      </c>
      <c r="T349" s="7">
        <f>IF($V349="","",M349+P349+K349)</f>
        <v/>
      </c>
      <c r="U349" s="7">
        <f>IF($V349="","",T349-R349-J349)</f>
        <v/>
      </c>
      <c r="V349" s="13">
        <f>IF(ROWS($V$2:$V349)&lt;=MAX('Per Line'!$AL$2:$AL$1501),MATCH(ROWS($V$2:$V349),'Per Line'!$AL$2:$AL$1501,0),"")</f>
        <v/>
      </c>
    </row>
    <row r="350">
      <c r="A350" s="12" t="n"/>
      <c r="B350">
        <f>IF($V350="","",INDEX('Per Line'!$D$2:$D$1501,$V350)&amp;"")</f>
        <v/>
      </c>
      <c r="C350">
        <f>IF($V350="","",INDEX('Per Line'!$A$2:$A$1501,$V350))</f>
        <v/>
      </c>
      <c r="D350">
        <f>IF($V350="","",INDEX('Per Line'!$Z$2:$Z$1501,$V350)&amp;"")</f>
        <v/>
      </c>
      <c r="E350" s="11">
        <f>IF($V350="","",INDEX('Per Line'!$F$2:$F$1501,$V350))</f>
        <v/>
      </c>
      <c r="F350">
        <f>IF($V350="","",INDEX('Per Line'!$I$2:$I$1501,$V350)&amp;"")</f>
        <v/>
      </c>
      <c r="G350">
        <f>IF($V350="","",INDEX('Per Line'!$J$2:$J$1501,$V350)&amp;"")</f>
        <v/>
      </c>
      <c r="H350">
        <f>IF($V350="","",INDEX('Per Line'!$K$2:$K$1501,$V350)&amp;"")</f>
        <v/>
      </c>
      <c r="I350">
        <f>IF($V350="","",INDEX('Per Line'!$M$2:$M$1501,$V350))</f>
        <v/>
      </c>
      <c r="J350" s="7">
        <f>IF($V350="","",I350*T350/100)</f>
        <v/>
      </c>
      <c r="K350" s="7">
        <f>IF($V350="","",SUMIFS('Per Line'!$V$2:$V$1501,'Per Line'!$D$2:$D$1501,$B350,'Per Line'!$AN$2:$AN$1501,1))</f>
        <v/>
      </c>
      <c r="L350">
        <f>IF($V350="","",Settings!$C$7)</f>
        <v/>
      </c>
      <c r="M350" s="7">
        <f>IF($V350="","",SUMIFS('Per Line'!$V$2:$V$1501,'Per Line'!$D$2:$D$1501,$B350,'Per Line'!$AM$2:$AM$1501,0,'Per Line'!$AN$2:$AN$1501,0))</f>
        <v/>
      </c>
      <c r="N350" s="7">
        <f>IF($V350="","",M350*L350)</f>
        <v/>
      </c>
      <c r="O350">
        <f>IF($V350="","",Settings!$C$6)</f>
        <v/>
      </c>
      <c r="P350" s="7">
        <f>IF($V350="","",SUMIFS('Per Line'!$V$2:$V$1501,'Per Line'!$D$2:$D$1501,$B350,'Per Line'!$AM$2:$AM$1501,1,'Per Line'!$AN$2:$AN$1501,0))</f>
        <v/>
      </c>
      <c r="Q350" s="7">
        <f>IF($V350="","",P350*O350)</f>
        <v/>
      </c>
      <c r="R350" s="7">
        <f>IF($V350="","",Q350+N350)</f>
        <v/>
      </c>
      <c r="S350" s="7">
        <f>IF($V350="","",T350-R350)</f>
        <v/>
      </c>
      <c r="T350" s="7">
        <f>IF($V350="","",M350+P350+K350)</f>
        <v/>
      </c>
      <c r="U350" s="7">
        <f>IF($V350="","",T350-R350-J350)</f>
        <v/>
      </c>
      <c r="V350" s="13">
        <f>IF(ROWS($V$2:$V350)&lt;=MAX('Per Line'!$AL$2:$AL$1501),MATCH(ROWS($V$2:$V350),'Per Line'!$AL$2:$AL$1501,0),"")</f>
        <v/>
      </c>
    </row>
    <row r="351">
      <c r="A351" s="12" t="n"/>
      <c r="B351">
        <f>IF($V351="","",INDEX('Per Line'!$D$2:$D$1501,$V351)&amp;"")</f>
        <v/>
      </c>
      <c r="C351">
        <f>IF($V351="","",INDEX('Per Line'!$A$2:$A$1501,$V351))</f>
        <v/>
      </c>
      <c r="D351">
        <f>IF($V351="","",INDEX('Per Line'!$Z$2:$Z$1501,$V351)&amp;"")</f>
        <v/>
      </c>
      <c r="E351" s="11">
        <f>IF($V351="","",INDEX('Per Line'!$F$2:$F$1501,$V351))</f>
        <v/>
      </c>
      <c r="F351">
        <f>IF($V351="","",INDEX('Per Line'!$I$2:$I$1501,$V351)&amp;"")</f>
        <v/>
      </c>
      <c r="G351">
        <f>IF($V351="","",INDEX('Per Line'!$J$2:$J$1501,$V351)&amp;"")</f>
        <v/>
      </c>
      <c r="H351">
        <f>IF($V351="","",INDEX('Per Line'!$K$2:$K$1501,$V351)&amp;"")</f>
        <v/>
      </c>
      <c r="I351">
        <f>IF($V351="","",INDEX('Per Line'!$M$2:$M$1501,$V351))</f>
        <v/>
      </c>
      <c r="J351" s="7">
        <f>IF($V351="","",I351*T351/100)</f>
        <v/>
      </c>
      <c r="K351" s="7">
        <f>IF($V351="","",SUMIFS('Per Line'!$V$2:$V$1501,'Per Line'!$D$2:$D$1501,$B351,'Per Line'!$AN$2:$AN$1501,1))</f>
        <v/>
      </c>
      <c r="L351">
        <f>IF($V351="","",Settings!$C$7)</f>
        <v/>
      </c>
      <c r="M351" s="7">
        <f>IF($V351="","",SUMIFS('Per Line'!$V$2:$V$1501,'Per Line'!$D$2:$D$1501,$B351,'Per Line'!$AM$2:$AM$1501,0,'Per Line'!$AN$2:$AN$1501,0))</f>
        <v/>
      </c>
      <c r="N351" s="7">
        <f>IF($V351="","",M351*L351)</f>
        <v/>
      </c>
      <c r="O351">
        <f>IF($V351="","",Settings!$C$6)</f>
        <v/>
      </c>
      <c r="P351" s="7">
        <f>IF($V351="","",SUMIFS('Per Line'!$V$2:$V$1501,'Per Line'!$D$2:$D$1501,$B351,'Per Line'!$AM$2:$AM$1501,1,'Per Line'!$AN$2:$AN$1501,0))</f>
        <v/>
      </c>
      <c r="Q351" s="7">
        <f>IF($V351="","",P351*O351)</f>
        <v/>
      </c>
      <c r="R351" s="7">
        <f>IF($V351="","",Q351+N351)</f>
        <v/>
      </c>
      <c r="S351" s="7">
        <f>IF($V351="","",T351-R351)</f>
        <v/>
      </c>
      <c r="T351" s="7">
        <f>IF($V351="","",M351+P351+K351)</f>
        <v/>
      </c>
      <c r="U351" s="7">
        <f>IF($V351="","",T351-R351-J351)</f>
        <v/>
      </c>
      <c r="V351" s="13">
        <f>IF(ROWS($V$2:$V351)&lt;=MAX('Per Line'!$AL$2:$AL$1501),MATCH(ROWS($V$2:$V351),'Per Line'!$AL$2:$AL$1501,0),"")</f>
        <v/>
      </c>
    </row>
    <row r="352">
      <c r="A352" s="12" t="n"/>
      <c r="B352">
        <f>IF($V352="","",INDEX('Per Line'!$D$2:$D$1501,$V352)&amp;"")</f>
        <v/>
      </c>
      <c r="C352">
        <f>IF($V352="","",INDEX('Per Line'!$A$2:$A$1501,$V352))</f>
        <v/>
      </c>
      <c r="D352">
        <f>IF($V352="","",INDEX('Per Line'!$Z$2:$Z$1501,$V352)&amp;"")</f>
        <v/>
      </c>
      <c r="E352" s="11">
        <f>IF($V352="","",INDEX('Per Line'!$F$2:$F$1501,$V352))</f>
        <v/>
      </c>
      <c r="F352">
        <f>IF($V352="","",INDEX('Per Line'!$I$2:$I$1501,$V352)&amp;"")</f>
        <v/>
      </c>
      <c r="G352">
        <f>IF($V352="","",INDEX('Per Line'!$J$2:$J$1501,$V352)&amp;"")</f>
        <v/>
      </c>
      <c r="H352">
        <f>IF($V352="","",INDEX('Per Line'!$K$2:$K$1501,$V352)&amp;"")</f>
        <v/>
      </c>
      <c r="I352">
        <f>IF($V352="","",INDEX('Per Line'!$M$2:$M$1501,$V352))</f>
        <v/>
      </c>
      <c r="J352" s="7">
        <f>IF($V352="","",I352*T352/100)</f>
        <v/>
      </c>
      <c r="K352" s="7">
        <f>IF($V352="","",SUMIFS('Per Line'!$V$2:$V$1501,'Per Line'!$D$2:$D$1501,$B352,'Per Line'!$AN$2:$AN$1501,1))</f>
        <v/>
      </c>
      <c r="L352">
        <f>IF($V352="","",Settings!$C$7)</f>
        <v/>
      </c>
      <c r="M352" s="7">
        <f>IF($V352="","",SUMIFS('Per Line'!$V$2:$V$1501,'Per Line'!$D$2:$D$1501,$B352,'Per Line'!$AM$2:$AM$1501,0,'Per Line'!$AN$2:$AN$1501,0))</f>
        <v/>
      </c>
      <c r="N352" s="7">
        <f>IF($V352="","",M352*L352)</f>
        <v/>
      </c>
      <c r="O352">
        <f>IF($V352="","",Settings!$C$6)</f>
        <v/>
      </c>
      <c r="P352" s="7">
        <f>IF($V352="","",SUMIFS('Per Line'!$V$2:$V$1501,'Per Line'!$D$2:$D$1501,$B352,'Per Line'!$AM$2:$AM$1501,1,'Per Line'!$AN$2:$AN$1501,0))</f>
        <v/>
      </c>
      <c r="Q352" s="7">
        <f>IF($V352="","",P352*O352)</f>
        <v/>
      </c>
      <c r="R352" s="7">
        <f>IF($V352="","",Q352+N352)</f>
        <v/>
      </c>
      <c r="S352" s="7">
        <f>IF($V352="","",T352-R352)</f>
        <v/>
      </c>
      <c r="T352" s="7">
        <f>IF($V352="","",M352+P352+K352)</f>
        <v/>
      </c>
      <c r="U352" s="7">
        <f>IF($V352="","",T352-R352-J352)</f>
        <v/>
      </c>
      <c r="V352" s="13">
        <f>IF(ROWS($V$2:$V352)&lt;=MAX('Per Line'!$AL$2:$AL$1501),MATCH(ROWS($V$2:$V352),'Per Line'!$AL$2:$AL$1501,0),"")</f>
        <v/>
      </c>
    </row>
    <row r="353">
      <c r="A353" s="12" t="n"/>
      <c r="B353">
        <f>IF($V353="","",INDEX('Per Line'!$D$2:$D$1501,$V353)&amp;"")</f>
        <v/>
      </c>
      <c r="C353">
        <f>IF($V353="","",INDEX('Per Line'!$A$2:$A$1501,$V353))</f>
        <v/>
      </c>
      <c r="D353">
        <f>IF($V353="","",INDEX('Per Line'!$Z$2:$Z$1501,$V353)&amp;"")</f>
        <v/>
      </c>
      <c r="E353" s="11">
        <f>IF($V353="","",INDEX('Per Line'!$F$2:$F$1501,$V353))</f>
        <v/>
      </c>
      <c r="F353">
        <f>IF($V353="","",INDEX('Per Line'!$I$2:$I$1501,$V353)&amp;"")</f>
        <v/>
      </c>
      <c r="G353">
        <f>IF($V353="","",INDEX('Per Line'!$J$2:$J$1501,$V353)&amp;"")</f>
        <v/>
      </c>
      <c r="H353">
        <f>IF($V353="","",INDEX('Per Line'!$K$2:$K$1501,$V353)&amp;"")</f>
        <v/>
      </c>
      <c r="I353">
        <f>IF($V353="","",INDEX('Per Line'!$M$2:$M$1501,$V353))</f>
        <v/>
      </c>
      <c r="J353" s="7">
        <f>IF($V353="","",I353*T353/100)</f>
        <v/>
      </c>
      <c r="K353" s="7">
        <f>IF($V353="","",SUMIFS('Per Line'!$V$2:$V$1501,'Per Line'!$D$2:$D$1501,$B353,'Per Line'!$AN$2:$AN$1501,1))</f>
        <v/>
      </c>
      <c r="L353">
        <f>IF($V353="","",Settings!$C$7)</f>
        <v/>
      </c>
      <c r="M353" s="7">
        <f>IF($V353="","",SUMIFS('Per Line'!$V$2:$V$1501,'Per Line'!$D$2:$D$1501,$B353,'Per Line'!$AM$2:$AM$1501,0,'Per Line'!$AN$2:$AN$1501,0))</f>
        <v/>
      </c>
      <c r="N353" s="7">
        <f>IF($V353="","",M353*L353)</f>
        <v/>
      </c>
      <c r="O353">
        <f>IF($V353="","",Settings!$C$6)</f>
        <v/>
      </c>
      <c r="P353" s="7">
        <f>IF($V353="","",SUMIFS('Per Line'!$V$2:$V$1501,'Per Line'!$D$2:$D$1501,$B353,'Per Line'!$AM$2:$AM$1501,1,'Per Line'!$AN$2:$AN$1501,0))</f>
        <v/>
      </c>
      <c r="Q353" s="7">
        <f>IF($V353="","",P353*O353)</f>
        <v/>
      </c>
      <c r="R353" s="7">
        <f>IF($V353="","",Q353+N353)</f>
        <v/>
      </c>
      <c r="S353" s="7">
        <f>IF($V353="","",T353-R353)</f>
        <v/>
      </c>
      <c r="T353" s="7">
        <f>IF($V353="","",M353+P353+K353)</f>
        <v/>
      </c>
      <c r="U353" s="7">
        <f>IF($V353="","",T353-R353-J353)</f>
        <v/>
      </c>
      <c r="V353" s="13">
        <f>IF(ROWS($V$2:$V353)&lt;=MAX('Per Line'!$AL$2:$AL$1501),MATCH(ROWS($V$2:$V353),'Per Line'!$AL$2:$AL$1501,0),"")</f>
        <v/>
      </c>
    </row>
    <row r="354">
      <c r="A354" s="12" t="n"/>
      <c r="B354">
        <f>IF($V354="","",INDEX('Per Line'!$D$2:$D$1501,$V354)&amp;"")</f>
        <v/>
      </c>
      <c r="C354">
        <f>IF($V354="","",INDEX('Per Line'!$A$2:$A$1501,$V354))</f>
        <v/>
      </c>
      <c r="D354">
        <f>IF($V354="","",INDEX('Per Line'!$Z$2:$Z$1501,$V354)&amp;"")</f>
        <v/>
      </c>
      <c r="E354" s="11">
        <f>IF($V354="","",INDEX('Per Line'!$F$2:$F$1501,$V354))</f>
        <v/>
      </c>
      <c r="F354">
        <f>IF($V354="","",INDEX('Per Line'!$I$2:$I$1501,$V354)&amp;"")</f>
        <v/>
      </c>
      <c r="G354">
        <f>IF($V354="","",INDEX('Per Line'!$J$2:$J$1501,$V354)&amp;"")</f>
        <v/>
      </c>
      <c r="H354">
        <f>IF($V354="","",INDEX('Per Line'!$K$2:$K$1501,$V354)&amp;"")</f>
        <v/>
      </c>
      <c r="I354">
        <f>IF($V354="","",INDEX('Per Line'!$M$2:$M$1501,$V354))</f>
        <v/>
      </c>
      <c r="J354" s="7">
        <f>IF($V354="","",I354*T354/100)</f>
        <v/>
      </c>
      <c r="K354" s="7">
        <f>IF($V354="","",SUMIFS('Per Line'!$V$2:$V$1501,'Per Line'!$D$2:$D$1501,$B354,'Per Line'!$AN$2:$AN$1501,1))</f>
        <v/>
      </c>
      <c r="L354">
        <f>IF($V354="","",Settings!$C$7)</f>
        <v/>
      </c>
      <c r="M354" s="7">
        <f>IF($V354="","",SUMIFS('Per Line'!$V$2:$V$1501,'Per Line'!$D$2:$D$1501,$B354,'Per Line'!$AM$2:$AM$1501,0,'Per Line'!$AN$2:$AN$1501,0))</f>
        <v/>
      </c>
      <c r="N354" s="7">
        <f>IF($V354="","",M354*L354)</f>
        <v/>
      </c>
      <c r="O354">
        <f>IF($V354="","",Settings!$C$6)</f>
        <v/>
      </c>
      <c r="P354" s="7">
        <f>IF($V354="","",SUMIFS('Per Line'!$V$2:$V$1501,'Per Line'!$D$2:$D$1501,$B354,'Per Line'!$AM$2:$AM$1501,1,'Per Line'!$AN$2:$AN$1501,0))</f>
        <v/>
      </c>
      <c r="Q354" s="7">
        <f>IF($V354="","",P354*O354)</f>
        <v/>
      </c>
      <c r="R354" s="7">
        <f>IF($V354="","",Q354+N354)</f>
        <v/>
      </c>
      <c r="S354" s="7">
        <f>IF($V354="","",T354-R354)</f>
        <v/>
      </c>
      <c r="T354" s="7">
        <f>IF($V354="","",M354+P354+K354)</f>
        <v/>
      </c>
      <c r="U354" s="7">
        <f>IF($V354="","",T354-R354-J354)</f>
        <v/>
      </c>
      <c r="V354" s="13">
        <f>IF(ROWS($V$2:$V354)&lt;=MAX('Per Line'!$AL$2:$AL$1501),MATCH(ROWS($V$2:$V354),'Per Line'!$AL$2:$AL$1501,0),"")</f>
        <v/>
      </c>
    </row>
    <row r="355">
      <c r="A355" s="12" t="n"/>
      <c r="B355">
        <f>IF($V355="","",INDEX('Per Line'!$D$2:$D$1501,$V355)&amp;"")</f>
        <v/>
      </c>
      <c r="C355">
        <f>IF($V355="","",INDEX('Per Line'!$A$2:$A$1501,$V355))</f>
        <v/>
      </c>
      <c r="D355">
        <f>IF($V355="","",INDEX('Per Line'!$Z$2:$Z$1501,$V355)&amp;"")</f>
        <v/>
      </c>
      <c r="E355" s="11">
        <f>IF($V355="","",INDEX('Per Line'!$F$2:$F$1501,$V355))</f>
        <v/>
      </c>
      <c r="F355">
        <f>IF($V355="","",INDEX('Per Line'!$I$2:$I$1501,$V355)&amp;"")</f>
        <v/>
      </c>
      <c r="G355">
        <f>IF($V355="","",INDEX('Per Line'!$J$2:$J$1501,$V355)&amp;"")</f>
        <v/>
      </c>
      <c r="H355">
        <f>IF($V355="","",INDEX('Per Line'!$K$2:$K$1501,$V355)&amp;"")</f>
        <v/>
      </c>
      <c r="I355">
        <f>IF($V355="","",INDEX('Per Line'!$M$2:$M$1501,$V355))</f>
        <v/>
      </c>
      <c r="J355" s="7">
        <f>IF($V355="","",I355*T355/100)</f>
        <v/>
      </c>
      <c r="K355" s="7">
        <f>IF($V355="","",SUMIFS('Per Line'!$V$2:$V$1501,'Per Line'!$D$2:$D$1501,$B355,'Per Line'!$AN$2:$AN$1501,1))</f>
        <v/>
      </c>
      <c r="L355">
        <f>IF($V355="","",Settings!$C$7)</f>
        <v/>
      </c>
      <c r="M355" s="7">
        <f>IF($V355="","",SUMIFS('Per Line'!$V$2:$V$1501,'Per Line'!$D$2:$D$1501,$B355,'Per Line'!$AM$2:$AM$1501,0,'Per Line'!$AN$2:$AN$1501,0))</f>
        <v/>
      </c>
      <c r="N355" s="7">
        <f>IF($V355="","",M355*L355)</f>
        <v/>
      </c>
      <c r="O355">
        <f>IF($V355="","",Settings!$C$6)</f>
        <v/>
      </c>
      <c r="P355" s="7">
        <f>IF($V355="","",SUMIFS('Per Line'!$V$2:$V$1501,'Per Line'!$D$2:$D$1501,$B355,'Per Line'!$AM$2:$AM$1501,1,'Per Line'!$AN$2:$AN$1501,0))</f>
        <v/>
      </c>
      <c r="Q355" s="7">
        <f>IF($V355="","",P355*O355)</f>
        <v/>
      </c>
      <c r="R355" s="7">
        <f>IF($V355="","",Q355+N355)</f>
        <v/>
      </c>
      <c r="S355" s="7">
        <f>IF($V355="","",T355-R355)</f>
        <v/>
      </c>
      <c r="T355" s="7">
        <f>IF($V355="","",M355+P355+K355)</f>
        <v/>
      </c>
      <c r="U355" s="7">
        <f>IF($V355="","",T355-R355-J355)</f>
        <v/>
      </c>
      <c r="V355" s="13">
        <f>IF(ROWS($V$2:$V355)&lt;=MAX('Per Line'!$AL$2:$AL$1501),MATCH(ROWS($V$2:$V355),'Per Line'!$AL$2:$AL$1501,0),"")</f>
        <v/>
      </c>
    </row>
    <row r="356">
      <c r="A356" s="12" t="n"/>
      <c r="B356">
        <f>IF($V356="","",INDEX('Per Line'!$D$2:$D$1501,$V356)&amp;"")</f>
        <v/>
      </c>
      <c r="C356">
        <f>IF($V356="","",INDEX('Per Line'!$A$2:$A$1501,$V356))</f>
        <v/>
      </c>
      <c r="D356">
        <f>IF($V356="","",INDEX('Per Line'!$Z$2:$Z$1501,$V356)&amp;"")</f>
        <v/>
      </c>
      <c r="E356" s="11">
        <f>IF($V356="","",INDEX('Per Line'!$F$2:$F$1501,$V356))</f>
        <v/>
      </c>
      <c r="F356">
        <f>IF($V356="","",INDEX('Per Line'!$I$2:$I$1501,$V356)&amp;"")</f>
        <v/>
      </c>
      <c r="G356">
        <f>IF($V356="","",INDEX('Per Line'!$J$2:$J$1501,$V356)&amp;"")</f>
        <v/>
      </c>
      <c r="H356">
        <f>IF($V356="","",INDEX('Per Line'!$K$2:$K$1501,$V356)&amp;"")</f>
        <v/>
      </c>
      <c r="I356">
        <f>IF($V356="","",INDEX('Per Line'!$M$2:$M$1501,$V356))</f>
        <v/>
      </c>
      <c r="J356" s="7">
        <f>IF($V356="","",I356*T356/100)</f>
        <v/>
      </c>
      <c r="K356" s="7">
        <f>IF($V356="","",SUMIFS('Per Line'!$V$2:$V$1501,'Per Line'!$D$2:$D$1501,$B356,'Per Line'!$AN$2:$AN$1501,1))</f>
        <v/>
      </c>
      <c r="L356">
        <f>IF($V356="","",Settings!$C$7)</f>
        <v/>
      </c>
      <c r="M356" s="7">
        <f>IF($V356="","",SUMIFS('Per Line'!$V$2:$V$1501,'Per Line'!$D$2:$D$1501,$B356,'Per Line'!$AM$2:$AM$1501,0,'Per Line'!$AN$2:$AN$1501,0))</f>
        <v/>
      </c>
      <c r="N356" s="7">
        <f>IF($V356="","",M356*L356)</f>
        <v/>
      </c>
      <c r="O356">
        <f>IF($V356="","",Settings!$C$6)</f>
        <v/>
      </c>
      <c r="P356" s="7">
        <f>IF($V356="","",SUMIFS('Per Line'!$V$2:$V$1501,'Per Line'!$D$2:$D$1501,$B356,'Per Line'!$AM$2:$AM$1501,1,'Per Line'!$AN$2:$AN$1501,0))</f>
        <v/>
      </c>
      <c r="Q356" s="7">
        <f>IF($V356="","",P356*O356)</f>
        <v/>
      </c>
      <c r="R356" s="7">
        <f>IF($V356="","",Q356+N356)</f>
        <v/>
      </c>
      <c r="S356" s="7">
        <f>IF($V356="","",T356-R356)</f>
        <v/>
      </c>
      <c r="T356" s="7">
        <f>IF($V356="","",M356+P356+K356)</f>
        <v/>
      </c>
      <c r="U356" s="7">
        <f>IF($V356="","",T356-R356-J356)</f>
        <v/>
      </c>
      <c r="V356" s="13">
        <f>IF(ROWS($V$2:$V356)&lt;=MAX('Per Line'!$AL$2:$AL$1501),MATCH(ROWS($V$2:$V356),'Per Line'!$AL$2:$AL$1501,0),"")</f>
        <v/>
      </c>
    </row>
    <row r="357">
      <c r="A357" s="12" t="n"/>
      <c r="B357">
        <f>IF($V357="","",INDEX('Per Line'!$D$2:$D$1501,$V357)&amp;"")</f>
        <v/>
      </c>
      <c r="C357">
        <f>IF($V357="","",INDEX('Per Line'!$A$2:$A$1501,$V357))</f>
        <v/>
      </c>
      <c r="D357">
        <f>IF($V357="","",INDEX('Per Line'!$Z$2:$Z$1501,$V357)&amp;"")</f>
        <v/>
      </c>
      <c r="E357" s="11">
        <f>IF($V357="","",INDEX('Per Line'!$F$2:$F$1501,$V357))</f>
        <v/>
      </c>
      <c r="F357">
        <f>IF($V357="","",INDEX('Per Line'!$I$2:$I$1501,$V357)&amp;"")</f>
        <v/>
      </c>
      <c r="G357">
        <f>IF($V357="","",INDEX('Per Line'!$J$2:$J$1501,$V357)&amp;"")</f>
        <v/>
      </c>
      <c r="H357">
        <f>IF($V357="","",INDEX('Per Line'!$K$2:$K$1501,$V357)&amp;"")</f>
        <v/>
      </c>
      <c r="I357">
        <f>IF($V357="","",INDEX('Per Line'!$M$2:$M$1501,$V357))</f>
        <v/>
      </c>
      <c r="J357" s="7">
        <f>IF($V357="","",I357*T357/100)</f>
        <v/>
      </c>
      <c r="K357" s="7">
        <f>IF($V357="","",SUMIFS('Per Line'!$V$2:$V$1501,'Per Line'!$D$2:$D$1501,$B357,'Per Line'!$AN$2:$AN$1501,1))</f>
        <v/>
      </c>
      <c r="L357">
        <f>IF($V357="","",Settings!$C$7)</f>
        <v/>
      </c>
      <c r="M357" s="7">
        <f>IF($V357="","",SUMIFS('Per Line'!$V$2:$V$1501,'Per Line'!$D$2:$D$1501,$B357,'Per Line'!$AM$2:$AM$1501,0,'Per Line'!$AN$2:$AN$1501,0))</f>
        <v/>
      </c>
      <c r="N357" s="7">
        <f>IF($V357="","",M357*L357)</f>
        <v/>
      </c>
      <c r="O357">
        <f>IF($V357="","",Settings!$C$6)</f>
        <v/>
      </c>
      <c r="P357" s="7">
        <f>IF($V357="","",SUMIFS('Per Line'!$V$2:$V$1501,'Per Line'!$D$2:$D$1501,$B357,'Per Line'!$AM$2:$AM$1501,1,'Per Line'!$AN$2:$AN$1501,0))</f>
        <v/>
      </c>
      <c r="Q357" s="7">
        <f>IF($V357="","",P357*O357)</f>
        <v/>
      </c>
      <c r="R357" s="7">
        <f>IF($V357="","",Q357+N357)</f>
        <v/>
      </c>
      <c r="S357" s="7">
        <f>IF($V357="","",T357-R357)</f>
        <v/>
      </c>
      <c r="T357" s="7">
        <f>IF($V357="","",M357+P357+K357)</f>
        <v/>
      </c>
      <c r="U357" s="7">
        <f>IF($V357="","",T357-R357-J357)</f>
        <v/>
      </c>
      <c r="V357" s="13">
        <f>IF(ROWS($V$2:$V357)&lt;=MAX('Per Line'!$AL$2:$AL$1501),MATCH(ROWS($V$2:$V357),'Per Line'!$AL$2:$AL$1501,0),"")</f>
        <v/>
      </c>
    </row>
    <row r="358">
      <c r="A358" s="12" t="n"/>
      <c r="B358">
        <f>IF($V358="","",INDEX('Per Line'!$D$2:$D$1501,$V358)&amp;"")</f>
        <v/>
      </c>
      <c r="C358">
        <f>IF($V358="","",INDEX('Per Line'!$A$2:$A$1501,$V358))</f>
        <v/>
      </c>
      <c r="D358">
        <f>IF($V358="","",INDEX('Per Line'!$Z$2:$Z$1501,$V358)&amp;"")</f>
        <v/>
      </c>
      <c r="E358" s="11">
        <f>IF($V358="","",INDEX('Per Line'!$F$2:$F$1501,$V358))</f>
        <v/>
      </c>
      <c r="F358">
        <f>IF($V358="","",INDEX('Per Line'!$I$2:$I$1501,$V358)&amp;"")</f>
        <v/>
      </c>
      <c r="G358">
        <f>IF($V358="","",INDEX('Per Line'!$J$2:$J$1501,$V358)&amp;"")</f>
        <v/>
      </c>
      <c r="H358">
        <f>IF($V358="","",INDEX('Per Line'!$K$2:$K$1501,$V358)&amp;"")</f>
        <v/>
      </c>
      <c r="I358">
        <f>IF($V358="","",INDEX('Per Line'!$M$2:$M$1501,$V358))</f>
        <v/>
      </c>
      <c r="J358" s="7">
        <f>IF($V358="","",I358*T358/100)</f>
        <v/>
      </c>
      <c r="K358" s="7">
        <f>IF($V358="","",SUMIFS('Per Line'!$V$2:$V$1501,'Per Line'!$D$2:$D$1501,$B358,'Per Line'!$AN$2:$AN$1501,1))</f>
        <v/>
      </c>
      <c r="L358">
        <f>IF($V358="","",Settings!$C$7)</f>
        <v/>
      </c>
      <c r="M358" s="7">
        <f>IF($V358="","",SUMIFS('Per Line'!$V$2:$V$1501,'Per Line'!$D$2:$D$1501,$B358,'Per Line'!$AM$2:$AM$1501,0,'Per Line'!$AN$2:$AN$1501,0))</f>
        <v/>
      </c>
      <c r="N358" s="7">
        <f>IF($V358="","",M358*L358)</f>
        <v/>
      </c>
      <c r="O358">
        <f>IF($V358="","",Settings!$C$6)</f>
        <v/>
      </c>
      <c r="P358" s="7">
        <f>IF($V358="","",SUMIFS('Per Line'!$V$2:$V$1501,'Per Line'!$D$2:$D$1501,$B358,'Per Line'!$AM$2:$AM$1501,1,'Per Line'!$AN$2:$AN$1501,0))</f>
        <v/>
      </c>
      <c r="Q358" s="7">
        <f>IF($V358="","",P358*O358)</f>
        <v/>
      </c>
      <c r="R358" s="7">
        <f>IF($V358="","",Q358+N358)</f>
        <v/>
      </c>
      <c r="S358" s="7">
        <f>IF($V358="","",T358-R358)</f>
        <v/>
      </c>
      <c r="T358" s="7">
        <f>IF($V358="","",M358+P358+K358)</f>
        <v/>
      </c>
      <c r="U358" s="7">
        <f>IF($V358="","",T358-R358-J358)</f>
        <v/>
      </c>
      <c r="V358" s="13">
        <f>IF(ROWS($V$2:$V358)&lt;=MAX('Per Line'!$AL$2:$AL$1501),MATCH(ROWS($V$2:$V358),'Per Line'!$AL$2:$AL$1501,0),"")</f>
        <v/>
      </c>
    </row>
    <row r="359">
      <c r="A359" s="12" t="n"/>
      <c r="B359">
        <f>IF($V359="","",INDEX('Per Line'!$D$2:$D$1501,$V359)&amp;"")</f>
        <v/>
      </c>
      <c r="C359">
        <f>IF($V359="","",INDEX('Per Line'!$A$2:$A$1501,$V359))</f>
        <v/>
      </c>
      <c r="D359">
        <f>IF($V359="","",INDEX('Per Line'!$Z$2:$Z$1501,$V359)&amp;"")</f>
        <v/>
      </c>
      <c r="E359" s="11">
        <f>IF($V359="","",INDEX('Per Line'!$F$2:$F$1501,$V359))</f>
        <v/>
      </c>
      <c r="F359">
        <f>IF($V359="","",INDEX('Per Line'!$I$2:$I$1501,$V359)&amp;"")</f>
        <v/>
      </c>
      <c r="G359">
        <f>IF($V359="","",INDEX('Per Line'!$J$2:$J$1501,$V359)&amp;"")</f>
        <v/>
      </c>
      <c r="H359">
        <f>IF($V359="","",INDEX('Per Line'!$K$2:$K$1501,$V359)&amp;"")</f>
        <v/>
      </c>
      <c r="I359">
        <f>IF($V359="","",INDEX('Per Line'!$M$2:$M$1501,$V359))</f>
        <v/>
      </c>
      <c r="J359" s="7">
        <f>IF($V359="","",I359*T359/100)</f>
        <v/>
      </c>
      <c r="K359" s="7">
        <f>IF($V359="","",SUMIFS('Per Line'!$V$2:$V$1501,'Per Line'!$D$2:$D$1501,$B359,'Per Line'!$AN$2:$AN$1501,1))</f>
        <v/>
      </c>
      <c r="L359">
        <f>IF($V359="","",Settings!$C$7)</f>
        <v/>
      </c>
      <c r="M359" s="7">
        <f>IF($V359="","",SUMIFS('Per Line'!$V$2:$V$1501,'Per Line'!$D$2:$D$1501,$B359,'Per Line'!$AM$2:$AM$1501,0,'Per Line'!$AN$2:$AN$1501,0))</f>
        <v/>
      </c>
      <c r="N359" s="7">
        <f>IF($V359="","",M359*L359)</f>
        <v/>
      </c>
      <c r="O359">
        <f>IF($V359="","",Settings!$C$6)</f>
        <v/>
      </c>
      <c r="P359" s="7">
        <f>IF($V359="","",SUMIFS('Per Line'!$V$2:$V$1501,'Per Line'!$D$2:$D$1501,$B359,'Per Line'!$AM$2:$AM$1501,1,'Per Line'!$AN$2:$AN$1501,0))</f>
        <v/>
      </c>
      <c r="Q359" s="7">
        <f>IF($V359="","",P359*O359)</f>
        <v/>
      </c>
      <c r="R359" s="7">
        <f>IF($V359="","",Q359+N359)</f>
        <v/>
      </c>
      <c r="S359" s="7">
        <f>IF($V359="","",T359-R359)</f>
        <v/>
      </c>
      <c r="T359" s="7">
        <f>IF($V359="","",M359+P359+K359)</f>
        <v/>
      </c>
      <c r="U359" s="7">
        <f>IF($V359="","",T359-R359-J359)</f>
        <v/>
      </c>
      <c r="V359" s="13">
        <f>IF(ROWS($V$2:$V359)&lt;=MAX('Per Line'!$AL$2:$AL$1501),MATCH(ROWS($V$2:$V359),'Per Line'!$AL$2:$AL$1501,0),"")</f>
        <v/>
      </c>
    </row>
    <row r="360">
      <c r="A360" s="12" t="n"/>
      <c r="B360">
        <f>IF($V360="","",INDEX('Per Line'!$D$2:$D$1501,$V360)&amp;"")</f>
        <v/>
      </c>
      <c r="C360">
        <f>IF($V360="","",INDEX('Per Line'!$A$2:$A$1501,$V360))</f>
        <v/>
      </c>
      <c r="D360">
        <f>IF($V360="","",INDEX('Per Line'!$Z$2:$Z$1501,$V360)&amp;"")</f>
        <v/>
      </c>
      <c r="E360" s="11">
        <f>IF($V360="","",INDEX('Per Line'!$F$2:$F$1501,$V360))</f>
        <v/>
      </c>
      <c r="F360">
        <f>IF($V360="","",INDEX('Per Line'!$I$2:$I$1501,$V360)&amp;"")</f>
        <v/>
      </c>
      <c r="G360">
        <f>IF($V360="","",INDEX('Per Line'!$J$2:$J$1501,$V360)&amp;"")</f>
        <v/>
      </c>
      <c r="H360">
        <f>IF($V360="","",INDEX('Per Line'!$K$2:$K$1501,$V360)&amp;"")</f>
        <v/>
      </c>
      <c r="I360">
        <f>IF($V360="","",INDEX('Per Line'!$M$2:$M$1501,$V360))</f>
        <v/>
      </c>
      <c r="J360" s="7">
        <f>IF($V360="","",I360*T360/100)</f>
        <v/>
      </c>
      <c r="K360" s="7">
        <f>IF($V360="","",SUMIFS('Per Line'!$V$2:$V$1501,'Per Line'!$D$2:$D$1501,$B360,'Per Line'!$AN$2:$AN$1501,1))</f>
        <v/>
      </c>
      <c r="L360">
        <f>IF($V360="","",Settings!$C$7)</f>
        <v/>
      </c>
      <c r="M360" s="7">
        <f>IF($V360="","",SUMIFS('Per Line'!$V$2:$V$1501,'Per Line'!$D$2:$D$1501,$B360,'Per Line'!$AM$2:$AM$1501,0,'Per Line'!$AN$2:$AN$1501,0))</f>
        <v/>
      </c>
      <c r="N360" s="7">
        <f>IF($V360="","",M360*L360)</f>
        <v/>
      </c>
      <c r="O360">
        <f>IF($V360="","",Settings!$C$6)</f>
        <v/>
      </c>
      <c r="P360" s="7">
        <f>IF($V360="","",SUMIFS('Per Line'!$V$2:$V$1501,'Per Line'!$D$2:$D$1501,$B360,'Per Line'!$AM$2:$AM$1501,1,'Per Line'!$AN$2:$AN$1501,0))</f>
        <v/>
      </c>
      <c r="Q360" s="7">
        <f>IF($V360="","",P360*O360)</f>
        <v/>
      </c>
      <c r="R360" s="7">
        <f>IF($V360="","",Q360+N360)</f>
        <v/>
      </c>
      <c r="S360" s="7">
        <f>IF($V360="","",T360-R360)</f>
        <v/>
      </c>
      <c r="T360" s="7">
        <f>IF($V360="","",M360+P360+K360)</f>
        <v/>
      </c>
      <c r="U360" s="7">
        <f>IF($V360="","",T360-R360-J360)</f>
        <v/>
      </c>
      <c r="V360" s="13">
        <f>IF(ROWS($V$2:$V360)&lt;=MAX('Per Line'!$AL$2:$AL$1501),MATCH(ROWS($V$2:$V360),'Per Line'!$AL$2:$AL$1501,0),"")</f>
        <v/>
      </c>
    </row>
    <row r="361">
      <c r="A361" s="12" t="n"/>
      <c r="B361">
        <f>IF($V361="","",INDEX('Per Line'!$D$2:$D$1501,$V361)&amp;"")</f>
        <v/>
      </c>
      <c r="C361">
        <f>IF($V361="","",INDEX('Per Line'!$A$2:$A$1501,$V361))</f>
        <v/>
      </c>
      <c r="D361">
        <f>IF($V361="","",INDEX('Per Line'!$Z$2:$Z$1501,$V361)&amp;"")</f>
        <v/>
      </c>
      <c r="E361" s="11">
        <f>IF($V361="","",INDEX('Per Line'!$F$2:$F$1501,$V361))</f>
        <v/>
      </c>
      <c r="F361">
        <f>IF($V361="","",INDEX('Per Line'!$I$2:$I$1501,$V361)&amp;"")</f>
        <v/>
      </c>
      <c r="G361">
        <f>IF($V361="","",INDEX('Per Line'!$J$2:$J$1501,$V361)&amp;"")</f>
        <v/>
      </c>
      <c r="H361">
        <f>IF($V361="","",INDEX('Per Line'!$K$2:$K$1501,$V361)&amp;"")</f>
        <v/>
      </c>
      <c r="I361">
        <f>IF($V361="","",INDEX('Per Line'!$M$2:$M$1501,$V361))</f>
        <v/>
      </c>
      <c r="J361" s="7">
        <f>IF($V361="","",I361*T361/100)</f>
        <v/>
      </c>
      <c r="K361" s="7">
        <f>IF($V361="","",SUMIFS('Per Line'!$V$2:$V$1501,'Per Line'!$D$2:$D$1501,$B361,'Per Line'!$AN$2:$AN$1501,1))</f>
        <v/>
      </c>
      <c r="L361">
        <f>IF($V361="","",Settings!$C$7)</f>
        <v/>
      </c>
      <c r="M361" s="7">
        <f>IF($V361="","",SUMIFS('Per Line'!$V$2:$V$1501,'Per Line'!$D$2:$D$1501,$B361,'Per Line'!$AM$2:$AM$1501,0,'Per Line'!$AN$2:$AN$1501,0))</f>
        <v/>
      </c>
      <c r="N361" s="7">
        <f>IF($V361="","",M361*L361)</f>
        <v/>
      </c>
      <c r="O361">
        <f>IF($V361="","",Settings!$C$6)</f>
        <v/>
      </c>
      <c r="P361" s="7">
        <f>IF($V361="","",SUMIFS('Per Line'!$V$2:$V$1501,'Per Line'!$D$2:$D$1501,$B361,'Per Line'!$AM$2:$AM$1501,1,'Per Line'!$AN$2:$AN$1501,0))</f>
        <v/>
      </c>
      <c r="Q361" s="7">
        <f>IF($V361="","",P361*O361)</f>
        <v/>
      </c>
      <c r="R361" s="7">
        <f>IF($V361="","",Q361+N361)</f>
        <v/>
      </c>
      <c r="S361" s="7">
        <f>IF($V361="","",T361-R361)</f>
        <v/>
      </c>
      <c r="T361" s="7">
        <f>IF($V361="","",M361+P361+K361)</f>
        <v/>
      </c>
      <c r="U361" s="7">
        <f>IF($V361="","",T361-R361-J361)</f>
        <v/>
      </c>
      <c r="V361" s="13">
        <f>IF(ROWS($V$2:$V361)&lt;=MAX('Per Line'!$AL$2:$AL$1501),MATCH(ROWS($V$2:$V361),'Per Line'!$AL$2:$AL$1501,0),"")</f>
        <v/>
      </c>
    </row>
    <row r="362">
      <c r="A362" s="12" t="n"/>
      <c r="B362">
        <f>IF($V362="","",INDEX('Per Line'!$D$2:$D$1501,$V362)&amp;"")</f>
        <v/>
      </c>
      <c r="C362">
        <f>IF($V362="","",INDEX('Per Line'!$A$2:$A$1501,$V362))</f>
        <v/>
      </c>
      <c r="D362">
        <f>IF($V362="","",INDEX('Per Line'!$Z$2:$Z$1501,$V362)&amp;"")</f>
        <v/>
      </c>
      <c r="E362" s="11">
        <f>IF($V362="","",INDEX('Per Line'!$F$2:$F$1501,$V362))</f>
        <v/>
      </c>
      <c r="F362">
        <f>IF($V362="","",INDEX('Per Line'!$I$2:$I$1501,$V362)&amp;"")</f>
        <v/>
      </c>
      <c r="G362">
        <f>IF($V362="","",INDEX('Per Line'!$J$2:$J$1501,$V362)&amp;"")</f>
        <v/>
      </c>
      <c r="H362">
        <f>IF($V362="","",INDEX('Per Line'!$K$2:$K$1501,$V362)&amp;"")</f>
        <v/>
      </c>
      <c r="I362">
        <f>IF($V362="","",INDEX('Per Line'!$M$2:$M$1501,$V362))</f>
        <v/>
      </c>
      <c r="J362" s="7">
        <f>IF($V362="","",I362*T362/100)</f>
        <v/>
      </c>
      <c r="K362" s="7">
        <f>IF($V362="","",SUMIFS('Per Line'!$V$2:$V$1501,'Per Line'!$D$2:$D$1501,$B362,'Per Line'!$AN$2:$AN$1501,1))</f>
        <v/>
      </c>
      <c r="L362">
        <f>IF($V362="","",Settings!$C$7)</f>
        <v/>
      </c>
      <c r="M362" s="7">
        <f>IF($V362="","",SUMIFS('Per Line'!$V$2:$V$1501,'Per Line'!$D$2:$D$1501,$B362,'Per Line'!$AM$2:$AM$1501,0,'Per Line'!$AN$2:$AN$1501,0))</f>
        <v/>
      </c>
      <c r="N362" s="7">
        <f>IF($V362="","",M362*L362)</f>
        <v/>
      </c>
      <c r="O362">
        <f>IF($V362="","",Settings!$C$6)</f>
        <v/>
      </c>
      <c r="P362" s="7">
        <f>IF($V362="","",SUMIFS('Per Line'!$V$2:$V$1501,'Per Line'!$D$2:$D$1501,$B362,'Per Line'!$AM$2:$AM$1501,1,'Per Line'!$AN$2:$AN$1501,0))</f>
        <v/>
      </c>
      <c r="Q362" s="7">
        <f>IF($V362="","",P362*O362)</f>
        <v/>
      </c>
      <c r="R362" s="7">
        <f>IF($V362="","",Q362+N362)</f>
        <v/>
      </c>
      <c r="S362" s="7">
        <f>IF($V362="","",T362-R362)</f>
        <v/>
      </c>
      <c r="T362" s="7">
        <f>IF($V362="","",M362+P362+K362)</f>
        <v/>
      </c>
      <c r="U362" s="7">
        <f>IF($V362="","",T362-R362-J362)</f>
        <v/>
      </c>
      <c r="V362" s="13">
        <f>IF(ROWS($V$2:$V362)&lt;=MAX('Per Line'!$AL$2:$AL$1501),MATCH(ROWS($V$2:$V362),'Per Line'!$AL$2:$AL$1501,0),"")</f>
        <v/>
      </c>
    </row>
    <row r="363">
      <c r="A363" s="12" t="n"/>
      <c r="B363">
        <f>IF($V363="","",INDEX('Per Line'!$D$2:$D$1501,$V363)&amp;"")</f>
        <v/>
      </c>
      <c r="C363">
        <f>IF($V363="","",INDEX('Per Line'!$A$2:$A$1501,$V363))</f>
        <v/>
      </c>
      <c r="D363">
        <f>IF($V363="","",INDEX('Per Line'!$Z$2:$Z$1501,$V363)&amp;"")</f>
        <v/>
      </c>
      <c r="E363" s="11">
        <f>IF($V363="","",INDEX('Per Line'!$F$2:$F$1501,$V363))</f>
        <v/>
      </c>
      <c r="F363">
        <f>IF($V363="","",INDEX('Per Line'!$I$2:$I$1501,$V363)&amp;"")</f>
        <v/>
      </c>
      <c r="G363">
        <f>IF($V363="","",INDEX('Per Line'!$J$2:$J$1501,$V363)&amp;"")</f>
        <v/>
      </c>
      <c r="H363">
        <f>IF($V363="","",INDEX('Per Line'!$K$2:$K$1501,$V363)&amp;"")</f>
        <v/>
      </c>
      <c r="I363">
        <f>IF($V363="","",INDEX('Per Line'!$M$2:$M$1501,$V363))</f>
        <v/>
      </c>
      <c r="J363" s="7">
        <f>IF($V363="","",I363*T363/100)</f>
        <v/>
      </c>
      <c r="K363" s="7">
        <f>IF($V363="","",SUMIFS('Per Line'!$V$2:$V$1501,'Per Line'!$D$2:$D$1501,$B363,'Per Line'!$AN$2:$AN$1501,1))</f>
        <v/>
      </c>
      <c r="L363">
        <f>IF($V363="","",Settings!$C$7)</f>
        <v/>
      </c>
      <c r="M363" s="7">
        <f>IF($V363="","",SUMIFS('Per Line'!$V$2:$V$1501,'Per Line'!$D$2:$D$1501,$B363,'Per Line'!$AM$2:$AM$1501,0,'Per Line'!$AN$2:$AN$1501,0))</f>
        <v/>
      </c>
      <c r="N363" s="7">
        <f>IF($V363="","",M363*L363)</f>
        <v/>
      </c>
      <c r="O363">
        <f>IF($V363="","",Settings!$C$6)</f>
        <v/>
      </c>
      <c r="P363" s="7">
        <f>IF($V363="","",SUMIFS('Per Line'!$V$2:$V$1501,'Per Line'!$D$2:$D$1501,$B363,'Per Line'!$AM$2:$AM$1501,1,'Per Line'!$AN$2:$AN$1501,0))</f>
        <v/>
      </c>
      <c r="Q363" s="7">
        <f>IF($V363="","",P363*O363)</f>
        <v/>
      </c>
      <c r="R363" s="7">
        <f>IF($V363="","",Q363+N363)</f>
        <v/>
      </c>
      <c r="S363" s="7">
        <f>IF($V363="","",T363-R363)</f>
        <v/>
      </c>
      <c r="T363" s="7">
        <f>IF($V363="","",M363+P363+K363)</f>
        <v/>
      </c>
      <c r="U363" s="7">
        <f>IF($V363="","",T363-R363-J363)</f>
        <v/>
      </c>
      <c r="V363" s="13">
        <f>IF(ROWS($V$2:$V363)&lt;=MAX('Per Line'!$AL$2:$AL$1501),MATCH(ROWS($V$2:$V363),'Per Line'!$AL$2:$AL$1501,0),"")</f>
        <v/>
      </c>
    </row>
    <row r="364">
      <c r="A364" s="12" t="n"/>
      <c r="B364">
        <f>IF($V364="","",INDEX('Per Line'!$D$2:$D$1501,$V364)&amp;"")</f>
        <v/>
      </c>
      <c r="C364">
        <f>IF($V364="","",INDEX('Per Line'!$A$2:$A$1501,$V364))</f>
        <v/>
      </c>
      <c r="D364">
        <f>IF($V364="","",INDEX('Per Line'!$Z$2:$Z$1501,$V364)&amp;"")</f>
        <v/>
      </c>
      <c r="E364" s="11">
        <f>IF($V364="","",INDEX('Per Line'!$F$2:$F$1501,$V364))</f>
        <v/>
      </c>
      <c r="F364">
        <f>IF($V364="","",INDEX('Per Line'!$I$2:$I$1501,$V364)&amp;"")</f>
        <v/>
      </c>
      <c r="G364">
        <f>IF($V364="","",INDEX('Per Line'!$J$2:$J$1501,$V364)&amp;"")</f>
        <v/>
      </c>
      <c r="H364">
        <f>IF($V364="","",INDEX('Per Line'!$K$2:$K$1501,$V364)&amp;"")</f>
        <v/>
      </c>
      <c r="I364">
        <f>IF($V364="","",INDEX('Per Line'!$M$2:$M$1501,$V364))</f>
        <v/>
      </c>
      <c r="J364" s="7">
        <f>IF($V364="","",I364*T364/100)</f>
        <v/>
      </c>
      <c r="K364" s="7">
        <f>IF($V364="","",SUMIFS('Per Line'!$V$2:$V$1501,'Per Line'!$D$2:$D$1501,$B364,'Per Line'!$AN$2:$AN$1501,1))</f>
        <v/>
      </c>
      <c r="L364">
        <f>IF($V364="","",Settings!$C$7)</f>
        <v/>
      </c>
      <c r="M364" s="7">
        <f>IF($V364="","",SUMIFS('Per Line'!$V$2:$V$1501,'Per Line'!$D$2:$D$1501,$B364,'Per Line'!$AM$2:$AM$1501,0,'Per Line'!$AN$2:$AN$1501,0))</f>
        <v/>
      </c>
      <c r="N364" s="7">
        <f>IF($V364="","",M364*L364)</f>
        <v/>
      </c>
      <c r="O364">
        <f>IF($V364="","",Settings!$C$6)</f>
        <v/>
      </c>
      <c r="P364" s="7">
        <f>IF($V364="","",SUMIFS('Per Line'!$V$2:$V$1501,'Per Line'!$D$2:$D$1501,$B364,'Per Line'!$AM$2:$AM$1501,1,'Per Line'!$AN$2:$AN$1501,0))</f>
        <v/>
      </c>
      <c r="Q364" s="7">
        <f>IF($V364="","",P364*O364)</f>
        <v/>
      </c>
      <c r="R364" s="7">
        <f>IF($V364="","",Q364+N364)</f>
        <v/>
      </c>
      <c r="S364" s="7">
        <f>IF($V364="","",T364-R364)</f>
        <v/>
      </c>
      <c r="T364" s="7">
        <f>IF($V364="","",M364+P364+K364)</f>
        <v/>
      </c>
      <c r="U364" s="7">
        <f>IF($V364="","",T364-R364-J364)</f>
        <v/>
      </c>
      <c r="V364" s="13">
        <f>IF(ROWS($V$2:$V364)&lt;=MAX('Per Line'!$AL$2:$AL$1501),MATCH(ROWS($V$2:$V364),'Per Line'!$AL$2:$AL$1501,0),"")</f>
        <v/>
      </c>
    </row>
    <row r="365">
      <c r="A365" s="12" t="n"/>
      <c r="B365">
        <f>IF($V365="","",INDEX('Per Line'!$D$2:$D$1501,$V365)&amp;"")</f>
        <v/>
      </c>
      <c r="C365">
        <f>IF($V365="","",INDEX('Per Line'!$A$2:$A$1501,$V365))</f>
        <v/>
      </c>
      <c r="D365">
        <f>IF($V365="","",INDEX('Per Line'!$Z$2:$Z$1501,$V365)&amp;"")</f>
        <v/>
      </c>
      <c r="E365" s="11">
        <f>IF($V365="","",INDEX('Per Line'!$F$2:$F$1501,$V365))</f>
        <v/>
      </c>
      <c r="F365">
        <f>IF($V365="","",INDEX('Per Line'!$I$2:$I$1501,$V365)&amp;"")</f>
        <v/>
      </c>
      <c r="G365">
        <f>IF($V365="","",INDEX('Per Line'!$J$2:$J$1501,$V365)&amp;"")</f>
        <v/>
      </c>
      <c r="H365">
        <f>IF($V365="","",INDEX('Per Line'!$K$2:$K$1501,$V365)&amp;"")</f>
        <v/>
      </c>
      <c r="I365">
        <f>IF($V365="","",INDEX('Per Line'!$M$2:$M$1501,$V365))</f>
        <v/>
      </c>
      <c r="J365" s="7">
        <f>IF($V365="","",I365*T365/100)</f>
        <v/>
      </c>
      <c r="K365" s="7">
        <f>IF($V365="","",SUMIFS('Per Line'!$V$2:$V$1501,'Per Line'!$D$2:$D$1501,$B365,'Per Line'!$AN$2:$AN$1501,1))</f>
        <v/>
      </c>
      <c r="L365">
        <f>IF($V365="","",Settings!$C$7)</f>
        <v/>
      </c>
      <c r="M365" s="7">
        <f>IF($V365="","",SUMIFS('Per Line'!$V$2:$V$1501,'Per Line'!$D$2:$D$1501,$B365,'Per Line'!$AM$2:$AM$1501,0,'Per Line'!$AN$2:$AN$1501,0))</f>
        <v/>
      </c>
      <c r="N365" s="7">
        <f>IF($V365="","",M365*L365)</f>
        <v/>
      </c>
      <c r="O365">
        <f>IF($V365="","",Settings!$C$6)</f>
        <v/>
      </c>
      <c r="P365" s="7">
        <f>IF($V365="","",SUMIFS('Per Line'!$V$2:$V$1501,'Per Line'!$D$2:$D$1501,$B365,'Per Line'!$AM$2:$AM$1501,1,'Per Line'!$AN$2:$AN$1501,0))</f>
        <v/>
      </c>
      <c r="Q365" s="7">
        <f>IF($V365="","",P365*O365)</f>
        <v/>
      </c>
      <c r="R365" s="7">
        <f>IF($V365="","",Q365+N365)</f>
        <v/>
      </c>
      <c r="S365" s="7">
        <f>IF($V365="","",T365-R365)</f>
        <v/>
      </c>
      <c r="T365" s="7">
        <f>IF($V365="","",M365+P365+K365)</f>
        <v/>
      </c>
      <c r="U365" s="7">
        <f>IF($V365="","",T365-R365-J365)</f>
        <v/>
      </c>
      <c r="V365" s="13">
        <f>IF(ROWS($V$2:$V365)&lt;=MAX('Per Line'!$AL$2:$AL$1501),MATCH(ROWS($V$2:$V365),'Per Line'!$AL$2:$AL$1501,0),"")</f>
        <v/>
      </c>
    </row>
    <row r="366">
      <c r="A366" s="12" t="n"/>
      <c r="B366">
        <f>IF($V366="","",INDEX('Per Line'!$D$2:$D$1501,$V366)&amp;"")</f>
        <v/>
      </c>
      <c r="C366">
        <f>IF($V366="","",INDEX('Per Line'!$A$2:$A$1501,$V366))</f>
        <v/>
      </c>
      <c r="D366">
        <f>IF($V366="","",INDEX('Per Line'!$Z$2:$Z$1501,$V366)&amp;"")</f>
        <v/>
      </c>
      <c r="E366" s="11">
        <f>IF($V366="","",INDEX('Per Line'!$F$2:$F$1501,$V366))</f>
        <v/>
      </c>
      <c r="F366">
        <f>IF($V366="","",INDEX('Per Line'!$I$2:$I$1501,$V366)&amp;"")</f>
        <v/>
      </c>
      <c r="G366">
        <f>IF($V366="","",INDEX('Per Line'!$J$2:$J$1501,$V366)&amp;"")</f>
        <v/>
      </c>
      <c r="H366">
        <f>IF($V366="","",INDEX('Per Line'!$K$2:$K$1501,$V366)&amp;"")</f>
        <v/>
      </c>
      <c r="I366">
        <f>IF($V366="","",INDEX('Per Line'!$M$2:$M$1501,$V366))</f>
        <v/>
      </c>
      <c r="J366" s="7">
        <f>IF($V366="","",I366*T366/100)</f>
        <v/>
      </c>
      <c r="K366" s="7">
        <f>IF($V366="","",SUMIFS('Per Line'!$V$2:$V$1501,'Per Line'!$D$2:$D$1501,$B366,'Per Line'!$AN$2:$AN$1501,1))</f>
        <v/>
      </c>
      <c r="L366">
        <f>IF($V366="","",Settings!$C$7)</f>
        <v/>
      </c>
      <c r="M366" s="7">
        <f>IF($V366="","",SUMIFS('Per Line'!$V$2:$V$1501,'Per Line'!$D$2:$D$1501,$B366,'Per Line'!$AM$2:$AM$1501,0,'Per Line'!$AN$2:$AN$1501,0))</f>
        <v/>
      </c>
      <c r="N366" s="7">
        <f>IF($V366="","",M366*L366)</f>
        <v/>
      </c>
      <c r="O366">
        <f>IF($V366="","",Settings!$C$6)</f>
        <v/>
      </c>
      <c r="P366" s="7">
        <f>IF($V366="","",SUMIFS('Per Line'!$V$2:$V$1501,'Per Line'!$D$2:$D$1501,$B366,'Per Line'!$AM$2:$AM$1501,1,'Per Line'!$AN$2:$AN$1501,0))</f>
        <v/>
      </c>
      <c r="Q366" s="7">
        <f>IF($V366="","",P366*O366)</f>
        <v/>
      </c>
      <c r="R366" s="7">
        <f>IF($V366="","",Q366+N366)</f>
        <v/>
      </c>
      <c r="S366" s="7">
        <f>IF($V366="","",T366-R366)</f>
        <v/>
      </c>
      <c r="T366" s="7">
        <f>IF($V366="","",M366+P366+K366)</f>
        <v/>
      </c>
      <c r="U366" s="7">
        <f>IF($V366="","",T366-R366-J366)</f>
        <v/>
      </c>
      <c r="V366" s="13">
        <f>IF(ROWS($V$2:$V366)&lt;=MAX('Per Line'!$AL$2:$AL$1501),MATCH(ROWS($V$2:$V366),'Per Line'!$AL$2:$AL$1501,0),"")</f>
        <v/>
      </c>
    </row>
    <row r="367">
      <c r="A367" s="12" t="n"/>
      <c r="B367">
        <f>IF($V367="","",INDEX('Per Line'!$D$2:$D$1501,$V367)&amp;"")</f>
        <v/>
      </c>
      <c r="C367">
        <f>IF($V367="","",INDEX('Per Line'!$A$2:$A$1501,$V367))</f>
        <v/>
      </c>
      <c r="D367">
        <f>IF($V367="","",INDEX('Per Line'!$Z$2:$Z$1501,$V367)&amp;"")</f>
        <v/>
      </c>
      <c r="E367" s="11">
        <f>IF($V367="","",INDEX('Per Line'!$F$2:$F$1501,$V367))</f>
        <v/>
      </c>
      <c r="F367">
        <f>IF($V367="","",INDEX('Per Line'!$I$2:$I$1501,$V367)&amp;"")</f>
        <v/>
      </c>
      <c r="G367">
        <f>IF($V367="","",INDEX('Per Line'!$J$2:$J$1501,$V367)&amp;"")</f>
        <v/>
      </c>
      <c r="H367">
        <f>IF($V367="","",INDEX('Per Line'!$K$2:$K$1501,$V367)&amp;"")</f>
        <v/>
      </c>
      <c r="I367">
        <f>IF($V367="","",INDEX('Per Line'!$M$2:$M$1501,$V367))</f>
        <v/>
      </c>
      <c r="J367" s="7">
        <f>IF($V367="","",I367*T367/100)</f>
        <v/>
      </c>
      <c r="K367" s="7">
        <f>IF($V367="","",SUMIFS('Per Line'!$V$2:$V$1501,'Per Line'!$D$2:$D$1501,$B367,'Per Line'!$AN$2:$AN$1501,1))</f>
        <v/>
      </c>
      <c r="L367">
        <f>IF($V367="","",Settings!$C$7)</f>
        <v/>
      </c>
      <c r="M367" s="7">
        <f>IF($V367="","",SUMIFS('Per Line'!$V$2:$V$1501,'Per Line'!$D$2:$D$1501,$B367,'Per Line'!$AM$2:$AM$1501,0,'Per Line'!$AN$2:$AN$1501,0))</f>
        <v/>
      </c>
      <c r="N367" s="7">
        <f>IF($V367="","",M367*L367)</f>
        <v/>
      </c>
      <c r="O367">
        <f>IF($V367="","",Settings!$C$6)</f>
        <v/>
      </c>
      <c r="P367" s="7">
        <f>IF($V367="","",SUMIFS('Per Line'!$V$2:$V$1501,'Per Line'!$D$2:$D$1501,$B367,'Per Line'!$AM$2:$AM$1501,1,'Per Line'!$AN$2:$AN$1501,0))</f>
        <v/>
      </c>
      <c r="Q367" s="7">
        <f>IF($V367="","",P367*O367)</f>
        <v/>
      </c>
      <c r="R367" s="7">
        <f>IF($V367="","",Q367+N367)</f>
        <v/>
      </c>
      <c r="S367" s="7">
        <f>IF($V367="","",T367-R367)</f>
        <v/>
      </c>
      <c r="T367" s="7">
        <f>IF($V367="","",M367+P367+K367)</f>
        <v/>
      </c>
      <c r="U367" s="7">
        <f>IF($V367="","",T367-R367-J367)</f>
        <v/>
      </c>
      <c r="V367" s="13">
        <f>IF(ROWS($V$2:$V367)&lt;=MAX('Per Line'!$AL$2:$AL$1501),MATCH(ROWS($V$2:$V367),'Per Line'!$AL$2:$AL$1501,0),"")</f>
        <v/>
      </c>
    </row>
    <row r="368">
      <c r="A368" s="12" t="n"/>
      <c r="B368">
        <f>IF($V368="","",INDEX('Per Line'!$D$2:$D$1501,$V368)&amp;"")</f>
        <v/>
      </c>
      <c r="C368">
        <f>IF($V368="","",INDEX('Per Line'!$A$2:$A$1501,$V368))</f>
        <v/>
      </c>
      <c r="D368">
        <f>IF($V368="","",INDEX('Per Line'!$Z$2:$Z$1501,$V368)&amp;"")</f>
        <v/>
      </c>
      <c r="E368" s="11">
        <f>IF($V368="","",INDEX('Per Line'!$F$2:$F$1501,$V368))</f>
        <v/>
      </c>
      <c r="F368">
        <f>IF($V368="","",INDEX('Per Line'!$I$2:$I$1501,$V368)&amp;"")</f>
        <v/>
      </c>
      <c r="G368">
        <f>IF($V368="","",INDEX('Per Line'!$J$2:$J$1501,$V368)&amp;"")</f>
        <v/>
      </c>
      <c r="H368">
        <f>IF($V368="","",INDEX('Per Line'!$K$2:$K$1501,$V368)&amp;"")</f>
        <v/>
      </c>
      <c r="I368">
        <f>IF($V368="","",INDEX('Per Line'!$M$2:$M$1501,$V368))</f>
        <v/>
      </c>
      <c r="J368" s="7">
        <f>IF($V368="","",I368*T368/100)</f>
        <v/>
      </c>
      <c r="K368" s="7">
        <f>IF($V368="","",SUMIFS('Per Line'!$V$2:$V$1501,'Per Line'!$D$2:$D$1501,$B368,'Per Line'!$AN$2:$AN$1501,1))</f>
        <v/>
      </c>
      <c r="L368">
        <f>IF($V368="","",Settings!$C$7)</f>
        <v/>
      </c>
      <c r="M368" s="7">
        <f>IF($V368="","",SUMIFS('Per Line'!$V$2:$V$1501,'Per Line'!$D$2:$D$1501,$B368,'Per Line'!$AM$2:$AM$1501,0,'Per Line'!$AN$2:$AN$1501,0))</f>
        <v/>
      </c>
      <c r="N368" s="7">
        <f>IF($V368="","",M368*L368)</f>
        <v/>
      </c>
      <c r="O368">
        <f>IF($V368="","",Settings!$C$6)</f>
        <v/>
      </c>
      <c r="P368" s="7">
        <f>IF($V368="","",SUMIFS('Per Line'!$V$2:$V$1501,'Per Line'!$D$2:$D$1501,$B368,'Per Line'!$AM$2:$AM$1501,1,'Per Line'!$AN$2:$AN$1501,0))</f>
        <v/>
      </c>
      <c r="Q368" s="7">
        <f>IF($V368="","",P368*O368)</f>
        <v/>
      </c>
      <c r="R368" s="7">
        <f>IF($V368="","",Q368+N368)</f>
        <v/>
      </c>
      <c r="S368" s="7">
        <f>IF($V368="","",T368-R368)</f>
        <v/>
      </c>
      <c r="T368" s="7">
        <f>IF($V368="","",M368+P368+K368)</f>
        <v/>
      </c>
      <c r="U368" s="7">
        <f>IF($V368="","",T368-R368-J368)</f>
        <v/>
      </c>
      <c r="V368" s="13">
        <f>IF(ROWS($V$2:$V368)&lt;=MAX('Per Line'!$AL$2:$AL$1501),MATCH(ROWS($V$2:$V368),'Per Line'!$AL$2:$AL$1501,0),"")</f>
        <v/>
      </c>
    </row>
    <row r="369">
      <c r="A369" s="12" t="n"/>
      <c r="B369">
        <f>IF($V369="","",INDEX('Per Line'!$D$2:$D$1501,$V369)&amp;"")</f>
        <v/>
      </c>
      <c r="C369">
        <f>IF($V369="","",INDEX('Per Line'!$A$2:$A$1501,$V369))</f>
        <v/>
      </c>
      <c r="D369">
        <f>IF($V369="","",INDEX('Per Line'!$Z$2:$Z$1501,$V369)&amp;"")</f>
        <v/>
      </c>
      <c r="E369" s="11">
        <f>IF($V369="","",INDEX('Per Line'!$F$2:$F$1501,$V369))</f>
        <v/>
      </c>
      <c r="F369">
        <f>IF($V369="","",INDEX('Per Line'!$I$2:$I$1501,$V369)&amp;"")</f>
        <v/>
      </c>
      <c r="G369">
        <f>IF($V369="","",INDEX('Per Line'!$J$2:$J$1501,$V369)&amp;"")</f>
        <v/>
      </c>
      <c r="H369">
        <f>IF($V369="","",INDEX('Per Line'!$K$2:$K$1501,$V369)&amp;"")</f>
        <v/>
      </c>
      <c r="I369">
        <f>IF($V369="","",INDEX('Per Line'!$M$2:$M$1501,$V369))</f>
        <v/>
      </c>
      <c r="J369" s="7">
        <f>IF($V369="","",I369*T369/100)</f>
        <v/>
      </c>
      <c r="K369" s="7">
        <f>IF($V369="","",SUMIFS('Per Line'!$V$2:$V$1501,'Per Line'!$D$2:$D$1501,$B369,'Per Line'!$AN$2:$AN$1501,1))</f>
        <v/>
      </c>
      <c r="L369">
        <f>IF($V369="","",Settings!$C$7)</f>
        <v/>
      </c>
      <c r="M369" s="7">
        <f>IF($V369="","",SUMIFS('Per Line'!$V$2:$V$1501,'Per Line'!$D$2:$D$1501,$B369,'Per Line'!$AM$2:$AM$1501,0,'Per Line'!$AN$2:$AN$1501,0))</f>
        <v/>
      </c>
      <c r="N369" s="7">
        <f>IF($V369="","",M369*L369)</f>
        <v/>
      </c>
      <c r="O369">
        <f>IF($V369="","",Settings!$C$6)</f>
        <v/>
      </c>
      <c r="P369" s="7">
        <f>IF($V369="","",SUMIFS('Per Line'!$V$2:$V$1501,'Per Line'!$D$2:$D$1501,$B369,'Per Line'!$AM$2:$AM$1501,1,'Per Line'!$AN$2:$AN$1501,0))</f>
        <v/>
      </c>
      <c r="Q369" s="7">
        <f>IF($V369="","",P369*O369)</f>
        <v/>
      </c>
      <c r="R369" s="7">
        <f>IF($V369="","",Q369+N369)</f>
        <v/>
      </c>
      <c r="S369" s="7">
        <f>IF($V369="","",T369-R369)</f>
        <v/>
      </c>
      <c r="T369" s="7">
        <f>IF($V369="","",M369+P369+K369)</f>
        <v/>
      </c>
      <c r="U369" s="7">
        <f>IF($V369="","",T369-R369-J369)</f>
        <v/>
      </c>
      <c r="V369" s="13">
        <f>IF(ROWS($V$2:$V369)&lt;=MAX('Per Line'!$AL$2:$AL$1501),MATCH(ROWS($V$2:$V369),'Per Line'!$AL$2:$AL$1501,0),"")</f>
        <v/>
      </c>
    </row>
    <row r="370">
      <c r="A370" s="12" t="n"/>
      <c r="B370">
        <f>IF($V370="","",INDEX('Per Line'!$D$2:$D$1501,$V370)&amp;"")</f>
        <v/>
      </c>
      <c r="C370">
        <f>IF($V370="","",INDEX('Per Line'!$A$2:$A$1501,$V370))</f>
        <v/>
      </c>
      <c r="D370">
        <f>IF($V370="","",INDEX('Per Line'!$Z$2:$Z$1501,$V370)&amp;"")</f>
        <v/>
      </c>
      <c r="E370" s="11">
        <f>IF($V370="","",INDEX('Per Line'!$F$2:$F$1501,$V370))</f>
        <v/>
      </c>
      <c r="F370">
        <f>IF($V370="","",INDEX('Per Line'!$I$2:$I$1501,$V370)&amp;"")</f>
        <v/>
      </c>
      <c r="G370">
        <f>IF($V370="","",INDEX('Per Line'!$J$2:$J$1501,$V370)&amp;"")</f>
        <v/>
      </c>
      <c r="H370">
        <f>IF($V370="","",INDEX('Per Line'!$K$2:$K$1501,$V370)&amp;"")</f>
        <v/>
      </c>
      <c r="I370">
        <f>IF($V370="","",INDEX('Per Line'!$M$2:$M$1501,$V370))</f>
        <v/>
      </c>
      <c r="J370" s="7">
        <f>IF($V370="","",I370*T370/100)</f>
        <v/>
      </c>
      <c r="K370" s="7">
        <f>IF($V370="","",SUMIFS('Per Line'!$V$2:$V$1501,'Per Line'!$D$2:$D$1501,$B370,'Per Line'!$AN$2:$AN$1501,1))</f>
        <v/>
      </c>
      <c r="L370">
        <f>IF($V370="","",Settings!$C$7)</f>
        <v/>
      </c>
      <c r="M370" s="7">
        <f>IF($V370="","",SUMIFS('Per Line'!$V$2:$V$1501,'Per Line'!$D$2:$D$1501,$B370,'Per Line'!$AM$2:$AM$1501,0,'Per Line'!$AN$2:$AN$1501,0))</f>
        <v/>
      </c>
      <c r="N370" s="7">
        <f>IF($V370="","",M370*L370)</f>
        <v/>
      </c>
      <c r="O370">
        <f>IF($V370="","",Settings!$C$6)</f>
        <v/>
      </c>
      <c r="P370" s="7">
        <f>IF($V370="","",SUMIFS('Per Line'!$V$2:$V$1501,'Per Line'!$D$2:$D$1501,$B370,'Per Line'!$AM$2:$AM$1501,1,'Per Line'!$AN$2:$AN$1501,0))</f>
        <v/>
      </c>
      <c r="Q370" s="7">
        <f>IF($V370="","",P370*O370)</f>
        <v/>
      </c>
      <c r="R370" s="7">
        <f>IF($V370="","",Q370+N370)</f>
        <v/>
      </c>
      <c r="S370" s="7">
        <f>IF($V370="","",T370-R370)</f>
        <v/>
      </c>
      <c r="T370" s="7">
        <f>IF($V370="","",M370+P370+K370)</f>
        <v/>
      </c>
      <c r="U370" s="7">
        <f>IF($V370="","",T370-R370-J370)</f>
        <v/>
      </c>
      <c r="V370" s="13">
        <f>IF(ROWS($V$2:$V370)&lt;=MAX('Per Line'!$AL$2:$AL$1501),MATCH(ROWS($V$2:$V370),'Per Line'!$AL$2:$AL$1501,0),"")</f>
        <v/>
      </c>
    </row>
    <row r="371">
      <c r="A371" s="12" t="n"/>
      <c r="B371">
        <f>IF($V371="","",INDEX('Per Line'!$D$2:$D$1501,$V371)&amp;"")</f>
        <v/>
      </c>
      <c r="C371">
        <f>IF($V371="","",INDEX('Per Line'!$A$2:$A$1501,$V371))</f>
        <v/>
      </c>
      <c r="D371">
        <f>IF($V371="","",INDEX('Per Line'!$Z$2:$Z$1501,$V371)&amp;"")</f>
        <v/>
      </c>
      <c r="E371" s="11">
        <f>IF($V371="","",INDEX('Per Line'!$F$2:$F$1501,$V371))</f>
        <v/>
      </c>
      <c r="F371">
        <f>IF($V371="","",INDEX('Per Line'!$I$2:$I$1501,$V371)&amp;"")</f>
        <v/>
      </c>
      <c r="G371">
        <f>IF($V371="","",INDEX('Per Line'!$J$2:$J$1501,$V371)&amp;"")</f>
        <v/>
      </c>
      <c r="H371">
        <f>IF($V371="","",INDEX('Per Line'!$K$2:$K$1501,$V371)&amp;"")</f>
        <v/>
      </c>
      <c r="I371">
        <f>IF($V371="","",INDEX('Per Line'!$M$2:$M$1501,$V371))</f>
        <v/>
      </c>
      <c r="J371" s="7">
        <f>IF($V371="","",I371*T371/100)</f>
        <v/>
      </c>
      <c r="K371" s="7">
        <f>IF($V371="","",SUMIFS('Per Line'!$V$2:$V$1501,'Per Line'!$D$2:$D$1501,$B371,'Per Line'!$AN$2:$AN$1501,1))</f>
        <v/>
      </c>
      <c r="L371">
        <f>IF($V371="","",Settings!$C$7)</f>
        <v/>
      </c>
      <c r="M371" s="7">
        <f>IF($V371="","",SUMIFS('Per Line'!$V$2:$V$1501,'Per Line'!$D$2:$D$1501,$B371,'Per Line'!$AM$2:$AM$1501,0,'Per Line'!$AN$2:$AN$1501,0))</f>
        <v/>
      </c>
      <c r="N371" s="7">
        <f>IF($V371="","",M371*L371)</f>
        <v/>
      </c>
      <c r="O371">
        <f>IF($V371="","",Settings!$C$6)</f>
        <v/>
      </c>
      <c r="P371" s="7">
        <f>IF($V371="","",SUMIFS('Per Line'!$V$2:$V$1501,'Per Line'!$D$2:$D$1501,$B371,'Per Line'!$AM$2:$AM$1501,1,'Per Line'!$AN$2:$AN$1501,0))</f>
        <v/>
      </c>
      <c r="Q371" s="7">
        <f>IF($V371="","",P371*O371)</f>
        <v/>
      </c>
      <c r="R371" s="7">
        <f>IF($V371="","",Q371+N371)</f>
        <v/>
      </c>
      <c r="S371" s="7">
        <f>IF($V371="","",T371-R371)</f>
        <v/>
      </c>
      <c r="T371" s="7">
        <f>IF($V371="","",M371+P371+K371)</f>
        <v/>
      </c>
      <c r="U371" s="7">
        <f>IF($V371="","",T371-R371-J371)</f>
        <v/>
      </c>
      <c r="V371" s="13">
        <f>IF(ROWS($V$2:$V371)&lt;=MAX('Per Line'!$AL$2:$AL$1501),MATCH(ROWS($V$2:$V371),'Per Line'!$AL$2:$AL$1501,0),"")</f>
        <v/>
      </c>
    </row>
    <row r="372">
      <c r="A372" s="12" t="n"/>
      <c r="B372">
        <f>IF($V372="","",INDEX('Per Line'!$D$2:$D$1501,$V372)&amp;"")</f>
        <v/>
      </c>
      <c r="C372">
        <f>IF($V372="","",INDEX('Per Line'!$A$2:$A$1501,$V372))</f>
        <v/>
      </c>
      <c r="D372">
        <f>IF($V372="","",INDEX('Per Line'!$Z$2:$Z$1501,$V372)&amp;"")</f>
        <v/>
      </c>
      <c r="E372" s="11">
        <f>IF($V372="","",INDEX('Per Line'!$F$2:$F$1501,$V372))</f>
        <v/>
      </c>
      <c r="F372">
        <f>IF($V372="","",INDEX('Per Line'!$I$2:$I$1501,$V372)&amp;"")</f>
        <v/>
      </c>
      <c r="G372">
        <f>IF($V372="","",INDEX('Per Line'!$J$2:$J$1501,$V372)&amp;"")</f>
        <v/>
      </c>
      <c r="H372">
        <f>IF($V372="","",INDEX('Per Line'!$K$2:$K$1501,$V372)&amp;"")</f>
        <v/>
      </c>
      <c r="I372">
        <f>IF($V372="","",INDEX('Per Line'!$M$2:$M$1501,$V372))</f>
        <v/>
      </c>
      <c r="J372" s="7">
        <f>IF($V372="","",I372*T372/100)</f>
        <v/>
      </c>
      <c r="K372" s="7">
        <f>IF($V372="","",SUMIFS('Per Line'!$V$2:$V$1501,'Per Line'!$D$2:$D$1501,$B372,'Per Line'!$AN$2:$AN$1501,1))</f>
        <v/>
      </c>
      <c r="L372">
        <f>IF($V372="","",Settings!$C$7)</f>
        <v/>
      </c>
      <c r="M372" s="7">
        <f>IF($V372="","",SUMIFS('Per Line'!$V$2:$V$1501,'Per Line'!$D$2:$D$1501,$B372,'Per Line'!$AM$2:$AM$1501,0,'Per Line'!$AN$2:$AN$1501,0))</f>
        <v/>
      </c>
      <c r="N372" s="7">
        <f>IF($V372="","",M372*L372)</f>
        <v/>
      </c>
      <c r="O372">
        <f>IF($V372="","",Settings!$C$6)</f>
        <v/>
      </c>
      <c r="P372" s="7">
        <f>IF($V372="","",SUMIFS('Per Line'!$V$2:$V$1501,'Per Line'!$D$2:$D$1501,$B372,'Per Line'!$AM$2:$AM$1501,1,'Per Line'!$AN$2:$AN$1501,0))</f>
        <v/>
      </c>
      <c r="Q372" s="7">
        <f>IF($V372="","",P372*O372)</f>
        <v/>
      </c>
      <c r="R372" s="7">
        <f>IF($V372="","",Q372+N372)</f>
        <v/>
      </c>
      <c r="S372" s="7">
        <f>IF($V372="","",T372-R372)</f>
        <v/>
      </c>
      <c r="T372" s="7">
        <f>IF($V372="","",M372+P372+K372)</f>
        <v/>
      </c>
      <c r="U372" s="7">
        <f>IF($V372="","",T372-R372-J372)</f>
        <v/>
      </c>
      <c r="V372" s="13">
        <f>IF(ROWS($V$2:$V372)&lt;=MAX('Per Line'!$AL$2:$AL$1501),MATCH(ROWS($V$2:$V372),'Per Line'!$AL$2:$AL$1501,0),"")</f>
        <v/>
      </c>
    </row>
    <row r="373">
      <c r="A373" s="12" t="n"/>
      <c r="B373">
        <f>IF($V373="","",INDEX('Per Line'!$D$2:$D$1501,$V373)&amp;"")</f>
        <v/>
      </c>
      <c r="C373">
        <f>IF($V373="","",INDEX('Per Line'!$A$2:$A$1501,$V373))</f>
        <v/>
      </c>
      <c r="D373">
        <f>IF($V373="","",INDEX('Per Line'!$Z$2:$Z$1501,$V373)&amp;"")</f>
        <v/>
      </c>
      <c r="E373" s="11">
        <f>IF($V373="","",INDEX('Per Line'!$F$2:$F$1501,$V373))</f>
        <v/>
      </c>
      <c r="F373">
        <f>IF($V373="","",INDEX('Per Line'!$I$2:$I$1501,$V373)&amp;"")</f>
        <v/>
      </c>
      <c r="G373">
        <f>IF($V373="","",INDEX('Per Line'!$J$2:$J$1501,$V373)&amp;"")</f>
        <v/>
      </c>
      <c r="H373">
        <f>IF($V373="","",INDEX('Per Line'!$K$2:$K$1501,$V373)&amp;"")</f>
        <v/>
      </c>
      <c r="I373">
        <f>IF($V373="","",INDEX('Per Line'!$M$2:$M$1501,$V373))</f>
        <v/>
      </c>
      <c r="J373" s="7">
        <f>IF($V373="","",I373*T373/100)</f>
        <v/>
      </c>
      <c r="K373" s="7">
        <f>IF($V373="","",SUMIFS('Per Line'!$V$2:$V$1501,'Per Line'!$D$2:$D$1501,$B373,'Per Line'!$AN$2:$AN$1501,1))</f>
        <v/>
      </c>
      <c r="L373">
        <f>IF($V373="","",Settings!$C$7)</f>
        <v/>
      </c>
      <c r="M373" s="7">
        <f>IF($V373="","",SUMIFS('Per Line'!$V$2:$V$1501,'Per Line'!$D$2:$D$1501,$B373,'Per Line'!$AM$2:$AM$1501,0,'Per Line'!$AN$2:$AN$1501,0))</f>
        <v/>
      </c>
      <c r="N373" s="7">
        <f>IF($V373="","",M373*L373)</f>
        <v/>
      </c>
      <c r="O373">
        <f>IF($V373="","",Settings!$C$6)</f>
        <v/>
      </c>
      <c r="P373" s="7">
        <f>IF($V373="","",SUMIFS('Per Line'!$V$2:$V$1501,'Per Line'!$D$2:$D$1501,$B373,'Per Line'!$AM$2:$AM$1501,1,'Per Line'!$AN$2:$AN$1501,0))</f>
        <v/>
      </c>
      <c r="Q373" s="7">
        <f>IF($V373="","",P373*O373)</f>
        <v/>
      </c>
      <c r="R373" s="7">
        <f>IF($V373="","",Q373+N373)</f>
        <v/>
      </c>
      <c r="S373" s="7">
        <f>IF($V373="","",T373-R373)</f>
        <v/>
      </c>
      <c r="T373" s="7">
        <f>IF($V373="","",M373+P373+K373)</f>
        <v/>
      </c>
      <c r="U373" s="7">
        <f>IF($V373="","",T373-R373-J373)</f>
        <v/>
      </c>
      <c r="V373" s="13">
        <f>IF(ROWS($V$2:$V373)&lt;=MAX('Per Line'!$AL$2:$AL$1501),MATCH(ROWS($V$2:$V373),'Per Line'!$AL$2:$AL$1501,0),"")</f>
        <v/>
      </c>
    </row>
    <row r="374">
      <c r="A374" s="12" t="n"/>
      <c r="B374">
        <f>IF($V374="","",INDEX('Per Line'!$D$2:$D$1501,$V374)&amp;"")</f>
        <v/>
      </c>
      <c r="C374">
        <f>IF($V374="","",INDEX('Per Line'!$A$2:$A$1501,$V374))</f>
        <v/>
      </c>
      <c r="D374">
        <f>IF($V374="","",INDEX('Per Line'!$Z$2:$Z$1501,$V374)&amp;"")</f>
        <v/>
      </c>
      <c r="E374" s="11">
        <f>IF($V374="","",INDEX('Per Line'!$F$2:$F$1501,$V374))</f>
        <v/>
      </c>
      <c r="F374">
        <f>IF($V374="","",INDEX('Per Line'!$I$2:$I$1501,$V374)&amp;"")</f>
        <v/>
      </c>
      <c r="G374">
        <f>IF($V374="","",INDEX('Per Line'!$J$2:$J$1501,$V374)&amp;"")</f>
        <v/>
      </c>
      <c r="H374">
        <f>IF($V374="","",INDEX('Per Line'!$K$2:$K$1501,$V374)&amp;"")</f>
        <v/>
      </c>
      <c r="I374">
        <f>IF($V374="","",INDEX('Per Line'!$M$2:$M$1501,$V374))</f>
        <v/>
      </c>
      <c r="J374" s="7">
        <f>IF($V374="","",I374*T374/100)</f>
        <v/>
      </c>
      <c r="K374" s="7">
        <f>IF($V374="","",SUMIFS('Per Line'!$V$2:$V$1501,'Per Line'!$D$2:$D$1501,$B374,'Per Line'!$AN$2:$AN$1501,1))</f>
        <v/>
      </c>
      <c r="L374">
        <f>IF($V374="","",Settings!$C$7)</f>
        <v/>
      </c>
      <c r="M374" s="7">
        <f>IF($V374="","",SUMIFS('Per Line'!$V$2:$V$1501,'Per Line'!$D$2:$D$1501,$B374,'Per Line'!$AM$2:$AM$1501,0,'Per Line'!$AN$2:$AN$1501,0))</f>
        <v/>
      </c>
      <c r="N374" s="7">
        <f>IF($V374="","",M374*L374)</f>
        <v/>
      </c>
      <c r="O374">
        <f>IF($V374="","",Settings!$C$6)</f>
        <v/>
      </c>
      <c r="P374" s="7">
        <f>IF($V374="","",SUMIFS('Per Line'!$V$2:$V$1501,'Per Line'!$D$2:$D$1501,$B374,'Per Line'!$AM$2:$AM$1501,1,'Per Line'!$AN$2:$AN$1501,0))</f>
        <v/>
      </c>
      <c r="Q374" s="7">
        <f>IF($V374="","",P374*O374)</f>
        <v/>
      </c>
      <c r="R374" s="7">
        <f>IF($V374="","",Q374+N374)</f>
        <v/>
      </c>
      <c r="S374" s="7">
        <f>IF($V374="","",T374-R374)</f>
        <v/>
      </c>
      <c r="T374" s="7">
        <f>IF($V374="","",M374+P374+K374)</f>
        <v/>
      </c>
      <c r="U374" s="7">
        <f>IF($V374="","",T374-R374-J374)</f>
        <v/>
      </c>
      <c r="V374" s="13">
        <f>IF(ROWS($V$2:$V374)&lt;=MAX('Per Line'!$AL$2:$AL$1501),MATCH(ROWS($V$2:$V374),'Per Line'!$AL$2:$AL$1501,0),"")</f>
        <v/>
      </c>
    </row>
    <row r="375">
      <c r="A375" s="12" t="n"/>
      <c r="B375">
        <f>IF($V375="","",INDEX('Per Line'!$D$2:$D$1501,$V375)&amp;"")</f>
        <v/>
      </c>
      <c r="C375">
        <f>IF($V375="","",INDEX('Per Line'!$A$2:$A$1501,$V375))</f>
        <v/>
      </c>
      <c r="D375">
        <f>IF($V375="","",INDEX('Per Line'!$Z$2:$Z$1501,$V375)&amp;"")</f>
        <v/>
      </c>
      <c r="E375" s="11">
        <f>IF($V375="","",INDEX('Per Line'!$F$2:$F$1501,$V375))</f>
        <v/>
      </c>
      <c r="F375">
        <f>IF($V375="","",INDEX('Per Line'!$I$2:$I$1501,$V375)&amp;"")</f>
        <v/>
      </c>
      <c r="G375">
        <f>IF($V375="","",INDEX('Per Line'!$J$2:$J$1501,$V375)&amp;"")</f>
        <v/>
      </c>
      <c r="H375">
        <f>IF($V375="","",INDEX('Per Line'!$K$2:$K$1501,$V375)&amp;"")</f>
        <v/>
      </c>
      <c r="I375">
        <f>IF($V375="","",INDEX('Per Line'!$M$2:$M$1501,$V375))</f>
        <v/>
      </c>
      <c r="J375" s="7">
        <f>IF($V375="","",I375*T375/100)</f>
        <v/>
      </c>
      <c r="K375" s="7">
        <f>IF($V375="","",SUMIFS('Per Line'!$V$2:$V$1501,'Per Line'!$D$2:$D$1501,$B375,'Per Line'!$AN$2:$AN$1501,1))</f>
        <v/>
      </c>
      <c r="L375">
        <f>IF($V375="","",Settings!$C$7)</f>
        <v/>
      </c>
      <c r="M375" s="7">
        <f>IF($V375="","",SUMIFS('Per Line'!$V$2:$V$1501,'Per Line'!$D$2:$D$1501,$B375,'Per Line'!$AM$2:$AM$1501,0,'Per Line'!$AN$2:$AN$1501,0))</f>
        <v/>
      </c>
      <c r="N375" s="7">
        <f>IF($V375="","",M375*L375)</f>
        <v/>
      </c>
      <c r="O375">
        <f>IF($V375="","",Settings!$C$6)</f>
        <v/>
      </c>
      <c r="P375" s="7">
        <f>IF($V375="","",SUMIFS('Per Line'!$V$2:$V$1501,'Per Line'!$D$2:$D$1501,$B375,'Per Line'!$AM$2:$AM$1501,1,'Per Line'!$AN$2:$AN$1501,0))</f>
        <v/>
      </c>
      <c r="Q375" s="7">
        <f>IF($V375="","",P375*O375)</f>
        <v/>
      </c>
      <c r="R375" s="7">
        <f>IF($V375="","",Q375+N375)</f>
        <v/>
      </c>
      <c r="S375" s="7">
        <f>IF($V375="","",T375-R375)</f>
        <v/>
      </c>
      <c r="T375" s="7">
        <f>IF($V375="","",M375+P375+K375)</f>
        <v/>
      </c>
      <c r="U375" s="7">
        <f>IF($V375="","",T375-R375-J375)</f>
        <v/>
      </c>
      <c r="V375" s="13">
        <f>IF(ROWS($V$2:$V375)&lt;=MAX('Per Line'!$AL$2:$AL$1501),MATCH(ROWS($V$2:$V375),'Per Line'!$AL$2:$AL$1501,0),"")</f>
        <v/>
      </c>
    </row>
    <row r="376">
      <c r="A376" s="12" t="n"/>
      <c r="B376">
        <f>IF($V376="","",INDEX('Per Line'!$D$2:$D$1501,$V376)&amp;"")</f>
        <v/>
      </c>
      <c r="C376">
        <f>IF($V376="","",INDEX('Per Line'!$A$2:$A$1501,$V376))</f>
        <v/>
      </c>
      <c r="D376">
        <f>IF($V376="","",INDEX('Per Line'!$Z$2:$Z$1501,$V376)&amp;"")</f>
        <v/>
      </c>
      <c r="E376" s="11">
        <f>IF($V376="","",INDEX('Per Line'!$F$2:$F$1501,$V376))</f>
        <v/>
      </c>
      <c r="F376">
        <f>IF($V376="","",INDEX('Per Line'!$I$2:$I$1501,$V376)&amp;"")</f>
        <v/>
      </c>
      <c r="G376">
        <f>IF($V376="","",INDEX('Per Line'!$J$2:$J$1501,$V376)&amp;"")</f>
        <v/>
      </c>
      <c r="H376">
        <f>IF($V376="","",INDEX('Per Line'!$K$2:$K$1501,$V376)&amp;"")</f>
        <v/>
      </c>
      <c r="I376">
        <f>IF($V376="","",INDEX('Per Line'!$M$2:$M$1501,$V376))</f>
        <v/>
      </c>
      <c r="J376" s="7">
        <f>IF($V376="","",I376*T376/100)</f>
        <v/>
      </c>
      <c r="K376" s="7">
        <f>IF($V376="","",SUMIFS('Per Line'!$V$2:$V$1501,'Per Line'!$D$2:$D$1501,$B376,'Per Line'!$AN$2:$AN$1501,1))</f>
        <v/>
      </c>
      <c r="L376">
        <f>IF($V376="","",Settings!$C$7)</f>
        <v/>
      </c>
      <c r="M376" s="7">
        <f>IF($V376="","",SUMIFS('Per Line'!$V$2:$V$1501,'Per Line'!$D$2:$D$1501,$B376,'Per Line'!$AM$2:$AM$1501,0,'Per Line'!$AN$2:$AN$1501,0))</f>
        <v/>
      </c>
      <c r="N376" s="7">
        <f>IF($V376="","",M376*L376)</f>
        <v/>
      </c>
      <c r="O376">
        <f>IF($V376="","",Settings!$C$6)</f>
        <v/>
      </c>
      <c r="P376" s="7">
        <f>IF($V376="","",SUMIFS('Per Line'!$V$2:$V$1501,'Per Line'!$D$2:$D$1501,$B376,'Per Line'!$AM$2:$AM$1501,1,'Per Line'!$AN$2:$AN$1501,0))</f>
        <v/>
      </c>
      <c r="Q376" s="7">
        <f>IF($V376="","",P376*O376)</f>
        <v/>
      </c>
      <c r="R376" s="7">
        <f>IF($V376="","",Q376+N376)</f>
        <v/>
      </c>
      <c r="S376" s="7">
        <f>IF($V376="","",T376-R376)</f>
        <v/>
      </c>
      <c r="T376" s="7">
        <f>IF($V376="","",M376+P376+K376)</f>
        <v/>
      </c>
      <c r="U376" s="7">
        <f>IF($V376="","",T376-R376-J376)</f>
        <v/>
      </c>
      <c r="V376" s="13">
        <f>IF(ROWS($V$2:$V376)&lt;=MAX('Per Line'!$AL$2:$AL$1501),MATCH(ROWS($V$2:$V376),'Per Line'!$AL$2:$AL$1501,0),"")</f>
        <v/>
      </c>
    </row>
    <row r="377">
      <c r="A377" s="12" t="n"/>
      <c r="B377">
        <f>IF($V377="","",INDEX('Per Line'!$D$2:$D$1501,$V377)&amp;"")</f>
        <v/>
      </c>
      <c r="C377">
        <f>IF($V377="","",INDEX('Per Line'!$A$2:$A$1501,$V377))</f>
        <v/>
      </c>
      <c r="D377">
        <f>IF($V377="","",INDEX('Per Line'!$Z$2:$Z$1501,$V377)&amp;"")</f>
        <v/>
      </c>
      <c r="E377" s="11">
        <f>IF($V377="","",INDEX('Per Line'!$F$2:$F$1501,$V377))</f>
        <v/>
      </c>
      <c r="F377">
        <f>IF($V377="","",INDEX('Per Line'!$I$2:$I$1501,$V377)&amp;"")</f>
        <v/>
      </c>
      <c r="G377">
        <f>IF($V377="","",INDEX('Per Line'!$J$2:$J$1501,$V377)&amp;"")</f>
        <v/>
      </c>
      <c r="H377">
        <f>IF($V377="","",INDEX('Per Line'!$K$2:$K$1501,$V377)&amp;"")</f>
        <v/>
      </c>
      <c r="I377">
        <f>IF($V377="","",INDEX('Per Line'!$M$2:$M$1501,$V377))</f>
        <v/>
      </c>
      <c r="J377" s="7">
        <f>IF($V377="","",I377*T377/100)</f>
        <v/>
      </c>
      <c r="K377" s="7">
        <f>IF($V377="","",SUMIFS('Per Line'!$V$2:$V$1501,'Per Line'!$D$2:$D$1501,$B377,'Per Line'!$AN$2:$AN$1501,1))</f>
        <v/>
      </c>
      <c r="L377">
        <f>IF($V377="","",Settings!$C$7)</f>
        <v/>
      </c>
      <c r="M377" s="7">
        <f>IF($V377="","",SUMIFS('Per Line'!$V$2:$V$1501,'Per Line'!$D$2:$D$1501,$B377,'Per Line'!$AM$2:$AM$1501,0,'Per Line'!$AN$2:$AN$1501,0))</f>
        <v/>
      </c>
      <c r="N377" s="7">
        <f>IF($V377="","",M377*L377)</f>
        <v/>
      </c>
      <c r="O377">
        <f>IF($V377="","",Settings!$C$6)</f>
        <v/>
      </c>
      <c r="P377" s="7">
        <f>IF($V377="","",SUMIFS('Per Line'!$V$2:$V$1501,'Per Line'!$D$2:$D$1501,$B377,'Per Line'!$AM$2:$AM$1501,1,'Per Line'!$AN$2:$AN$1501,0))</f>
        <v/>
      </c>
      <c r="Q377" s="7">
        <f>IF($V377="","",P377*O377)</f>
        <v/>
      </c>
      <c r="R377" s="7">
        <f>IF($V377="","",Q377+N377)</f>
        <v/>
      </c>
      <c r="S377" s="7">
        <f>IF($V377="","",T377-R377)</f>
        <v/>
      </c>
      <c r="T377" s="7">
        <f>IF($V377="","",M377+P377+K377)</f>
        <v/>
      </c>
      <c r="U377" s="7">
        <f>IF($V377="","",T377-R377-J377)</f>
        <v/>
      </c>
      <c r="V377" s="13">
        <f>IF(ROWS($V$2:$V377)&lt;=MAX('Per Line'!$AL$2:$AL$1501),MATCH(ROWS($V$2:$V377),'Per Line'!$AL$2:$AL$1501,0),"")</f>
        <v/>
      </c>
    </row>
    <row r="378">
      <c r="A378" s="12" t="n"/>
      <c r="B378">
        <f>IF($V378="","",INDEX('Per Line'!$D$2:$D$1501,$V378)&amp;"")</f>
        <v/>
      </c>
      <c r="C378">
        <f>IF($V378="","",INDEX('Per Line'!$A$2:$A$1501,$V378))</f>
        <v/>
      </c>
      <c r="D378">
        <f>IF($V378="","",INDEX('Per Line'!$Z$2:$Z$1501,$V378)&amp;"")</f>
        <v/>
      </c>
      <c r="E378" s="11">
        <f>IF($V378="","",INDEX('Per Line'!$F$2:$F$1501,$V378))</f>
        <v/>
      </c>
      <c r="F378">
        <f>IF($V378="","",INDEX('Per Line'!$I$2:$I$1501,$V378)&amp;"")</f>
        <v/>
      </c>
      <c r="G378">
        <f>IF($V378="","",INDEX('Per Line'!$J$2:$J$1501,$V378)&amp;"")</f>
        <v/>
      </c>
      <c r="H378">
        <f>IF($V378="","",INDEX('Per Line'!$K$2:$K$1501,$V378)&amp;"")</f>
        <v/>
      </c>
      <c r="I378">
        <f>IF($V378="","",INDEX('Per Line'!$M$2:$M$1501,$V378))</f>
        <v/>
      </c>
      <c r="J378" s="7">
        <f>IF($V378="","",I378*T378/100)</f>
        <v/>
      </c>
      <c r="K378" s="7">
        <f>IF($V378="","",SUMIFS('Per Line'!$V$2:$V$1501,'Per Line'!$D$2:$D$1501,$B378,'Per Line'!$AN$2:$AN$1501,1))</f>
        <v/>
      </c>
      <c r="L378">
        <f>IF($V378="","",Settings!$C$7)</f>
        <v/>
      </c>
      <c r="M378" s="7">
        <f>IF($V378="","",SUMIFS('Per Line'!$V$2:$V$1501,'Per Line'!$D$2:$D$1501,$B378,'Per Line'!$AM$2:$AM$1501,0,'Per Line'!$AN$2:$AN$1501,0))</f>
        <v/>
      </c>
      <c r="N378" s="7">
        <f>IF($V378="","",M378*L378)</f>
        <v/>
      </c>
      <c r="O378">
        <f>IF($V378="","",Settings!$C$6)</f>
        <v/>
      </c>
      <c r="P378" s="7">
        <f>IF($V378="","",SUMIFS('Per Line'!$V$2:$V$1501,'Per Line'!$D$2:$D$1501,$B378,'Per Line'!$AM$2:$AM$1501,1,'Per Line'!$AN$2:$AN$1501,0))</f>
        <v/>
      </c>
      <c r="Q378" s="7">
        <f>IF($V378="","",P378*O378)</f>
        <v/>
      </c>
      <c r="R378" s="7">
        <f>IF($V378="","",Q378+N378)</f>
        <v/>
      </c>
      <c r="S378" s="7">
        <f>IF($V378="","",T378-R378)</f>
        <v/>
      </c>
      <c r="T378" s="7">
        <f>IF($V378="","",M378+P378+K378)</f>
        <v/>
      </c>
      <c r="U378" s="7">
        <f>IF($V378="","",T378-R378-J378)</f>
        <v/>
      </c>
      <c r="V378" s="13">
        <f>IF(ROWS($V$2:$V378)&lt;=MAX('Per Line'!$AL$2:$AL$1501),MATCH(ROWS($V$2:$V378),'Per Line'!$AL$2:$AL$1501,0),"")</f>
        <v/>
      </c>
    </row>
    <row r="379">
      <c r="A379" s="12" t="n"/>
      <c r="B379">
        <f>IF($V379="","",INDEX('Per Line'!$D$2:$D$1501,$V379)&amp;"")</f>
        <v/>
      </c>
      <c r="C379">
        <f>IF($V379="","",INDEX('Per Line'!$A$2:$A$1501,$V379))</f>
        <v/>
      </c>
      <c r="D379">
        <f>IF($V379="","",INDEX('Per Line'!$Z$2:$Z$1501,$V379)&amp;"")</f>
        <v/>
      </c>
      <c r="E379" s="11">
        <f>IF($V379="","",INDEX('Per Line'!$F$2:$F$1501,$V379))</f>
        <v/>
      </c>
      <c r="F379">
        <f>IF($V379="","",INDEX('Per Line'!$I$2:$I$1501,$V379)&amp;"")</f>
        <v/>
      </c>
      <c r="G379">
        <f>IF($V379="","",INDEX('Per Line'!$J$2:$J$1501,$V379)&amp;"")</f>
        <v/>
      </c>
      <c r="H379">
        <f>IF($V379="","",INDEX('Per Line'!$K$2:$K$1501,$V379)&amp;"")</f>
        <v/>
      </c>
      <c r="I379">
        <f>IF($V379="","",INDEX('Per Line'!$M$2:$M$1501,$V379))</f>
        <v/>
      </c>
      <c r="J379" s="7">
        <f>IF($V379="","",I379*T379/100)</f>
        <v/>
      </c>
      <c r="K379" s="7">
        <f>IF($V379="","",SUMIFS('Per Line'!$V$2:$V$1501,'Per Line'!$D$2:$D$1501,$B379,'Per Line'!$AN$2:$AN$1501,1))</f>
        <v/>
      </c>
      <c r="L379">
        <f>IF($V379="","",Settings!$C$7)</f>
        <v/>
      </c>
      <c r="M379" s="7">
        <f>IF($V379="","",SUMIFS('Per Line'!$V$2:$V$1501,'Per Line'!$D$2:$D$1501,$B379,'Per Line'!$AM$2:$AM$1501,0,'Per Line'!$AN$2:$AN$1501,0))</f>
        <v/>
      </c>
      <c r="N379" s="7">
        <f>IF($V379="","",M379*L379)</f>
        <v/>
      </c>
      <c r="O379">
        <f>IF($V379="","",Settings!$C$6)</f>
        <v/>
      </c>
      <c r="P379" s="7">
        <f>IF($V379="","",SUMIFS('Per Line'!$V$2:$V$1501,'Per Line'!$D$2:$D$1501,$B379,'Per Line'!$AM$2:$AM$1501,1,'Per Line'!$AN$2:$AN$1501,0))</f>
        <v/>
      </c>
      <c r="Q379" s="7">
        <f>IF($V379="","",P379*O379)</f>
        <v/>
      </c>
      <c r="R379" s="7">
        <f>IF($V379="","",Q379+N379)</f>
        <v/>
      </c>
      <c r="S379" s="7">
        <f>IF($V379="","",T379-R379)</f>
        <v/>
      </c>
      <c r="T379" s="7">
        <f>IF($V379="","",M379+P379+K379)</f>
        <v/>
      </c>
      <c r="U379" s="7">
        <f>IF($V379="","",T379-R379-J379)</f>
        <v/>
      </c>
      <c r="V379" s="13">
        <f>IF(ROWS($V$2:$V379)&lt;=MAX('Per Line'!$AL$2:$AL$1501),MATCH(ROWS($V$2:$V379),'Per Line'!$AL$2:$AL$1501,0),"")</f>
        <v/>
      </c>
    </row>
    <row r="380">
      <c r="A380" s="12" t="n"/>
      <c r="B380">
        <f>IF($V380="","",INDEX('Per Line'!$D$2:$D$1501,$V380)&amp;"")</f>
        <v/>
      </c>
      <c r="C380">
        <f>IF($V380="","",INDEX('Per Line'!$A$2:$A$1501,$V380))</f>
        <v/>
      </c>
      <c r="D380">
        <f>IF($V380="","",INDEX('Per Line'!$Z$2:$Z$1501,$V380)&amp;"")</f>
        <v/>
      </c>
      <c r="E380" s="11">
        <f>IF($V380="","",INDEX('Per Line'!$F$2:$F$1501,$V380))</f>
        <v/>
      </c>
      <c r="F380">
        <f>IF($V380="","",INDEX('Per Line'!$I$2:$I$1501,$V380)&amp;"")</f>
        <v/>
      </c>
      <c r="G380">
        <f>IF($V380="","",INDEX('Per Line'!$J$2:$J$1501,$V380)&amp;"")</f>
        <v/>
      </c>
      <c r="H380">
        <f>IF($V380="","",INDEX('Per Line'!$K$2:$K$1501,$V380)&amp;"")</f>
        <v/>
      </c>
      <c r="I380">
        <f>IF($V380="","",INDEX('Per Line'!$M$2:$M$1501,$V380))</f>
        <v/>
      </c>
      <c r="J380" s="7">
        <f>IF($V380="","",I380*T380/100)</f>
        <v/>
      </c>
      <c r="K380" s="7">
        <f>IF($V380="","",SUMIFS('Per Line'!$V$2:$V$1501,'Per Line'!$D$2:$D$1501,$B380,'Per Line'!$AN$2:$AN$1501,1))</f>
        <v/>
      </c>
      <c r="L380">
        <f>IF($V380="","",Settings!$C$7)</f>
        <v/>
      </c>
      <c r="M380" s="7">
        <f>IF($V380="","",SUMIFS('Per Line'!$V$2:$V$1501,'Per Line'!$D$2:$D$1501,$B380,'Per Line'!$AM$2:$AM$1501,0,'Per Line'!$AN$2:$AN$1501,0))</f>
        <v/>
      </c>
      <c r="N380" s="7">
        <f>IF($V380="","",M380*L380)</f>
        <v/>
      </c>
      <c r="O380">
        <f>IF($V380="","",Settings!$C$6)</f>
        <v/>
      </c>
      <c r="P380" s="7">
        <f>IF($V380="","",SUMIFS('Per Line'!$V$2:$V$1501,'Per Line'!$D$2:$D$1501,$B380,'Per Line'!$AM$2:$AM$1501,1,'Per Line'!$AN$2:$AN$1501,0))</f>
        <v/>
      </c>
      <c r="Q380" s="7">
        <f>IF($V380="","",P380*O380)</f>
        <v/>
      </c>
      <c r="R380" s="7">
        <f>IF($V380="","",Q380+N380)</f>
        <v/>
      </c>
      <c r="S380" s="7">
        <f>IF($V380="","",T380-R380)</f>
        <v/>
      </c>
      <c r="T380" s="7">
        <f>IF($V380="","",M380+P380+K380)</f>
        <v/>
      </c>
      <c r="U380" s="7">
        <f>IF($V380="","",T380-R380-J380)</f>
        <v/>
      </c>
      <c r="V380" s="13">
        <f>IF(ROWS($V$2:$V380)&lt;=MAX('Per Line'!$AL$2:$AL$1501),MATCH(ROWS($V$2:$V380),'Per Line'!$AL$2:$AL$1501,0),"")</f>
        <v/>
      </c>
    </row>
    <row r="381">
      <c r="A381" s="12" t="n"/>
      <c r="B381">
        <f>IF($V381="","",INDEX('Per Line'!$D$2:$D$1501,$V381)&amp;"")</f>
        <v/>
      </c>
      <c r="C381">
        <f>IF($V381="","",INDEX('Per Line'!$A$2:$A$1501,$V381))</f>
        <v/>
      </c>
      <c r="D381">
        <f>IF($V381="","",INDEX('Per Line'!$Z$2:$Z$1501,$V381)&amp;"")</f>
        <v/>
      </c>
      <c r="E381" s="11">
        <f>IF($V381="","",INDEX('Per Line'!$F$2:$F$1501,$V381))</f>
        <v/>
      </c>
      <c r="F381">
        <f>IF($V381="","",INDEX('Per Line'!$I$2:$I$1501,$V381)&amp;"")</f>
        <v/>
      </c>
      <c r="G381">
        <f>IF($V381="","",INDEX('Per Line'!$J$2:$J$1501,$V381)&amp;"")</f>
        <v/>
      </c>
      <c r="H381">
        <f>IF($V381="","",INDEX('Per Line'!$K$2:$K$1501,$V381)&amp;"")</f>
        <v/>
      </c>
      <c r="I381">
        <f>IF($V381="","",INDEX('Per Line'!$M$2:$M$1501,$V381))</f>
        <v/>
      </c>
      <c r="J381" s="7">
        <f>IF($V381="","",I381*T381/100)</f>
        <v/>
      </c>
      <c r="K381" s="7">
        <f>IF($V381="","",SUMIFS('Per Line'!$V$2:$V$1501,'Per Line'!$D$2:$D$1501,$B381,'Per Line'!$AN$2:$AN$1501,1))</f>
        <v/>
      </c>
      <c r="L381">
        <f>IF($V381="","",Settings!$C$7)</f>
        <v/>
      </c>
      <c r="M381" s="7">
        <f>IF($V381="","",SUMIFS('Per Line'!$V$2:$V$1501,'Per Line'!$D$2:$D$1501,$B381,'Per Line'!$AM$2:$AM$1501,0,'Per Line'!$AN$2:$AN$1501,0))</f>
        <v/>
      </c>
      <c r="N381" s="7">
        <f>IF($V381="","",M381*L381)</f>
        <v/>
      </c>
      <c r="O381">
        <f>IF($V381="","",Settings!$C$6)</f>
        <v/>
      </c>
      <c r="P381" s="7">
        <f>IF($V381="","",SUMIFS('Per Line'!$V$2:$V$1501,'Per Line'!$D$2:$D$1501,$B381,'Per Line'!$AM$2:$AM$1501,1,'Per Line'!$AN$2:$AN$1501,0))</f>
        <v/>
      </c>
      <c r="Q381" s="7">
        <f>IF($V381="","",P381*O381)</f>
        <v/>
      </c>
      <c r="R381" s="7">
        <f>IF($V381="","",Q381+N381)</f>
        <v/>
      </c>
      <c r="S381" s="7">
        <f>IF($V381="","",T381-R381)</f>
        <v/>
      </c>
      <c r="T381" s="7">
        <f>IF($V381="","",M381+P381+K381)</f>
        <v/>
      </c>
      <c r="U381" s="7">
        <f>IF($V381="","",T381-R381-J381)</f>
        <v/>
      </c>
      <c r="V381" s="13">
        <f>IF(ROWS($V$2:$V381)&lt;=MAX('Per Line'!$AL$2:$AL$1501),MATCH(ROWS($V$2:$V381),'Per Line'!$AL$2:$AL$1501,0),"")</f>
        <v/>
      </c>
    </row>
    <row r="382">
      <c r="A382" s="12" t="n"/>
      <c r="B382">
        <f>IF($V382="","",INDEX('Per Line'!$D$2:$D$1501,$V382)&amp;"")</f>
        <v/>
      </c>
      <c r="C382">
        <f>IF($V382="","",INDEX('Per Line'!$A$2:$A$1501,$V382))</f>
        <v/>
      </c>
      <c r="D382">
        <f>IF($V382="","",INDEX('Per Line'!$Z$2:$Z$1501,$V382)&amp;"")</f>
        <v/>
      </c>
      <c r="E382" s="11">
        <f>IF($V382="","",INDEX('Per Line'!$F$2:$F$1501,$V382))</f>
        <v/>
      </c>
      <c r="F382">
        <f>IF($V382="","",INDEX('Per Line'!$I$2:$I$1501,$V382)&amp;"")</f>
        <v/>
      </c>
      <c r="G382">
        <f>IF($V382="","",INDEX('Per Line'!$J$2:$J$1501,$V382)&amp;"")</f>
        <v/>
      </c>
      <c r="H382">
        <f>IF($V382="","",INDEX('Per Line'!$K$2:$K$1501,$V382)&amp;"")</f>
        <v/>
      </c>
      <c r="I382">
        <f>IF($V382="","",INDEX('Per Line'!$M$2:$M$1501,$V382))</f>
        <v/>
      </c>
      <c r="J382" s="7">
        <f>IF($V382="","",I382*T382/100)</f>
        <v/>
      </c>
      <c r="K382" s="7">
        <f>IF($V382="","",SUMIFS('Per Line'!$V$2:$V$1501,'Per Line'!$D$2:$D$1501,$B382,'Per Line'!$AN$2:$AN$1501,1))</f>
        <v/>
      </c>
      <c r="L382">
        <f>IF($V382="","",Settings!$C$7)</f>
        <v/>
      </c>
      <c r="M382" s="7">
        <f>IF($V382="","",SUMIFS('Per Line'!$V$2:$V$1501,'Per Line'!$D$2:$D$1501,$B382,'Per Line'!$AM$2:$AM$1501,0,'Per Line'!$AN$2:$AN$1501,0))</f>
        <v/>
      </c>
      <c r="N382" s="7">
        <f>IF($V382="","",M382*L382)</f>
        <v/>
      </c>
      <c r="O382">
        <f>IF($V382="","",Settings!$C$6)</f>
        <v/>
      </c>
      <c r="P382" s="7">
        <f>IF($V382="","",SUMIFS('Per Line'!$V$2:$V$1501,'Per Line'!$D$2:$D$1501,$B382,'Per Line'!$AM$2:$AM$1501,1,'Per Line'!$AN$2:$AN$1501,0))</f>
        <v/>
      </c>
      <c r="Q382" s="7">
        <f>IF($V382="","",P382*O382)</f>
        <v/>
      </c>
      <c r="R382" s="7">
        <f>IF($V382="","",Q382+N382)</f>
        <v/>
      </c>
      <c r="S382" s="7">
        <f>IF($V382="","",T382-R382)</f>
        <v/>
      </c>
      <c r="T382" s="7">
        <f>IF($V382="","",M382+P382+K382)</f>
        <v/>
      </c>
      <c r="U382" s="7">
        <f>IF($V382="","",T382-R382-J382)</f>
        <v/>
      </c>
      <c r="V382" s="13">
        <f>IF(ROWS($V$2:$V382)&lt;=MAX('Per Line'!$AL$2:$AL$1501),MATCH(ROWS($V$2:$V382),'Per Line'!$AL$2:$AL$1501,0),"")</f>
        <v/>
      </c>
    </row>
    <row r="383">
      <c r="A383" s="12" t="n"/>
      <c r="B383">
        <f>IF($V383="","",INDEX('Per Line'!$D$2:$D$1501,$V383)&amp;"")</f>
        <v/>
      </c>
      <c r="C383">
        <f>IF($V383="","",INDEX('Per Line'!$A$2:$A$1501,$V383))</f>
        <v/>
      </c>
      <c r="D383">
        <f>IF($V383="","",INDEX('Per Line'!$Z$2:$Z$1501,$V383)&amp;"")</f>
        <v/>
      </c>
      <c r="E383" s="11">
        <f>IF($V383="","",INDEX('Per Line'!$F$2:$F$1501,$V383))</f>
        <v/>
      </c>
      <c r="F383">
        <f>IF($V383="","",INDEX('Per Line'!$I$2:$I$1501,$V383)&amp;"")</f>
        <v/>
      </c>
      <c r="G383">
        <f>IF($V383="","",INDEX('Per Line'!$J$2:$J$1501,$V383)&amp;"")</f>
        <v/>
      </c>
      <c r="H383">
        <f>IF($V383="","",INDEX('Per Line'!$K$2:$K$1501,$V383)&amp;"")</f>
        <v/>
      </c>
      <c r="I383">
        <f>IF($V383="","",INDEX('Per Line'!$M$2:$M$1501,$V383))</f>
        <v/>
      </c>
      <c r="J383" s="7">
        <f>IF($V383="","",I383*T383/100)</f>
        <v/>
      </c>
      <c r="K383" s="7">
        <f>IF($V383="","",SUMIFS('Per Line'!$V$2:$V$1501,'Per Line'!$D$2:$D$1501,$B383,'Per Line'!$AN$2:$AN$1501,1))</f>
        <v/>
      </c>
      <c r="L383">
        <f>IF($V383="","",Settings!$C$7)</f>
        <v/>
      </c>
      <c r="M383" s="7">
        <f>IF($V383="","",SUMIFS('Per Line'!$V$2:$V$1501,'Per Line'!$D$2:$D$1501,$B383,'Per Line'!$AM$2:$AM$1501,0,'Per Line'!$AN$2:$AN$1501,0))</f>
        <v/>
      </c>
      <c r="N383" s="7">
        <f>IF($V383="","",M383*L383)</f>
        <v/>
      </c>
      <c r="O383">
        <f>IF($V383="","",Settings!$C$6)</f>
        <v/>
      </c>
      <c r="P383" s="7">
        <f>IF($V383="","",SUMIFS('Per Line'!$V$2:$V$1501,'Per Line'!$D$2:$D$1501,$B383,'Per Line'!$AM$2:$AM$1501,1,'Per Line'!$AN$2:$AN$1501,0))</f>
        <v/>
      </c>
      <c r="Q383" s="7">
        <f>IF($V383="","",P383*O383)</f>
        <v/>
      </c>
      <c r="R383" s="7">
        <f>IF($V383="","",Q383+N383)</f>
        <v/>
      </c>
      <c r="S383" s="7">
        <f>IF($V383="","",T383-R383)</f>
        <v/>
      </c>
      <c r="T383" s="7">
        <f>IF($V383="","",M383+P383+K383)</f>
        <v/>
      </c>
      <c r="U383" s="7">
        <f>IF($V383="","",T383-R383-J383)</f>
        <v/>
      </c>
      <c r="V383" s="13">
        <f>IF(ROWS($V$2:$V383)&lt;=MAX('Per Line'!$AL$2:$AL$1501),MATCH(ROWS($V$2:$V383),'Per Line'!$AL$2:$AL$1501,0),"")</f>
        <v/>
      </c>
    </row>
    <row r="384">
      <c r="A384" s="12" t="n"/>
      <c r="B384">
        <f>IF($V384="","",INDEX('Per Line'!$D$2:$D$1501,$V384)&amp;"")</f>
        <v/>
      </c>
      <c r="C384">
        <f>IF($V384="","",INDEX('Per Line'!$A$2:$A$1501,$V384))</f>
        <v/>
      </c>
      <c r="D384">
        <f>IF($V384="","",INDEX('Per Line'!$Z$2:$Z$1501,$V384)&amp;"")</f>
        <v/>
      </c>
      <c r="E384" s="11">
        <f>IF($V384="","",INDEX('Per Line'!$F$2:$F$1501,$V384))</f>
        <v/>
      </c>
      <c r="F384">
        <f>IF($V384="","",INDEX('Per Line'!$I$2:$I$1501,$V384)&amp;"")</f>
        <v/>
      </c>
      <c r="G384">
        <f>IF($V384="","",INDEX('Per Line'!$J$2:$J$1501,$V384)&amp;"")</f>
        <v/>
      </c>
      <c r="H384">
        <f>IF($V384="","",INDEX('Per Line'!$K$2:$K$1501,$V384)&amp;"")</f>
        <v/>
      </c>
      <c r="I384">
        <f>IF($V384="","",INDEX('Per Line'!$M$2:$M$1501,$V384))</f>
        <v/>
      </c>
      <c r="J384" s="7">
        <f>IF($V384="","",I384*T384/100)</f>
        <v/>
      </c>
      <c r="K384" s="7">
        <f>IF($V384="","",SUMIFS('Per Line'!$V$2:$V$1501,'Per Line'!$D$2:$D$1501,$B384,'Per Line'!$AN$2:$AN$1501,1))</f>
        <v/>
      </c>
      <c r="L384">
        <f>IF($V384="","",Settings!$C$7)</f>
        <v/>
      </c>
      <c r="M384" s="7">
        <f>IF($V384="","",SUMIFS('Per Line'!$V$2:$V$1501,'Per Line'!$D$2:$D$1501,$B384,'Per Line'!$AM$2:$AM$1501,0,'Per Line'!$AN$2:$AN$1501,0))</f>
        <v/>
      </c>
      <c r="N384" s="7">
        <f>IF($V384="","",M384*L384)</f>
        <v/>
      </c>
      <c r="O384">
        <f>IF($V384="","",Settings!$C$6)</f>
        <v/>
      </c>
      <c r="P384" s="7">
        <f>IF($V384="","",SUMIFS('Per Line'!$V$2:$V$1501,'Per Line'!$D$2:$D$1501,$B384,'Per Line'!$AM$2:$AM$1501,1,'Per Line'!$AN$2:$AN$1501,0))</f>
        <v/>
      </c>
      <c r="Q384" s="7">
        <f>IF($V384="","",P384*O384)</f>
        <v/>
      </c>
      <c r="R384" s="7">
        <f>IF($V384="","",Q384+N384)</f>
        <v/>
      </c>
      <c r="S384" s="7">
        <f>IF($V384="","",T384-R384)</f>
        <v/>
      </c>
      <c r="T384" s="7">
        <f>IF($V384="","",M384+P384+K384)</f>
        <v/>
      </c>
      <c r="U384" s="7">
        <f>IF($V384="","",T384-R384-J384)</f>
        <v/>
      </c>
      <c r="V384" s="13">
        <f>IF(ROWS($V$2:$V384)&lt;=MAX('Per Line'!$AL$2:$AL$1501),MATCH(ROWS($V$2:$V384),'Per Line'!$AL$2:$AL$1501,0),"")</f>
        <v/>
      </c>
    </row>
    <row r="385">
      <c r="A385" s="12" t="n"/>
      <c r="B385">
        <f>IF($V385="","",INDEX('Per Line'!$D$2:$D$1501,$V385)&amp;"")</f>
        <v/>
      </c>
      <c r="C385">
        <f>IF($V385="","",INDEX('Per Line'!$A$2:$A$1501,$V385))</f>
        <v/>
      </c>
      <c r="D385">
        <f>IF($V385="","",INDEX('Per Line'!$Z$2:$Z$1501,$V385)&amp;"")</f>
        <v/>
      </c>
      <c r="E385" s="11">
        <f>IF($V385="","",INDEX('Per Line'!$F$2:$F$1501,$V385))</f>
        <v/>
      </c>
      <c r="F385">
        <f>IF($V385="","",INDEX('Per Line'!$I$2:$I$1501,$V385)&amp;"")</f>
        <v/>
      </c>
      <c r="G385">
        <f>IF($V385="","",INDEX('Per Line'!$J$2:$J$1501,$V385)&amp;"")</f>
        <v/>
      </c>
      <c r="H385">
        <f>IF($V385="","",INDEX('Per Line'!$K$2:$K$1501,$V385)&amp;"")</f>
        <v/>
      </c>
      <c r="I385">
        <f>IF($V385="","",INDEX('Per Line'!$M$2:$M$1501,$V385))</f>
        <v/>
      </c>
      <c r="J385" s="7">
        <f>IF($V385="","",I385*T385/100)</f>
        <v/>
      </c>
      <c r="K385" s="7">
        <f>IF($V385="","",SUMIFS('Per Line'!$V$2:$V$1501,'Per Line'!$D$2:$D$1501,$B385,'Per Line'!$AN$2:$AN$1501,1))</f>
        <v/>
      </c>
      <c r="L385">
        <f>IF($V385="","",Settings!$C$7)</f>
        <v/>
      </c>
      <c r="M385" s="7">
        <f>IF($V385="","",SUMIFS('Per Line'!$V$2:$V$1501,'Per Line'!$D$2:$D$1501,$B385,'Per Line'!$AM$2:$AM$1501,0,'Per Line'!$AN$2:$AN$1501,0))</f>
        <v/>
      </c>
      <c r="N385" s="7">
        <f>IF($V385="","",M385*L385)</f>
        <v/>
      </c>
      <c r="O385">
        <f>IF($V385="","",Settings!$C$6)</f>
        <v/>
      </c>
      <c r="P385" s="7">
        <f>IF($V385="","",SUMIFS('Per Line'!$V$2:$V$1501,'Per Line'!$D$2:$D$1501,$B385,'Per Line'!$AM$2:$AM$1501,1,'Per Line'!$AN$2:$AN$1501,0))</f>
        <v/>
      </c>
      <c r="Q385" s="7">
        <f>IF($V385="","",P385*O385)</f>
        <v/>
      </c>
      <c r="R385" s="7">
        <f>IF($V385="","",Q385+N385)</f>
        <v/>
      </c>
      <c r="S385" s="7">
        <f>IF($V385="","",T385-R385)</f>
        <v/>
      </c>
      <c r="T385" s="7">
        <f>IF($V385="","",M385+P385+K385)</f>
        <v/>
      </c>
      <c r="U385" s="7">
        <f>IF($V385="","",T385-R385-J385)</f>
        <v/>
      </c>
      <c r="V385" s="13">
        <f>IF(ROWS($V$2:$V385)&lt;=MAX('Per Line'!$AL$2:$AL$1501),MATCH(ROWS($V$2:$V385),'Per Line'!$AL$2:$AL$1501,0),"")</f>
        <v/>
      </c>
    </row>
    <row r="386">
      <c r="A386" s="12" t="n"/>
      <c r="B386">
        <f>IF($V386="","",INDEX('Per Line'!$D$2:$D$1501,$V386)&amp;"")</f>
        <v/>
      </c>
      <c r="C386">
        <f>IF($V386="","",INDEX('Per Line'!$A$2:$A$1501,$V386))</f>
        <v/>
      </c>
      <c r="D386">
        <f>IF($V386="","",INDEX('Per Line'!$Z$2:$Z$1501,$V386)&amp;"")</f>
        <v/>
      </c>
      <c r="E386" s="11">
        <f>IF($V386="","",INDEX('Per Line'!$F$2:$F$1501,$V386))</f>
        <v/>
      </c>
      <c r="F386">
        <f>IF($V386="","",INDEX('Per Line'!$I$2:$I$1501,$V386)&amp;"")</f>
        <v/>
      </c>
      <c r="G386">
        <f>IF($V386="","",INDEX('Per Line'!$J$2:$J$1501,$V386)&amp;"")</f>
        <v/>
      </c>
      <c r="H386">
        <f>IF($V386="","",INDEX('Per Line'!$K$2:$K$1501,$V386)&amp;"")</f>
        <v/>
      </c>
      <c r="I386">
        <f>IF($V386="","",INDEX('Per Line'!$M$2:$M$1501,$V386))</f>
        <v/>
      </c>
      <c r="J386" s="7">
        <f>IF($V386="","",I386*T386/100)</f>
        <v/>
      </c>
      <c r="K386" s="7">
        <f>IF($V386="","",SUMIFS('Per Line'!$V$2:$V$1501,'Per Line'!$D$2:$D$1501,$B386,'Per Line'!$AN$2:$AN$1501,1))</f>
        <v/>
      </c>
      <c r="L386">
        <f>IF($V386="","",Settings!$C$7)</f>
        <v/>
      </c>
      <c r="M386" s="7">
        <f>IF($V386="","",SUMIFS('Per Line'!$V$2:$V$1501,'Per Line'!$D$2:$D$1501,$B386,'Per Line'!$AM$2:$AM$1501,0,'Per Line'!$AN$2:$AN$1501,0))</f>
        <v/>
      </c>
      <c r="N386" s="7">
        <f>IF($V386="","",M386*L386)</f>
        <v/>
      </c>
      <c r="O386">
        <f>IF($V386="","",Settings!$C$6)</f>
        <v/>
      </c>
      <c r="P386" s="7">
        <f>IF($V386="","",SUMIFS('Per Line'!$V$2:$V$1501,'Per Line'!$D$2:$D$1501,$B386,'Per Line'!$AM$2:$AM$1501,1,'Per Line'!$AN$2:$AN$1501,0))</f>
        <v/>
      </c>
      <c r="Q386" s="7">
        <f>IF($V386="","",P386*O386)</f>
        <v/>
      </c>
      <c r="R386" s="7">
        <f>IF($V386="","",Q386+N386)</f>
        <v/>
      </c>
      <c r="S386" s="7">
        <f>IF($V386="","",T386-R386)</f>
        <v/>
      </c>
      <c r="T386" s="7">
        <f>IF($V386="","",M386+P386+K386)</f>
        <v/>
      </c>
      <c r="U386" s="7">
        <f>IF($V386="","",T386-R386-J386)</f>
        <v/>
      </c>
      <c r="V386" s="13">
        <f>IF(ROWS($V$2:$V386)&lt;=MAX('Per Line'!$AL$2:$AL$1501),MATCH(ROWS($V$2:$V386),'Per Line'!$AL$2:$AL$1501,0),"")</f>
        <v/>
      </c>
    </row>
    <row r="387">
      <c r="A387" s="12" t="n"/>
      <c r="B387">
        <f>IF($V387="","",INDEX('Per Line'!$D$2:$D$1501,$V387)&amp;"")</f>
        <v/>
      </c>
      <c r="C387">
        <f>IF($V387="","",INDEX('Per Line'!$A$2:$A$1501,$V387))</f>
        <v/>
      </c>
      <c r="D387">
        <f>IF($V387="","",INDEX('Per Line'!$Z$2:$Z$1501,$V387)&amp;"")</f>
        <v/>
      </c>
      <c r="E387" s="11">
        <f>IF($V387="","",INDEX('Per Line'!$F$2:$F$1501,$V387))</f>
        <v/>
      </c>
      <c r="F387">
        <f>IF($V387="","",INDEX('Per Line'!$I$2:$I$1501,$V387)&amp;"")</f>
        <v/>
      </c>
      <c r="G387">
        <f>IF($V387="","",INDEX('Per Line'!$J$2:$J$1501,$V387)&amp;"")</f>
        <v/>
      </c>
      <c r="H387">
        <f>IF($V387="","",INDEX('Per Line'!$K$2:$K$1501,$V387)&amp;"")</f>
        <v/>
      </c>
      <c r="I387">
        <f>IF($V387="","",INDEX('Per Line'!$M$2:$M$1501,$V387))</f>
        <v/>
      </c>
      <c r="J387" s="7">
        <f>IF($V387="","",I387*T387/100)</f>
        <v/>
      </c>
      <c r="K387" s="7">
        <f>IF($V387="","",SUMIFS('Per Line'!$V$2:$V$1501,'Per Line'!$D$2:$D$1501,$B387,'Per Line'!$AN$2:$AN$1501,1))</f>
        <v/>
      </c>
      <c r="L387">
        <f>IF($V387="","",Settings!$C$7)</f>
        <v/>
      </c>
      <c r="M387" s="7">
        <f>IF($V387="","",SUMIFS('Per Line'!$V$2:$V$1501,'Per Line'!$D$2:$D$1501,$B387,'Per Line'!$AM$2:$AM$1501,0,'Per Line'!$AN$2:$AN$1501,0))</f>
        <v/>
      </c>
      <c r="N387" s="7">
        <f>IF($V387="","",M387*L387)</f>
        <v/>
      </c>
      <c r="O387">
        <f>IF($V387="","",Settings!$C$6)</f>
        <v/>
      </c>
      <c r="P387" s="7">
        <f>IF($V387="","",SUMIFS('Per Line'!$V$2:$V$1501,'Per Line'!$D$2:$D$1501,$B387,'Per Line'!$AM$2:$AM$1501,1,'Per Line'!$AN$2:$AN$1501,0))</f>
        <v/>
      </c>
      <c r="Q387" s="7">
        <f>IF($V387="","",P387*O387)</f>
        <v/>
      </c>
      <c r="R387" s="7">
        <f>IF($V387="","",Q387+N387)</f>
        <v/>
      </c>
      <c r="S387" s="7">
        <f>IF($V387="","",T387-R387)</f>
        <v/>
      </c>
      <c r="T387" s="7">
        <f>IF($V387="","",M387+P387+K387)</f>
        <v/>
      </c>
      <c r="U387" s="7">
        <f>IF($V387="","",T387-R387-J387)</f>
        <v/>
      </c>
      <c r="V387" s="13">
        <f>IF(ROWS($V$2:$V387)&lt;=MAX('Per Line'!$AL$2:$AL$1501),MATCH(ROWS($V$2:$V387),'Per Line'!$AL$2:$AL$1501,0),"")</f>
        <v/>
      </c>
    </row>
    <row r="388">
      <c r="A388" s="12" t="n"/>
      <c r="B388">
        <f>IF($V388="","",INDEX('Per Line'!$D$2:$D$1501,$V388)&amp;"")</f>
        <v/>
      </c>
      <c r="C388">
        <f>IF($V388="","",INDEX('Per Line'!$A$2:$A$1501,$V388))</f>
        <v/>
      </c>
      <c r="D388">
        <f>IF($V388="","",INDEX('Per Line'!$Z$2:$Z$1501,$V388)&amp;"")</f>
        <v/>
      </c>
      <c r="E388" s="11">
        <f>IF($V388="","",INDEX('Per Line'!$F$2:$F$1501,$V388))</f>
        <v/>
      </c>
      <c r="F388">
        <f>IF($V388="","",INDEX('Per Line'!$I$2:$I$1501,$V388)&amp;"")</f>
        <v/>
      </c>
      <c r="G388">
        <f>IF($V388="","",INDEX('Per Line'!$J$2:$J$1501,$V388)&amp;"")</f>
        <v/>
      </c>
      <c r="H388">
        <f>IF($V388="","",INDEX('Per Line'!$K$2:$K$1501,$V388)&amp;"")</f>
        <v/>
      </c>
      <c r="I388">
        <f>IF($V388="","",INDEX('Per Line'!$M$2:$M$1501,$V388))</f>
        <v/>
      </c>
      <c r="J388" s="7">
        <f>IF($V388="","",I388*T388/100)</f>
        <v/>
      </c>
      <c r="K388" s="7">
        <f>IF($V388="","",SUMIFS('Per Line'!$V$2:$V$1501,'Per Line'!$D$2:$D$1501,$B388,'Per Line'!$AN$2:$AN$1501,1))</f>
        <v/>
      </c>
      <c r="L388">
        <f>IF($V388="","",Settings!$C$7)</f>
        <v/>
      </c>
      <c r="M388" s="7">
        <f>IF($V388="","",SUMIFS('Per Line'!$V$2:$V$1501,'Per Line'!$D$2:$D$1501,$B388,'Per Line'!$AM$2:$AM$1501,0,'Per Line'!$AN$2:$AN$1501,0))</f>
        <v/>
      </c>
      <c r="N388" s="7">
        <f>IF($V388="","",M388*L388)</f>
        <v/>
      </c>
      <c r="O388">
        <f>IF($V388="","",Settings!$C$6)</f>
        <v/>
      </c>
      <c r="P388" s="7">
        <f>IF($V388="","",SUMIFS('Per Line'!$V$2:$V$1501,'Per Line'!$D$2:$D$1501,$B388,'Per Line'!$AM$2:$AM$1501,1,'Per Line'!$AN$2:$AN$1501,0))</f>
        <v/>
      </c>
      <c r="Q388" s="7">
        <f>IF($V388="","",P388*O388)</f>
        <v/>
      </c>
      <c r="R388" s="7">
        <f>IF($V388="","",Q388+N388)</f>
        <v/>
      </c>
      <c r="S388" s="7">
        <f>IF($V388="","",T388-R388)</f>
        <v/>
      </c>
      <c r="T388" s="7">
        <f>IF($V388="","",M388+P388+K388)</f>
        <v/>
      </c>
      <c r="U388" s="7">
        <f>IF($V388="","",T388-R388-J388)</f>
        <v/>
      </c>
      <c r="V388" s="13">
        <f>IF(ROWS($V$2:$V388)&lt;=MAX('Per Line'!$AL$2:$AL$1501),MATCH(ROWS($V$2:$V388),'Per Line'!$AL$2:$AL$1501,0),"")</f>
        <v/>
      </c>
    </row>
    <row r="389">
      <c r="A389" s="12" t="n"/>
      <c r="B389">
        <f>IF($V389="","",INDEX('Per Line'!$D$2:$D$1501,$V389)&amp;"")</f>
        <v/>
      </c>
      <c r="C389">
        <f>IF($V389="","",INDEX('Per Line'!$A$2:$A$1501,$V389))</f>
        <v/>
      </c>
      <c r="D389">
        <f>IF($V389="","",INDEX('Per Line'!$Z$2:$Z$1501,$V389)&amp;"")</f>
        <v/>
      </c>
      <c r="E389" s="11">
        <f>IF($V389="","",INDEX('Per Line'!$F$2:$F$1501,$V389))</f>
        <v/>
      </c>
      <c r="F389">
        <f>IF($V389="","",INDEX('Per Line'!$I$2:$I$1501,$V389)&amp;"")</f>
        <v/>
      </c>
      <c r="G389">
        <f>IF($V389="","",INDEX('Per Line'!$J$2:$J$1501,$V389)&amp;"")</f>
        <v/>
      </c>
      <c r="H389">
        <f>IF($V389="","",INDEX('Per Line'!$K$2:$K$1501,$V389)&amp;"")</f>
        <v/>
      </c>
      <c r="I389">
        <f>IF($V389="","",INDEX('Per Line'!$M$2:$M$1501,$V389))</f>
        <v/>
      </c>
      <c r="J389" s="7">
        <f>IF($V389="","",I389*T389/100)</f>
        <v/>
      </c>
      <c r="K389" s="7">
        <f>IF($V389="","",SUMIFS('Per Line'!$V$2:$V$1501,'Per Line'!$D$2:$D$1501,$B389,'Per Line'!$AN$2:$AN$1501,1))</f>
        <v/>
      </c>
      <c r="L389">
        <f>IF($V389="","",Settings!$C$7)</f>
        <v/>
      </c>
      <c r="M389" s="7">
        <f>IF($V389="","",SUMIFS('Per Line'!$V$2:$V$1501,'Per Line'!$D$2:$D$1501,$B389,'Per Line'!$AM$2:$AM$1501,0,'Per Line'!$AN$2:$AN$1501,0))</f>
        <v/>
      </c>
      <c r="N389" s="7">
        <f>IF($V389="","",M389*L389)</f>
        <v/>
      </c>
      <c r="O389">
        <f>IF($V389="","",Settings!$C$6)</f>
        <v/>
      </c>
      <c r="P389" s="7">
        <f>IF($V389="","",SUMIFS('Per Line'!$V$2:$V$1501,'Per Line'!$D$2:$D$1501,$B389,'Per Line'!$AM$2:$AM$1501,1,'Per Line'!$AN$2:$AN$1501,0))</f>
        <v/>
      </c>
      <c r="Q389" s="7">
        <f>IF($V389="","",P389*O389)</f>
        <v/>
      </c>
      <c r="R389" s="7">
        <f>IF($V389="","",Q389+N389)</f>
        <v/>
      </c>
      <c r="S389" s="7">
        <f>IF($V389="","",T389-R389)</f>
        <v/>
      </c>
      <c r="T389" s="7">
        <f>IF($V389="","",M389+P389+K389)</f>
        <v/>
      </c>
      <c r="U389" s="7">
        <f>IF($V389="","",T389-R389-J389)</f>
        <v/>
      </c>
      <c r="V389" s="13">
        <f>IF(ROWS($V$2:$V389)&lt;=MAX('Per Line'!$AL$2:$AL$1501),MATCH(ROWS($V$2:$V389),'Per Line'!$AL$2:$AL$1501,0),"")</f>
        <v/>
      </c>
    </row>
    <row r="390">
      <c r="A390" s="12" t="n"/>
      <c r="B390">
        <f>IF($V390="","",INDEX('Per Line'!$D$2:$D$1501,$V390)&amp;"")</f>
        <v/>
      </c>
      <c r="C390">
        <f>IF($V390="","",INDEX('Per Line'!$A$2:$A$1501,$V390))</f>
        <v/>
      </c>
      <c r="D390">
        <f>IF($V390="","",INDEX('Per Line'!$Z$2:$Z$1501,$V390)&amp;"")</f>
        <v/>
      </c>
      <c r="E390" s="11">
        <f>IF($V390="","",INDEX('Per Line'!$F$2:$F$1501,$V390))</f>
        <v/>
      </c>
      <c r="F390">
        <f>IF($V390="","",INDEX('Per Line'!$I$2:$I$1501,$V390)&amp;"")</f>
        <v/>
      </c>
      <c r="G390">
        <f>IF($V390="","",INDEX('Per Line'!$J$2:$J$1501,$V390)&amp;"")</f>
        <v/>
      </c>
      <c r="H390">
        <f>IF($V390="","",INDEX('Per Line'!$K$2:$K$1501,$V390)&amp;"")</f>
        <v/>
      </c>
      <c r="I390">
        <f>IF($V390="","",INDEX('Per Line'!$M$2:$M$1501,$V390))</f>
        <v/>
      </c>
      <c r="J390" s="7">
        <f>IF($V390="","",I390*T390/100)</f>
        <v/>
      </c>
      <c r="K390" s="7">
        <f>IF($V390="","",SUMIFS('Per Line'!$V$2:$V$1501,'Per Line'!$D$2:$D$1501,$B390,'Per Line'!$AN$2:$AN$1501,1))</f>
        <v/>
      </c>
      <c r="L390">
        <f>IF($V390="","",Settings!$C$7)</f>
        <v/>
      </c>
      <c r="M390" s="7">
        <f>IF($V390="","",SUMIFS('Per Line'!$V$2:$V$1501,'Per Line'!$D$2:$D$1501,$B390,'Per Line'!$AM$2:$AM$1501,0,'Per Line'!$AN$2:$AN$1501,0))</f>
        <v/>
      </c>
      <c r="N390" s="7">
        <f>IF($V390="","",M390*L390)</f>
        <v/>
      </c>
      <c r="O390">
        <f>IF($V390="","",Settings!$C$6)</f>
        <v/>
      </c>
      <c r="P390" s="7">
        <f>IF($V390="","",SUMIFS('Per Line'!$V$2:$V$1501,'Per Line'!$D$2:$D$1501,$B390,'Per Line'!$AM$2:$AM$1501,1,'Per Line'!$AN$2:$AN$1501,0))</f>
        <v/>
      </c>
      <c r="Q390" s="7">
        <f>IF($V390="","",P390*O390)</f>
        <v/>
      </c>
      <c r="R390" s="7">
        <f>IF($V390="","",Q390+N390)</f>
        <v/>
      </c>
      <c r="S390" s="7">
        <f>IF($V390="","",T390-R390)</f>
        <v/>
      </c>
      <c r="T390" s="7">
        <f>IF($V390="","",M390+P390+K390)</f>
        <v/>
      </c>
      <c r="U390" s="7">
        <f>IF($V390="","",T390-R390-J390)</f>
        <v/>
      </c>
      <c r="V390" s="13">
        <f>IF(ROWS($V$2:$V390)&lt;=MAX('Per Line'!$AL$2:$AL$1501),MATCH(ROWS($V$2:$V390),'Per Line'!$AL$2:$AL$1501,0),"")</f>
        <v/>
      </c>
    </row>
    <row r="391">
      <c r="A391" s="12" t="n"/>
      <c r="B391">
        <f>IF($V391="","",INDEX('Per Line'!$D$2:$D$1501,$V391)&amp;"")</f>
        <v/>
      </c>
      <c r="C391">
        <f>IF($V391="","",INDEX('Per Line'!$A$2:$A$1501,$V391))</f>
        <v/>
      </c>
      <c r="D391">
        <f>IF($V391="","",INDEX('Per Line'!$Z$2:$Z$1501,$V391)&amp;"")</f>
        <v/>
      </c>
      <c r="E391" s="11">
        <f>IF($V391="","",INDEX('Per Line'!$F$2:$F$1501,$V391))</f>
        <v/>
      </c>
      <c r="F391">
        <f>IF($V391="","",INDEX('Per Line'!$I$2:$I$1501,$V391)&amp;"")</f>
        <v/>
      </c>
      <c r="G391">
        <f>IF($V391="","",INDEX('Per Line'!$J$2:$J$1501,$V391)&amp;"")</f>
        <v/>
      </c>
      <c r="H391">
        <f>IF($V391="","",INDEX('Per Line'!$K$2:$K$1501,$V391)&amp;"")</f>
        <v/>
      </c>
      <c r="I391">
        <f>IF($V391="","",INDEX('Per Line'!$M$2:$M$1501,$V391))</f>
        <v/>
      </c>
      <c r="J391" s="7">
        <f>IF($V391="","",I391*T391/100)</f>
        <v/>
      </c>
      <c r="K391" s="7">
        <f>IF($V391="","",SUMIFS('Per Line'!$V$2:$V$1501,'Per Line'!$D$2:$D$1501,$B391,'Per Line'!$AN$2:$AN$1501,1))</f>
        <v/>
      </c>
      <c r="L391">
        <f>IF($V391="","",Settings!$C$7)</f>
        <v/>
      </c>
      <c r="M391" s="7">
        <f>IF($V391="","",SUMIFS('Per Line'!$V$2:$V$1501,'Per Line'!$D$2:$D$1501,$B391,'Per Line'!$AM$2:$AM$1501,0,'Per Line'!$AN$2:$AN$1501,0))</f>
        <v/>
      </c>
      <c r="N391" s="7">
        <f>IF($V391="","",M391*L391)</f>
        <v/>
      </c>
      <c r="O391">
        <f>IF($V391="","",Settings!$C$6)</f>
        <v/>
      </c>
      <c r="P391" s="7">
        <f>IF($V391="","",SUMIFS('Per Line'!$V$2:$V$1501,'Per Line'!$D$2:$D$1501,$B391,'Per Line'!$AM$2:$AM$1501,1,'Per Line'!$AN$2:$AN$1501,0))</f>
        <v/>
      </c>
      <c r="Q391" s="7">
        <f>IF($V391="","",P391*O391)</f>
        <v/>
      </c>
      <c r="R391" s="7">
        <f>IF($V391="","",Q391+N391)</f>
        <v/>
      </c>
      <c r="S391" s="7">
        <f>IF($V391="","",T391-R391)</f>
        <v/>
      </c>
      <c r="T391" s="7">
        <f>IF($V391="","",M391+P391+K391)</f>
        <v/>
      </c>
      <c r="U391" s="7">
        <f>IF($V391="","",T391-R391-J391)</f>
        <v/>
      </c>
      <c r="V391" s="13">
        <f>IF(ROWS($V$2:$V391)&lt;=MAX('Per Line'!$AL$2:$AL$1501),MATCH(ROWS($V$2:$V391),'Per Line'!$AL$2:$AL$1501,0),"")</f>
        <v/>
      </c>
    </row>
    <row r="392">
      <c r="A392" s="12" t="n"/>
      <c r="B392">
        <f>IF($V392="","",INDEX('Per Line'!$D$2:$D$1501,$V392)&amp;"")</f>
        <v/>
      </c>
      <c r="C392">
        <f>IF($V392="","",INDEX('Per Line'!$A$2:$A$1501,$V392))</f>
        <v/>
      </c>
      <c r="D392">
        <f>IF($V392="","",INDEX('Per Line'!$Z$2:$Z$1501,$V392)&amp;"")</f>
        <v/>
      </c>
      <c r="E392" s="11">
        <f>IF($V392="","",INDEX('Per Line'!$F$2:$F$1501,$V392))</f>
        <v/>
      </c>
      <c r="F392">
        <f>IF($V392="","",INDEX('Per Line'!$I$2:$I$1501,$V392)&amp;"")</f>
        <v/>
      </c>
      <c r="G392">
        <f>IF($V392="","",INDEX('Per Line'!$J$2:$J$1501,$V392)&amp;"")</f>
        <v/>
      </c>
      <c r="H392">
        <f>IF($V392="","",INDEX('Per Line'!$K$2:$K$1501,$V392)&amp;"")</f>
        <v/>
      </c>
      <c r="I392">
        <f>IF($V392="","",INDEX('Per Line'!$M$2:$M$1501,$V392))</f>
        <v/>
      </c>
      <c r="J392" s="7">
        <f>IF($V392="","",I392*T392/100)</f>
        <v/>
      </c>
      <c r="K392" s="7">
        <f>IF($V392="","",SUMIFS('Per Line'!$V$2:$V$1501,'Per Line'!$D$2:$D$1501,$B392,'Per Line'!$AN$2:$AN$1501,1))</f>
        <v/>
      </c>
      <c r="L392">
        <f>IF($V392="","",Settings!$C$7)</f>
        <v/>
      </c>
      <c r="M392" s="7">
        <f>IF($V392="","",SUMIFS('Per Line'!$V$2:$V$1501,'Per Line'!$D$2:$D$1501,$B392,'Per Line'!$AM$2:$AM$1501,0,'Per Line'!$AN$2:$AN$1501,0))</f>
        <v/>
      </c>
      <c r="N392" s="7">
        <f>IF($V392="","",M392*L392)</f>
        <v/>
      </c>
      <c r="O392">
        <f>IF($V392="","",Settings!$C$6)</f>
        <v/>
      </c>
      <c r="P392" s="7">
        <f>IF($V392="","",SUMIFS('Per Line'!$V$2:$V$1501,'Per Line'!$D$2:$D$1501,$B392,'Per Line'!$AM$2:$AM$1501,1,'Per Line'!$AN$2:$AN$1501,0))</f>
        <v/>
      </c>
      <c r="Q392" s="7">
        <f>IF($V392="","",P392*O392)</f>
        <v/>
      </c>
      <c r="R392" s="7">
        <f>IF($V392="","",Q392+N392)</f>
        <v/>
      </c>
      <c r="S392" s="7">
        <f>IF($V392="","",T392-R392)</f>
        <v/>
      </c>
      <c r="T392" s="7">
        <f>IF($V392="","",M392+P392+K392)</f>
        <v/>
      </c>
      <c r="U392" s="7">
        <f>IF($V392="","",T392-R392-J392)</f>
        <v/>
      </c>
      <c r="V392" s="13">
        <f>IF(ROWS($V$2:$V392)&lt;=MAX('Per Line'!$AL$2:$AL$1501),MATCH(ROWS($V$2:$V392),'Per Line'!$AL$2:$AL$1501,0),"")</f>
        <v/>
      </c>
    </row>
    <row r="393">
      <c r="A393" s="12" t="n"/>
      <c r="B393">
        <f>IF($V393="","",INDEX('Per Line'!$D$2:$D$1501,$V393)&amp;"")</f>
        <v/>
      </c>
      <c r="C393">
        <f>IF($V393="","",INDEX('Per Line'!$A$2:$A$1501,$V393))</f>
        <v/>
      </c>
      <c r="D393">
        <f>IF($V393="","",INDEX('Per Line'!$Z$2:$Z$1501,$V393)&amp;"")</f>
        <v/>
      </c>
      <c r="E393" s="11">
        <f>IF($V393="","",INDEX('Per Line'!$F$2:$F$1501,$V393))</f>
        <v/>
      </c>
      <c r="F393">
        <f>IF($V393="","",INDEX('Per Line'!$I$2:$I$1501,$V393)&amp;"")</f>
        <v/>
      </c>
      <c r="G393">
        <f>IF($V393="","",INDEX('Per Line'!$J$2:$J$1501,$V393)&amp;"")</f>
        <v/>
      </c>
      <c r="H393">
        <f>IF($V393="","",INDEX('Per Line'!$K$2:$K$1501,$V393)&amp;"")</f>
        <v/>
      </c>
      <c r="I393">
        <f>IF($V393="","",INDEX('Per Line'!$M$2:$M$1501,$V393))</f>
        <v/>
      </c>
      <c r="J393" s="7">
        <f>IF($V393="","",I393*T393/100)</f>
        <v/>
      </c>
      <c r="K393" s="7">
        <f>IF($V393="","",SUMIFS('Per Line'!$V$2:$V$1501,'Per Line'!$D$2:$D$1501,$B393,'Per Line'!$AN$2:$AN$1501,1))</f>
        <v/>
      </c>
      <c r="L393">
        <f>IF($V393="","",Settings!$C$7)</f>
        <v/>
      </c>
      <c r="M393" s="7">
        <f>IF($V393="","",SUMIFS('Per Line'!$V$2:$V$1501,'Per Line'!$D$2:$D$1501,$B393,'Per Line'!$AM$2:$AM$1501,0,'Per Line'!$AN$2:$AN$1501,0))</f>
        <v/>
      </c>
      <c r="N393" s="7">
        <f>IF($V393="","",M393*L393)</f>
        <v/>
      </c>
      <c r="O393">
        <f>IF($V393="","",Settings!$C$6)</f>
        <v/>
      </c>
      <c r="P393" s="7">
        <f>IF($V393="","",SUMIFS('Per Line'!$V$2:$V$1501,'Per Line'!$D$2:$D$1501,$B393,'Per Line'!$AM$2:$AM$1501,1,'Per Line'!$AN$2:$AN$1501,0))</f>
        <v/>
      </c>
      <c r="Q393" s="7">
        <f>IF($V393="","",P393*O393)</f>
        <v/>
      </c>
      <c r="R393" s="7">
        <f>IF($V393="","",Q393+N393)</f>
        <v/>
      </c>
      <c r="S393" s="7">
        <f>IF($V393="","",T393-R393)</f>
        <v/>
      </c>
      <c r="T393" s="7">
        <f>IF($V393="","",M393+P393+K393)</f>
        <v/>
      </c>
      <c r="U393" s="7">
        <f>IF($V393="","",T393-R393-J393)</f>
        <v/>
      </c>
      <c r="V393" s="13">
        <f>IF(ROWS($V$2:$V393)&lt;=MAX('Per Line'!$AL$2:$AL$1501),MATCH(ROWS($V$2:$V393),'Per Line'!$AL$2:$AL$1501,0),"")</f>
        <v/>
      </c>
    </row>
    <row r="394">
      <c r="A394" s="12" t="n"/>
      <c r="B394">
        <f>IF($V394="","",INDEX('Per Line'!$D$2:$D$1501,$V394)&amp;"")</f>
        <v/>
      </c>
      <c r="C394">
        <f>IF($V394="","",INDEX('Per Line'!$A$2:$A$1501,$V394))</f>
        <v/>
      </c>
      <c r="D394">
        <f>IF($V394="","",INDEX('Per Line'!$Z$2:$Z$1501,$V394)&amp;"")</f>
        <v/>
      </c>
      <c r="E394" s="11">
        <f>IF($V394="","",INDEX('Per Line'!$F$2:$F$1501,$V394))</f>
        <v/>
      </c>
      <c r="F394">
        <f>IF($V394="","",INDEX('Per Line'!$I$2:$I$1501,$V394)&amp;"")</f>
        <v/>
      </c>
      <c r="G394">
        <f>IF($V394="","",INDEX('Per Line'!$J$2:$J$1501,$V394)&amp;"")</f>
        <v/>
      </c>
      <c r="H394">
        <f>IF($V394="","",INDEX('Per Line'!$K$2:$K$1501,$V394)&amp;"")</f>
        <v/>
      </c>
      <c r="I394">
        <f>IF($V394="","",INDEX('Per Line'!$M$2:$M$1501,$V394))</f>
        <v/>
      </c>
      <c r="J394" s="7">
        <f>IF($V394="","",I394*T394/100)</f>
        <v/>
      </c>
      <c r="K394" s="7">
        <f>IF($V394="","",SUMIFS('Per Line'!$V$2:$V$1501,'Per Line'!$D$2:$D$1501,$B394,'Per Line'!$AN$2:$AN$1501,1))</f>
        <v/>
      </c>
      <c r="L394">
        <f>IF($V394="","",Settings!$C$7)</f>
        <v/>
      </c>
      <c r="M394" s="7">
        <f>IF($V394="","",SUMIFS('Per Line'!$V$2:$V$1501,'Per Line'!$D$2:$D$1501,$B394,'Per Line'!$AM$2:$AM$1501,0,'Per Line'!$AN$2:$AN$1501,0))</f>
        <v/>
      </c>
      <c r="N394" s="7">
        <f>IF($V394="","",M394*L394)</f>
        <v/>
      </c>
      <c r="O394">
        <f>IF($V394="","",Settings!$C$6)</f>
        <v/>
      </c>
      <c r="P394" s="7">
        <f>IF($V394="","",SUMIFS('Per Line'!$V$2:$V$1501,'Per Line'!$D$2:$D$1501,$B394,'Per Line'!$AM$2:$AM$1501,1,'Per Line'!$AN$2:$AN$1501,0))</f>
        <v/>
      </c>
      <c r="Q394" s="7">
        <f>IF($V394="","",P394*O394)</f>
        <v/>
      </c>
      <c r="R394" s="7">
        <f>IF($V394="","",Q394+N394)</f>
        <v/>
      </c>
      <c r="S394" s="7">
        <f>IF($V394="","",T394-R394)</f>
        <v/>
      </c>
      <c r="T394" s="7">
        <f>IF($V394="","",M394+P394+K394)</f>
        <v/>
      </c>
      <c r="U394" s="7">
        <f>IF($V394="","",T394-R394-J394)</f>
        <v/>
      </c>
      <c r="V394" s="13">
        <f>IF(ROWS($V$2:$V394)&lt;=MAX('Per Line'!$AL$2:$AL$1501),MATCH(ROWS($V$2:$V394),'Per Line'!$AL$2:$AL$1501,0),"")</f>
        <v/>
      </c>
    </row>
    <row r="395">
      <c r="A395" s="12" t="n"/>
      <c r="B395">
        <f>IF($V395="","",INDEX('Per Line'!$D$2:$D$1501,$V395)&amp;"")</f>
        <v/>
      </c>
      <c r="C395">
        <f>IF($V395="","",INDEX('Per Line'!$A$2:$A$1501,$V395))</f>
        <v/>
      </c>
      <c r="D395">
        <f>IF($V395="","",INDEX('Per Line'!$Z$2:$Z$1501,$V395)&amp;"")</f>
        <v/>
      </c>
      <c r="E395" s="11">
        <f>IF($V395="","",INDEX('Per Line'!$F$2:$F$1501,$V395))</f>
        <v/>
      </c>
      <c r="F395">
        <f>IF($V395="","",INDEX('Per Line'!$I$2:$I$1501,$V395)&amp;"")</f>
        <v/>
      </c>
      <c r="G395">
        <f>IF($V395="","",INDEX('Per Line'!$J$2:$J$1501,$V395)&amp;"")</f>
        <v/>
      </c>
      <c r="H395">
        <f>IF($V395="","",INDEX('Per Line'!$K$2:$K$1501,$V395)&amp;"")</f>
        <v/>
      </c>
      <c r="I395">
        <f>IF($V395="","",INDEX('Per Line'!$M$2:$M$1501,$V395))</f>
        <v/>
      </c>
      <c r="J395" s="7">
        <f>IF($V395="","",I395*T395/100)</f>
        <v/>
      </c>
      <c r="K395" s="7">
        <f>IF($V395="","",SUMIFS('Per Line'!$V$2:$V$1501,'Per Line'!$D$2:$D$1501,$B395,'Per Line'!$AN$2:$AN$1501,1))</f>
        <v/>
      </c>
      <c r="L395">
        <f>IF($V395="","",Settings!$C$7)</f>
        <v/>
      </c>
      <c r="M395" s="7">
        <f>IF($V395="","",SUMIFS('Per Line'!$V$2:$V$1501,'Per Line'!$D$2:$D$1501,$B395,'Per Line'!$AM$2:$AM$1501,0,'Per Line'!$AN$2:$AN$1501,0))</f>
        <v/>
      </c>
      <c r="N395" s="7">
        <f>IF($V395="","",M395*L395)</f>
        <v/>
      </c>
      <c r="O395">
        <f>IF($V395="","",Settings!$C$6)</f>
        <v/>
      </c>
      <c r="P395" s="7">
        <f>IF($V395="","",SUMIFS('Per Line'!$V$2:$V$1501,'Per Line'!$D$2:$D$1501,$B395,'Per Line'!$AM$2:$AM$1501,1,'Per Line'!$AN$2:$AN$1501,0))</f>
        <v/>
      </c>
      <c r="Q395" s="7">
        <f>IF($V395="","",P395*O395)</f>
        <v/>
      </c>
      <c r="R395" s="7">
        <f>IF($V395="","",Q395+N395)</f>
        <v/>
      </c>
      <c r="S395" s="7">
        <f>IF($V395="","",T395-R395)</f>
        <v/>
      </c>
      <c r="T395" s="7">
        <f>IF($V395="","",M395+P395+K395)</f>
        <v/>
      </c>
      <c r="U395" s="7">
        <f>IF($V395="","",T395-R395-J395)</f>
        <v/>
      </c>
      <c r="V395" s="13">
        <f>IF(ROWS($V$2:$V395)&lt;=MAX('Per Line'!$AL$2:$AL$1501),MATCH(ROWS($V$2:$V395),'Per Line'!$AL$2:$AL$1501,0),"")</f>
        <v/>
      </c>
    </row>
    <row r="396">
      <c r="A396" s="12" t="n"/>
      <c r="B396">
        <f>IF($V396="","",INDEX('Per Line'!$D$2:$D$1501,$V396)&amp;"")</f>
        <v/>
      </c>
      <c r="C396">
        <f>IF($V396="","",INDEX('Per Line'!$A$2:$A$1501,$V396))</f>
        <v/>
      </c>
      <c r="D396">
        <f>IF($V396="","",INDEX('Per Line'!$Z$2:$Z$1501,$V396)&amp;"")</f>
        <v/>
      </c>
      <c r="E396" s="11">
        <f>IF($V396="","",INDEX('Per Line'!$F$2:$F$1501,$V396))</f>
        <v/>
      </c>
      <c r="F396">
        <f>IF($V396="","",INDEX('Per Line'!$I$2:$I$1501,$V396)&amp;"")</f>
        <v/>
      </c>
      <c r="G396">
        <f>IF($V396="","",INDEX('Per Line'!$J$2:$J$1501,$V396)&amp;"")</f>
        <v/>
      </c>
      <c r="H396">
        <f>IF($V396="","",INDEX('Per Line'!$K$2:$K$1501,$V396)&amp;"")</f>
        <v/>
      </c>
      <c r="I396">
        <f>IF($V396="","",INDEX('Per Line'!$M$2:$M$1501,$V396))</f>
        <v/>
      </c>
      <c r="J396" s="7">
        <f>IF($V396="","",I396*T396/100)</f>
        <v/>
      </c>
      <c r="K396" s="7">
        <f>IF($V396="","",SUMIFS('Per Line'!$V$2:$V$1501,'Per Line'!$D$2:$D$1501,$B396,'Per Line'!$AN$2:$AN$1501,1))</f>
        <v/>
      </c>
      <c r="L396">
        <f>IF($V396="","",Settings!$C$7)</f>
        <v/>
      </c>
      <c r="M396" s="7">
        <f>IF($V396="","",SUMIFS('Per Line'!$V$2:$V$1501,'Per Line'!$D$2:$D$1501,$B396,'Per Line'!$AM$2:$AM$1501,0,'Per Line'!$AN$2:$AN$1501,0))</f>
        <v/>
      </c>
      <c r="N396" s="7">
        <f>IF($V396="","",M396*L396)</f>
        <v/>
      </c>
      <c r="O396">
        <f>IF($V396="","",Settings!$C$6)</f>
        <v/>
      </c>
      <c r="P396" s="7">
        <f>IF($V396="","",SUMIFS('Per Line'!$V$2:$V$1501,'Per Line'!$D$2:$D$1501,$B396,'Per Line'!$AM$2:$AM$1501,1,'Per Line'!$AN$2:$AN$1501,0))</f>
        <v/>
      </c>
      <c r="Q396" s="7">
        <f>IF($V396="","",P396*O396)</f>
        <v/>
      </c>
      <c r="R396" s="7">
        <f>IF($V396="","",Q396+N396)</f>
        <v/>
      </c>
      <c r="S396" s="7">
        <f>IF($V396="","",T396-R396)</f>
        <v/>
      </c>
      <c r="T396" s="7">
        <f>IF($V396="","",M396+P396+K396)</f>
        <v/>
      </c>
      <c r="U396" s="7">
        <f>IF($V396="","",T396-R396-J396)</f>
        <v/>
      </c>
      <c r="V396" s="13">
        <f>IF(ROWS($V$2:$V396)&lt;=MAX('Per Line'!$AL$2:$AL$1501),MATCH(ROWS($V$2:$V396),'Per Line'!$AL$2:$AL$1501,0),"")</f>
        <v/>
      </c>
    </row>
    <row r="397">
      <c r="A397" s="12" t="n"/>
      <c r="B397">
        <f>IF($V397="","",INDEX('Per Line'!$D$2:$D$1501,$V397)&amp;"")</f>
        <v/>
      </c>
      <c r="C397">
        <f>IF($V397="","",INDEX('Per Line'!$A$2:$A$1501,$V397))</f>
        <v/>
      </c>
      <c r="D397">
        <f>IF($V397="","",INDEX('Per Line'!$Z$2:$Z$1501,$V397)&amp;"")</f>
        <v/>
      </c>
      <c r="E397" s="11">
        <f>IF($V397="","",INDEX('Per Line'!$F$2:$F$1501,$V397))</f>
        <v/>
      </c>
      <c r="F397">
        <f>IF($V397="","",INDEX('Per Line'!$I$2:$I$1501,$V397)&amp;"")</f>
        <v/>
      </c>
      <c r="G397">
        <f>IF($V397="","",INDEX('Per Line'!$J$2:$J$1501,$V397)&amp;"")</f>
        <v/>
      </c>
      <c r="H397">
        <f>IF($V397="","",INDEX('Per Line'!$K$2:$K$1501,$V397)&amp;"")</f>
        <v/>
      </c>
      <c r="I397">
        <f>IF($V397="","",INDEX('Per Line'!$M$2:$M$1501,$V397))</f>
        <v/>
      </c>
      <c r="J397" s="7">
        <f>IF($V397="","",I397*T397/100)</f>
        <v/>
      </c>
      <c r="K397" s="7">
        <f>IF($V397="","",SUMIFS('Per Line'!$V$2:$V$1501,'Per Line'!$D$2:$D$1501,$B397,'Per Line'!$AN$2:$AN$1501,1))</f>
        <v/>
      </c>
      <c r="L397">
        <f>IF($V397="","",Settings!$C$7)</f>
        <v/>
      </c>
      <c r="M397" s="7">
        <f>IF($V397="","",SUMIFS('Per Line'!$V$2:$V$1501,'Per Line'!$D$2:$D$1501,$B397,'Per Line'!$AM$2:$AM$1501,0,'Per Line'!$AN$2:$AN$1501,0))</f>
        <v/>
      </c>
      <c r="N397" s="7">
        <f>IF($V397="","",M397*L397)</f>
        <v/>
      </c>
      <c r="O397">
        <f>IF($V397="","",Settings!$C$6)</f>
        <v/>
      </c>
      <c r="P397" s="7">
        <f>IF($V397="","",SUMIFS('Per Line'!$V$2:$V$1501,'Per Line'!$D$2:$D$1501,$B397,'Per Line'!$AM$2:$AM$1501,1,'Per Line'!$AN$2:$AN$1501,0))</f>
        <v/>
      </c>
      <c r="Q397" s="7">
        <f>IF($V397="","",P397*O397)</f>
        <v/>
      </c>
      <c r="R397" s="7">
        <f>IF($V397="","",Q397+N397)</f>
        <v/>
      </c>
      <c r="S397" s="7">
        <f>IF($V397="","",T397-R397)</f>
        <v/>
      </c>
      <c r="T397" s="7">
        <f>IF($V397="","",M397+P397+K397)</f>
        <v/>
      </c>
      <c r="U397" s="7">
        <f>IF($V397="","",T397-R397-J397)</f>
        <v/>
      </c>
      <c r="V397" s="13">
        <f>IF(ROWS($V$2:$V397)&lt;=MAX('Per Line'!$AL$2:$AL$1501),MATCH(ROWS($V$2:$V397),'Per Line'!$AL$2:$AL$1501,0),"")</f>
        <v/>
      </c>
    </row>
    <row r="398">
      <c r="A398" s="12" t="n"/>
      <c r="B398">
        <f>IF($V398="","",INDEX('Per Line'!$D$2:$D$1501,$V398)&amp;"")</f>
        <v/>
      </c>
      <c r="C398">
        <f>IF($V398="","",INDEX('Per Line'!$A$2:$A$1501,$V398))</f>
        <v/>
      </c>
      <c r="D398">
        <f>IF($V398="","",INDEX('Per Line'!$Z$2:$Z$1501,$V398)&amp;"")</f>
        <v/>
      </c>
      <c r="E398" s="11">
        <f>IF($V398="","",INDEX('Per Line'!$F$2:$F$1501,$V398))</f>
        <v/>
      </c>
      <c r="F398">
        <f>IF($V398="","",INDEX('Per Line'!$I$2:$I$1501,$V398)&amp;"")</f>
        <v/>
      </c>
      <c r="G398">
        <f>IF($V398="","",INDEX('Per Line'!$J$2:$J$1501,$V398)&amp;"")</f>
        <v/>
      </c>
      <c r="H398">
        <f>IF($V398="","",INDEX('Per Line'!$K$2:$K$1501,$V398)&amp;"")</f>
        <v/>
      </c>
      <c r="I398">
        <f>IF($V398="","",INDEX('Per Line'!$M$2:$M$1501,$V398))</f>
        <v/>
      </c>
      <c r="J398" s="7">
        <f>IF($V398="","",I398*T398/100)</f>
        <v/>
      </c>
      <c r="K398" s="7">
        <f>IF($V398="","",SUMIFS('Per Line'!$V$2:$V$1501,'Per Line'!$D$2:$D$1501,$B398,'Per Line'!$AN$2:$AN$1501,1))</f>
        <v/>
      </c>
      <c r="L398">
        <f>IF($V398="","",Settings!$C$7)</f>
        <v/>
      </c>
      <c r="M398" s="7">
        <f>IF($V398="","",SUMIFS('Per Line'!$V$2:$V$1501,'Per Line'!$D$2:$D$1501,$B398,'Per Line'!$AM$2:$AM$1501,0,'Per Line'!$AN$2:$AN$1501,0))</f>
        <v/>
      </c>
      <c r="N398" s="7">
        <f>IF($V398="","",M398*L398)</f>
        <v/>
      </c>
      <c r="O398">
        <f>IF($V398="","",Settings!$C$6)</f>
        <v/>
      </c>
      <c r="P398" s="7">
        <f>IF($V398="","",SUMIFS('Per Line'!$V$2:$V$1501,'Per Line'!$D$2:$D$1501,$B398,'Per Line'!$AM$2:$AM$1501,1,'Per Line'!$AN$2:$AN$1501,0))</f>
        <v/>
      </c>
      <c r="Q398" s="7">
        <f>IF($V398="","",P398*O398)</f>
        <v/>
      </c>
      <c r="R398" s="7">
        <f>IF($V398="","",Q398+N398)</f>
        <v/>
      </c>
      <c r="S398" s="7">
        <f>IF($V398="","",T398-R398)</f>
        <v/>
      </c>
      <c r="T398" s="7">
        <f>IF($V398="","",M398+P398+K398)</f>
        <v/>
      </c>
      <c r="U398" s="7">
        <f>IF($V398="","",T398-R398-J398)</f>
        <v/>
      </c>
      <c r="V398" s="13">
        <f>IF(ROWS($V$2:$V398)&lt;=MAX('Per Line'!$AL$2:$AL$1501),MATCH(ROWS($V$2:$V398),'Per Line'!$AL$2:$AL$1501,0),"")</f>
        <v/>
      </c>
    </row>
    <row r="399">
      <c r="A399" s="12" t="n"/>
      <c r="B399">
        <f>IF($V399="","",INDEX('Per Line'!$D$2:$D$1501,$V399)&amp;"")</f>
        <v/>
      </c>
      <c r="C399">
        <f>IF($V399="","",INDEX('Per Line'!$A$2:$A$1501,$V399))</f>
        <v/>
      </c>
      <c r="D399">
        <f>IF($V399="","",INDEX('Per Line'!$Z$2:$Z$1501,$V399)&amp;"")</f>
        <v/>
      </c>
      <c r="E399" s="11">
        <f>IF($V399="","",INDEX('Per Line'!$F$2:$F$1501,$V399))</f>
        <v/>
      </c>
      <c r="F399">
        <f>IF($V399="","",INDEX('Per Line'!$I$2:$I$1501,$V399)&amp;"")</f>
        <v/>
      </c>
      <c r="G399">
        <f>IF($V399="","",INDEX('Per Line'!$J$2:$J$1501,$V399)&amp;"")</f>
        <v/>
      </c>
      <c r="H399">
        <f>IF($V399="","",INDEX('Per Line'!$K$2:$K$1501,$V399)&amp;"")</f>
        <v/>
      </c>
      <c r="I399">
        <f>IF($V399="","",INDEX('Per Line'!$M$2:$M$1501,$V399))</f>
        <v/>
      </c>
      <c r="J399" s="7">
        <f>IF($V399="","",I399*T399/100)</f>
        <v/>
      </c>
      <c r="K399" s="7">
        <f>IF($V399="","",SUMIFS('Per Line'!$V$2:$V$1501,'Per Line'!$D$2:$D$1501,$B399,'Per Line'!$AN$2:$AN$1501,1))</f>
        <v/>
      </c>
      <c r="L399">
        <f>IF($V399="","",Settings!$C$7)</f>
        <v/>
      </c>
      <c r="M399" s="7">
        <f>IF($V399="","",SUMIFS('Per Line'!$V$2:$V$1501,'Per Line'!$D$2:$D$1501,$B399,'Per Line'!$AM$2:$AM$1501,0,'Per Line'!$AN$2:$AN$1501,0))</f>
        <v/>
      </c>
      <c r="N399" s="7">
        <f>IF($V399="","",M399*L399)</f>
        <v/>
      </c>
      <c r="O399">
        <f>IF($V399="","",Settings!$C$6)</f>
        <v/>
      </c>
      <c r="P399" s="7">
        <f>IF($V399="","",SUMIFS('Per Line'!$V$2:$V$1501,'Per Line'!$D$2:$D$1501,$B399,'Per Line'!$AM$2:$AM$1501,1,'Per Line'!$AN$2:$AN$1501,0))</f>
        <v/>
      </c>
      <c r="Q399" s="7">
        <f>IF($V399="","",P399*O399)</f>
        <v/>
      </c>
      <c r="R399" s="7">
        <f>IF($V399="","",Q399+N399)</f>
        <v/>
      </c>
      <c r="S399" s="7">
        <f>IF($V399="","",T399-R399)</f>
        <v/>
      </c>
      <c r="T399" s="7">
        <f>IF($V399="","",M399+P399+K399)</f>
        <v/>
      </c>
      <c r="U399" s="7">
        <f>IF($V399="","",T399-R399-J399)</f>
        <v/>
      </c>
      <c r="V399" s="13">
        <f>IF(ROWS($V$2:$V399)&lt;=MAX('Per Line'!$AL$2:$AL$1501),MATCH(ROWS($V$2:$V399),'Per Line'!$AL$2:$AL$1501,0),"")</f>
        <v/>
      </c>
    </row>
    <row r="400">
      <c r="A400" s="12" t="n"/>
      <c r="B400">
        <f>IF($V400="","",INDEX('Per Line'!$D$2:$D$1501,$V400)&amp;"")</f>
        <v/>
      </c>
      <c r="C400">
        <f>IF($V400="","",INDEX('Per Line'!$A$2:$A$1501,$V400))</f>
        <v/>
      </c>
      <c r="D400">
        <f>IF($V400="","",INDEX('Per Line'!$Z$2:$Z$1501,$V400)&amp;"")</f>
        <v/>
      </c>
      <c r="E400" s="11">
        <f>IF($V400="","",INDEX('Per Line'!$F$2:$F$1501,$V400))</f>
        <v/>
      </c>
      <c r="F400">
        <f>IF($V400="","",INDEX('Per Line'!$I$2:$I$1501,$V400)&amp;"")</f>
        <v/>
      </c>
      <c r="G400">
        <f>IF($V400="","",INDEX('Per Line'!$J$2:$J$1501,$V400)&amp;"")</f>
        <v/>
      </c>
      <c r="H400">
        <f>IF($V400="","",INDEX('Per Line'!$K$2:$K$1501,$V400)&amp;"")</f>
        <v/>
      </c>
      <c r="I400">
        <f>IF($V400="","",INDEX('Per Line'!$M$2:$M$1501,$V400))</f>
        <v/>
      </c>
      <c r="J400" s="7">
        <f>IF($V400="","",I400*T400/100)</f>
        <v/>
      </c>
      <c r="K400" s="7">
        <f>IF($V400="","",SUMIFS('Per Line'!$V$2:$V$1501,'Per Line'!$D$2:$D$1501,$B400,'Per Line'!$AN$2:$AN$1501,1))</f>
        <v/>
      </c>
      <c r="L400">
        <f>IF($V400="","",Settings!$C$7)</f>
        <v/>
      </c>
      <c r="M400" s="7">
        <f>IF($V400="","",SUMIFS('Per Line'!$V$2:$V$1501,'Per Line'!$D$2:$D$1501,$B400,'Per Line'!$AM$2:$AM$1501,0,'Per Line'!$AN$2:$AN$1501,0))</f>
        <v/>
      </c>
      <c r="N400" s="7">
        <f>IF($V400="","",M400*L400)</f>
        <v/>
      </c>
      <c r="O400">
        <f>IF($V400="","",Settings!$C$6)</f>
        <v/>
      </c>
      <c r="P400" s="7">
        <f>IF($V400="","",SUMIFS('Per Line'!$V$2:$V$1501,'Per Line'!$D$2:$D$1501,$B400,'Per Line'!$AM$2:$AM$1501,1,'Per Line'!$AN$2:$AN$1501,0))</f>
        <v/>
      </c>
      <c r="Q400" s="7">
        <f>IF($V400="","",P400*O400)</f>
        <v/>
      </c>
      <c r="R400" s="7">
        <f>IF($V400="","",Q400+N400)</f>
        <v/>
      </c>
      <c r="S400" s="7">
        <f>IF($V400="","",T400-R400)</f>
        <v/>
      </c>
      <c r="T400" s="7">
        <f>IF($V400="","",M400+P400+K400)</f>
        <v/>
      </c>
      <c r="U400" s="7">
        <f>IF($V400="","",T400-R400-J400)</f>
        <v/>
      </c>
      <c r="V400" s="13">
        <f>IF(ROWS($V$2:$V400)&lt;=MAX('Per Line'!$AL$2:$AL$1501),MATCH(ROWS($V$2:$V400),'Per Line'!$AL$2:$AL$1501,0),"")</f>
        <v/>
      </c>
    </row>
    <row r="401">
      <c r="A401" s="12" t="n"/>
      <c r="B401">
        <f>IF($V401="","",INDEX('Per Line'!$D$2:$D$1501,$V401)&amp;"")</f>
        <v/>
      </c>
      <c r="C401">
        <f>IF($V401="","",INDEX('Per Line'!$A$2:$A$1501,$V401))</f>
        <v/>
      </c>
      <c r="D401">
        <f>IF($V401="","",INDEX('Per Line'!$Z$2:$Z$1501,$V401)&amp;"")</f>
        <v/>
      </c>
      <c r="E401" s="11">
        <f>IF($V401="","",INDEX('Per Line'!$F$2:$F$1501,$V401))</f>
        <v/>
      </c>
      <c r="F401">
        <f>IF($V401="","",INDEX('Per Line'!$I$2:$I$1501,$V401)&amp;"")</f>
        <v/>
      </c>
      <c r="G401">
        <f>IF($V401="","",INDEX('Per Line'!$J$2:$J$1501,$V401)&amp;"")</f>
        <v/>
      </c>
      <c r="H401">
        <f>IF($V401="","",INDEX('Per Line'!$K$2:$K$1501,$V401)&amp;"")</f>
        <v/>
      </c>
      <c r="I401">
        <f>IF($V401="","",INDEX('Per Line'!$M$2:$M$1501,$V401))</f>
        <v/>
      </c>
      <c r="J401" s="7">
        <f>IF($V401="","",I401*T401/100)</f>
        <v/>
      </c>
      <c r="K401" s="7">
        <f>IF($V401="","",SUMIFS('Per Line'!$V$2:$V$1501,'Per Line'!$D$2:$D$1501,$B401,'Per Line'!$AN$2:$AN$1501,1))</f>
        <v/>
      </c>
      <c r="L401">
        <f>IF($V401="","",Settings!$C$7)</f>
        <v/>
      </c>
      <c r="M401" s="7">
        <f>IF($V401="","",SUMIFS('Per Line'!$V$2:$V$1501,'Per Line'!$D$2:$D$1501,$B401,'Per Line'!$AM$2:$AM$1501,0,'Per Line'!$AN$2:$AN$1501,0))</f>
        <v/>
      </c>
      <c r="N401" s="7">
        <f>IF($V401="","",M401*L401)</f>
        <v/>
      </c>
      <c r="O401">
        <f>IF($V401="","",Settings!$C$6)</f>
        <v/>
      </c>
      <c r="P401" s="7">
        <f>IF($V401="","",SUMIFS('Per Line'!$V$2:$V$1501,'Per Line'!$D$2:$D$1501,$B401,'Per Line'!$AM$2:$AM$1501,1,'Per Line'!$AN$2:$AN$1501,0))</f>
        <v/>
      </c>
      <c r="Q401" s="7">
        <f>IF($V401="","",P401*O401)</f>
        <v/>
      </c>
      <c r="R401" s="7">
        <f>IF($V401="","",Q401+N401)</f>
        <v/>
      </c>
      <c r="S401" s="7">
        <f>IF($V401="","",T401-R401)</f>
        <v/>
      </c>
      <c r="T401" s="7">
        <f>IF($V401="","",M401+P401+K401)</f>
        <v/>
      </c>
      <c r="U401" s="7">
        <f>IF($V401="","",T401-R401-J401)</f>
        <v/>
      </c>
      <c r="V401" s="13">
        <f>IF(ROWS($V$2:$V401)&lt;=MAX('Per Line'!$AL$2:$AL$1501),MATCH(ROWS($V$2:$V401),'Per Line'!$AL$2:$AL$1501,0),"")</f>
        <v/>
      </c>
    </row>
    <row r="402">
      <c r="A402" s="12" t="n"/>
      <c r="B402">
        <f>IF($V402="","",INDEX('Per Line'!$D$2:$D$1501,$V402)&amp;"")</f>
        <v/>
      </c>
      <c r="C402">
        <f>IF($V402="","",INDEX('Per Line'!$A$2:$A$1501,$V402))</f>
        <v/>
      </c>
      <c r="D402">
        <f>IF($V402="","",INDEX('Per Line'!$Z$2:$Z$1501,$V402)&amp;"")</f>
        <v/>
      </c>
      <c r="E402" s="11">
        <f>IF($V402="","",INDEX('Per Line'!$F$2:$F$1501,$V402))</f>
        <v/>
      </c>
      <c r="F402">
        <f>IF($V402="","",INDEX('Per Line'!$I$2:$I$1501,$V402)&amp;"")</f>
        <v/>
      </c>
      <c r="G402">
        <f>IF($V402="","",INDEX('Per Line'!$J$2:$J$1501,$V402)&amp;"")</f>
        <v/>
      </c>
      <c r="H402">
        <f>IF($V402="","",INDEX('Per Line'!$K$2:$K$1501,$V402)&amp;"")</f>
        <v/>
      </c>
      <c r="I402">
        <f>IF($V402="","",INDEX('Per Line'!$M$2:$M$1501,$V402))</f>
        <v/>
      </c>
      <c r="J402" s="7">
        <f>IF($V402="","",I402*T402/100)</f>
        <v/>
      </c>
      <c r="K402" s="7">
        <f>IF($V402="","",SUMIFS('Per Line'!$V$2:$V$1501,'Per Line'!$D$2:$D$1501,$B402,'Per Line'!$AN$2:$AN$1501,1))</f>
        <v/>
      </c>
      <c r="L402">
        <f>IF($V402="","",Settings!$C$7)</f>
        <v/>
      </c>
      <c r="M402" s="7">
        <f>IF($V402="","",SUMIFS('Per Line'!$V$2:$V$1501,'Per Line'!$D$2:$D$1501,$B402,'Per Line'!$AM$2:$AM$1501,0,'Per Line'!$AN$2:$AN$1501,0))</f>
        <v/>
      </c>
      <c r="N402" s="7">
        <f>IF($V402="","",M402*L402)</f>
        <v/>
      </c>
      <c r="O402">
        <f>IF($V402="","",Settings!$C$6)</f>
        <v/>
      </c>
      <c r="P402" s="7">
        <f>IF($V402="","",SUMIFS('Per Line'!$V$2:$V$1501,'Per Line'!$D$2:$D$1501,$B402,'Per Line'!$AM$2:$AM$1501,1,'Per Line'!$AN$2:$AN$1501,0))</f>
        <v/>
      </c>
      <c r="Q402" s="7">
        <f>IF($V402="","",P402*O402)</f>
        <v/>
      </c>
      <c r="R402" s="7">
        <f>IF($V402="","",Q402+N402)</f>
        <v/>
      </c>
      <c r="S402" s="7">
        <f>IF($V402="","",T402-R402)</f>
        <v/>
      </c>
      <c r="T402" s="7">
        <f>IF($V402="","",M402+P402+K402)</f>
        <v/>
      </c>
      <c r="U402" s="7">
        <f>IF($V402="","",T402-R402-J402)</f>
        <v/>
      </c>
      <c r="V402" s="13">
        <f>IF(ROWS($V$2:$V402)&lt;=MAX('Per Line'!$AL$2:$AL$1501),MATCH(ROWS($V$2:$V402),'Per Line'!$AL$2:$AL$1501,0),"")</f>
        <v/>
      </c>
    </row>
    <row r="403">
      <c r="A403" s="12" t="n"/>
      <c r="B403">
        <f>IF($V403="","",INDEX('Per Line'!$D$2:$D$1501,$V403)&amp;"")</f>
        <v/>
      </c>
      <c r="C403">
        <f>IF($V403="","",INDEX('Per Line'!$A$2:$A$1501,$V403))</f>
        <v/>
      </c>
      <c r="D403">
        <f>IF($V403="","",INDEX('Per Line'!$Z$2:$Z$1501,$V403)&amp;"")</f>
        <v/>
      </c>
      <c r="E403" s="11">
        <f>IF($V403="","",INDEX('Per Line'!$F$2:$F$1501,$V403))</f>
        <v/>
      </c>
      <c r="F403">
        <f>IF($V403="","",INDEX('Per Line'!$I$2:$I$1501,$V403)&amp;"")</f>
        <v/>
      </c>
      <c r="G403">
        <f>IF($V403="","",INDEX('Per Line'!$J$2:$J$1501,$V403)&amp;"")</f>
        <v/>
      </c>
      <c r="H403">
        <f>IF($V403="","",INDEX('Per Line'!$K$2:$K$1501,$V403)&amp;"")</f>
        <v/>
      </c>
      <c r="I403">
        <f>IF($V403="","",INDEX('Per Line'!$M$2:$M$1501,$V403))</f>
        <v/>
      </c>
      <c r="J403" s="7">
        <f>IF($V403="","",I403*T403/100)</f>
        <v/>
      </c>
      <c r="K403" s="7">
        <f>IF($V403="","",SUMIFS('Per Line'!$V$2:$V$1501,'Per Line'!$D$2:$D$1501,$B403,'Per Line'!$AN$2:$AN$1501,1))</f>
        <v/>
      </c>
      <c r="L403">
        <f>IF($V403="","",Settings!$C$7)</f>
        <v/>
      </c>
      <c r="M403" s="7">
        <f>IF($V403="","",SUMIFS('Per Line'!$V$2:$V$1501,'Per Line'!$D$2:$D$1501,$B403,'Per Line'!$AM$2:$AM$1501,0,'Per Line'!$AN$2:$AN$1501,0))</f>
        <v/>
      </c>
      <c r="N403" s="7">
        <f>IF($V403="","",M403*L403)</f>
        <v/>
      </c>
      <c r="O403">
        <f>IF($V403="","",Settings!$C$6)</f>
        <v/>
      </c>
      <c r="P403" s="7">
        <f>IF($V403="","",SUMIFS('Per Line'!$V$2:$V$1501,'Per Line'!$D$2:$D$1501,$B403,'Per Line'!$AM$2:$AM$1501,1,'Per Line'!$AN$2:$AN$1501,0))</f>
        <v/>
      </c>
      <c r="Q403" s="7">
        <f>IF($V403="","",P403*O403)</f>
        <v/>
      </c>
      <c r="R403" s="7">
        <f>IF($V403="","",Q403+N403)</f>
        <v/>
      </c>
      <c r="S403" s="7">
        <f>IF($V403="","",T403-R403)</f>
        <v/>
      </c>
      <c r="T403" s="7">
        <f>IF($V403="","",M403+P403+K403)</f>
        <v/>
      </c>
      <c r="U403" s="7">
        <f>IF($V403="","",T403-R403-J403)</f>
        <v/>
      </c>
      <c r="V403" s="13">
        <f>IF(ROWS($V$2:$V403)&lt;=MAX('Per Line'!$AL$2:$AL$1501),MATCH(ROWS($V$2:$V403),'Per Line'!$AL$2:$AL$1501,0),"")</f>
        <v/>
      </c>
    </row>
    <row r="404">
      <c r="A404" s="12" t="n"/>
      <c r="B404">
        <f>IF($V404="","",INDEX('Per Line'!$D$2:$D$1501,$V404)&amp;"")</f>
        <v/>
      </c>
      <c r="C404">
        <f>IF($V404="","",INDEX('Per Line'!$A$2:$A$1501,$V404))</f>
        <v/>
      </c>
      <c r="D404">
        <f>IF($V404="","",INDEX('Per Line'!$Z$2:$Z$1501,$V404)&amp;"")</f>
        <v/>
      </c>
      <c r="E404" s="11">
        <f>IF($V404="","",INDEX('Per Line'!$F$2:$F$1501,$V404))</f>
        <v/>
      </c>
      <c r="F404">
        <f>IF($V404="","",INDEX('Per Line'!$I$2:$I$1501,$V404)&amp;"")</f>
        <v/>
      </c>
      <c r="G404">
        <f>IF($V404="","",INDEX('Per Line'!$J$2:$J$1501,$V404)&amp;"")</f>
        <v/>
      </c>
      <c r="H404">
        <f>IF($V404="","",INDEX('Per Line'!$K$2:$K$1501,$V404)&amp;"")</f>
        <v/>
      </c>
      <c r="I404">
        <f>IF($V404="","",INDEX('Per Line'!$M$2:$M$1501,$V404))</f>
        <v/>
      </c>
      <c r="J404" s="7">
        <f>IF($V404="","",I404*T404/100)</f>
        <v/>
      </c>
      <c r="K404" s="7">
        <f>IF($V404="","",SUMIFS('Per Line'!$V$2:$V$1501,'Per Line'!$D$2:$D$1501,$B404,'Per Line'!$AN$2:$AN$1501,1))</f>
        <v/>
      </c>
      <c r="L404">
        <f>IF($V404="","",Settings!$C$7)</f>
        <v/>
      </c>
      <c r="M404" s="7">
        <f>IF($V404="","",SUMIFS('Per Line'!$V$2:$V$1501,'Per Line'!$D$2:$D$1501,$B404,'Per Line'!$AM$2:$AM$1501,0,'Per Line'!$AN$2:$AN$1501,0))</f>
        <v/>
      </c>
      <c r="N404" s="7">
        <f>IF($V404="","",M404*L404)</f>
        <v/>
      </c>
      <c r="O404">
        <f>IF($V404="","",Settings!$C$6)</f>
        <v/>
      </c>
      <c r="P404" s="7">
        <f>IF($V404="","",SUMIFS('Per Line'!$V$2:$V$1501,'Per Line'!$D$2:$D$1501,$B404,'Per Line'!$AM$2:$AM$1501,1,'Per Line'!$AN$2:$AN$1501,0))</f>
        <v/>
      </c>
      <c r="Q404" s="7">
        <f>IF($V404="","",P404*O404)</f>
        <v/>
      </c>
      <c r="R404" s="7">
        <f>IF($V404="","",Q404+N404)</f>
        <v/>
      </c>
      <c r="S404" s="7">
        <f>IF($V404="","",T404-R404)</f>
        <v/>
      </c>
      <c r="T404" s="7">
        <f>IF($V404="","",M404+P404+K404)</f>
        <v/>
      </c>
      <c r="U404" s="7">
        <f>IF($V404="","",T404-R404-J404)</f>
        <v/>
      </c>
      <c r="V404" s="13">
        <f>IF(ROWS($V$2:$V404)&lt;=MAX('Per Line'!$AL$2:$AL$1501),MATCH(ROWS($V$2:$V404),'Per Line'!$AL$2:$AL$1501,0),"")</f>
        <v/>
      </c>
    </row>
    <row r="405">
      <c r="A405" s="12" t="n"/>
      <c r="B405">
        <f>IF($V405="","",INDEX('Per Line'!$D$2:$D$1501,$V405)&amp;"")</f>
        <v/>
      </c>
      <c r="C405">
        <f>IF($V405="","",INDEX('Per Line'!$A$2:$A$1501,$V405))</f>
        <v/>
      </c>
      <c r="D405">
        <f>IF($V405="","",INDEX('Per Line'!$Z$2:$Z$1501,$V405)&amp;"")</f>
        <v/>
      </c>
      <c r="E405" s="11">
        <f>IF($V405="","",INDEX('Per Line'!$F$2:$F$1501,$V405))</f>
        <v/>
      </c>
      <c r="F405">
        <f>IF($V405="","",INDEX('Per Line'!$I$2:$I$1501,$V405)&amp;"")</f>
        <v/>
      </c>
      <c r="G405">
        <f>IF($V405="","",INDEX('Per Line'!$J$2:$J$1501,$V405)&amp;"")</f>
        <v/>
      </c>
      <c r="H405">
        <f>IF($V405="","",INDEX('Per Line'!$K$2:$K$1501,$V405)&amp;"")</f>
        <v/>
      </c>
      <c r="I405">
        <f>IF($V405="","",INDEX('Per Line'!$M$2:$M$1501,$V405))</f>
        <v/>
      </c>
      <c r="J405" s="7">
        <f>IF($V405="","",I405*T405/100)</f>
        <v/>
      </c>
      <c r="K405" s="7">
        <f>IF($V405="","",SUMIFS('Per Line'!$V$2:$V$1501,'Per Line'!$D$2:$D$1501,$B405,'Per Line'!$AN$2:$AN$1501,1))</f>
        <v/>
      </c>
      <c r="L405">
        <f>IF($V405="","",Settings!$C$7)</f>
        <v/>
      </c>
      <c r="M405" s="7">
        <f>IF($V405="","",SUMIFS('Per Line'!$V$2:$V$1501,'Per Line'!$D$2:$D$1501,$B405,'Per Line'!$AM$2:$AM$1501,0,'Per Line'!$AN$2:$AN$1501,0))</f>
        <v/>
      </c>
      <c r="N405" s="7">
        <f>IF($V405="","",M405*L405)</f>
        <v/>
      </c>
      <c r="O405">
        <f>IF($V405="","",Settings!$C$6)</f>
        <v/>
      </c>
      <c r="P405" s="7">
        <f>IF($V405="","",SUMIFS('Per Line'!$V$2:$V$1501,'Per Line'!$D$2:$D$1501,$B405,'Per Line'!$AM$2:$AM$1501,1,'Per Line'!$AN$2:$AN$1501,0))</f>
        <v/>
      </c>
      <c r="Q405" s="7">
        <f>IF($V405="","",P405*O405)</f>
        <v/>
      </c>
      <c r="R405" s="7">
        <f>IF($V405="","",Q405+N405)</f>
        <v/>
      </c>
      <c r="S405" s="7">
        <f>IF($V405="","",T405-R405)</f>
        <v/>
      </c>
      <c r="T405" s="7">
        <f>IF($V405="","",M405+P405+K405)</f>
        <v/>
      </c>
      <c r="U405" s="7">
        <f>IF($V405="","",T405-R405-J405)</f>
        <v/>
      </c>
      <c r="V405" s="13">
        <f>IF(ROWS($V$2:$V405)&lt;=MAX('Per Line'!$AL$2:$AL$1501),MATCH(ROWS($V$2:$V405),'Per Line'!$AL$2:$AL$1501,0),"")</f>
        <v/>
      </c>
    </row>
    <row r="406">
      <c r="A406" s="12" t="n"/>
      <c r="B406">
        <f>IF($V406="","",INDEX('Per Line'!$D$2:$D$1501,$V406)&amp;"")</f>
        <v/>
      </c>
      <c r="C406">
        <f>IF($V406="","",INDEX('Per Line'!$A$2:$A$1501,$V406))</f>
        <v/>
      </c>
      <c r="D406">
        <f>IF($V406="","",INDEX('Per Line'!$Z$2:$Z$1501,$V406)&amp;"")</f>
        <v/>
      </c>
      <c r="E406" s="11">
        <f>IF($V406="","",INDEX('Per Line'!$F$2:$F$1501,$V406))</f>
        <v/>
      </c>
      <c r="F406">
        <f>IF($V406="","",INDEX('Per Line'!$I$2:$I$1501,$V406)&amp;"")</f>
        <v/>
      </c>
      <c r="G406">
        <f>IF($V406="","",INDEX('Per Line'!$J$2:$J$1501,$V406)&amp;"")</f>
        <v/>
      </c>
      <c r="H406">
        <f>IF($V406="","",INDEX('Per Line'!$K$2:$K$1501,$V406)&amp;"")</f>
        <v/>
      </c>
      <c r="I406">
        <f>IF($V406="","",INDEX('Per Line'!$M$2:$M$1501,$V406))</f>
        <v/>
      </c>
      <c r="J406" s="7">
        <f>IF($V406="","",I406*T406/100)</f>
        <v/>
      </c>
      <c r="K406" s="7">
        <f>IF($V406="","",SUMIFS('Per Line'!$V$2:$V$1501,'Per Line'!$D$2:$D$1501,$B406,'Per Line'!$AN$2:$AN$1501,1))</f>
        <v/>
      </c>
      <c r="L406">
        <f>IF($V406="","",Settings!$C$7)</f>
        <v/>
      </c>
      <c r="M406" s="7">
        <f>IF($V406="","",SUMIFS('Per Line'!$V$2:$V$1501,'Per Line'!$D$2:$D$1501,$B406,'Per Line'!$AM$2:$AM$1501,0,'Per Line'!$AN$2:$AN$1501,0))</f>
        <v/>
      </c>
      <c r="N406" s="7">
        <f>IF($V406="","",M406*L406)</f>
        <v/>
      </c>
      <c r="O406">
        <f>IF($V406="","",Settings!$C$6)</f>
        <v/>
      </c>
      <c r="P406" s="7">
        <f>IF($V406="","",SUMIFS('Per Line'!$V$2:$V$1501,'Per Line'!$D$2:$D$1501,$B406,'Per Line'!$AM$2:$AM$1501,1,'Per Line'!$AN$2:$AN$1501,0))</f>
        <v/>
      </c>
      <c r="Q406" s="7">
        <f>IF($V406="","",P406*O406)</f>
        <v/>
      </c>
      <c r="R406" s="7">
        <f>IF($V406="","",Q406+N406)</f>
        <v/>
      </c>
      <c r="S406" s="7">
        <f>IF($V406="","",T406-R406)</f>
        <v/>
      </c>
      <c r="T406" s="7">
        <f>IF($V406="","",M406+P406+K406)</f>
        <v/>
      </c>
      <c r="U406" s="7">
        <f>IF($V406="","",T406-R406-J406)</f>
        <v/>
      </c>
      <c r="V406" s="13">
        <f>IF(ROWS($V$2:$V406)&lt;=MAX('Per Line'!$AL$2:$AL$1501),MATCH(ROWS($V$2:$V406),'Per Line'!$AL$2:$AL$1501,0),"")</f>
        <v/>
      </c>
    </row>
    <row r="407">
      <c r="A407" s="12" t="n"/>
      <c r="B407">
        <f>IF($V407="","",INDEX('Per Line'!$D$2:$D$1501,$V407)&amp;"")</f>
        <v/>
      </c>
      <c r="C407">
        <f>IF($V407="","",INDEX('Per Line'!$A$2:$A$1501,$V407))</f>
        <v/>
      </c>
      <c r="D407">
        <f>IF($V407="","",INDEX('Per Line'!$Z$2:$Z$1501,$V407)&amp;"")</f>
        <v/>
      </c>
      <c r="E407" s="11">
        <f>IF($V407="","",INDEX('Per Line'!$F$2:$F$1501,$V407))</f>
        <v/>
      </c>
      <c r="F407">
        <f>IF($V407="","",INDEX('Per Line'!$I$2:$I$1501,$V407)&amp;"")</f>
        <v/>
      </c>
      <c r="G407">
        <f>IF($V407="","",INDEX('Per Line'!$J$2:$J$1501,$V407)&amp;"")</f>
        <v/>
      </c>
      <c r="H407">
        <f>IF($V407="","",INDEX('Per Line'!$K$2:$K$1501,$V407)&amp;"")</f>
        <v/>
      </c>
      <c r="I407">
        <f>IF($V407="","",INDEX('Per Line'!$M$2:$M$1501,$V407))</f>
        <v/>
      </c>
      <c r="J407" s="7">
        <f>IF($V407="","",I407*T407/100)</f>
        <v/>
      </c>
      <c r="K407" s="7">
        <f>IF($V407="","",SUMIFS('Per Line'!$V$2:$V$1501,'Per Line'!$D$2:$D$1501,$B407,'Per Line'!$AN$2:$AN$1501,1))</f>
        <v/>
      </c>
      <c r="L407">
        <f>IF($V407="","",Settings!$C$7)</f>
        <v/>
      </c>
      <c r="M407" s="7">
        <f>IF($V407="","",SUMIFS('Per Line'!$V$2:$V$1501,'Per Line'!$D$2:$D$1501,$B407,'Per Line'!$AM$2:$AM$1501,0,'Per Line'!$AN$2:$AN$1501,0))</f>
        <v/>
      </c>
      <c r="N407" s="7">
        <f>IF($V407="","",M407*L407)</f>
        <v/>
      </c>
      <c r="O407">
        <f>IF($V407="","",Settings!$C$6)</f>
        <v/>
      </c>
      <c r="P407" s="7">
        <f>IF($V407="","",SUMIFS('Per Line'!$V$2:$V$1501,'Per Line'!$D$2:$D$1501,$B407,'Per Line'!$AM$2:$AM$1501,1,'Per Line'!$AN$2:$AN$1501,0))</f>
        <v/>
      </c>
      <c r="Q407" s="7">
        <f>IF($V407="","",P407*O407)</f>
        <v/>
      </c>
      <c r="R407" s="7">
        <f>IF($V407="","",Q407+N407)</f>
        <v/>
      </c>
      <c r="S407" s="7">
        <f>IF($V407="","",T407-R407)</f>
        <v/>
      </c>
      <c r="T407" s="7">
        <f>IF($V407="","",M407+P407+K407)</f>
        <v/>
      </c>
      <c r="U407" s="7">
        <f>IF($V407="","",T407-R407-J407)</f>
        <v/>
      </c>
      <c r="V407" s="13">
        <f>IF(ROWS($V$2:$V407)&lt;=MAX('Per Line'!$AL$2:$AL$1501),MATCH(ROWS($V$2:$V407),'Per Line'!$AL$2:$AL$1501,0),"")</f>
        <v/>
      </c>
    </row>
    <row r="408">
      <c r="A408" s="12" t="n"/>
      <c r="B408">
        <f>IF($V408="","",INDEX('Per Line'!$D$2:$D$1501,$V408)&amp;"")</f>
        <v/>
      </c>
      <c r="C408">
        <f>IF($V408="","",INDEX('Per Line'!$A$2:$A$1501,$V408))</f>
        <v/>
      </c>
      <c r="D408">
        <f>IF($V408="","",INDEX('Per Line'!$Z$2:$Z$1501,$V408)&amp;"")</f>
        <v/>
      </c>
      <c r="E408" s="11">
        <f>IF($V408="","",INDEX('Per Line'!$F$2:$F$1501,$V408))</f>
        <v/>
      </c>
      <c r="F408">
        <f>IF($V408="","",INDEX('Per Line'!$I$2:$I$1501,$V408)&amp;"")</f>
        <v/>
      </c>
      <c r="G408">
        <f>IF($V408="","",INDEX('Per Line'!$J$2:$J$1501,$V408)&amp;"")</f>
        <v/>
      </c>
      <c r="H408">
        <f>IF($V408="","",INDEX('Per Line'!$K$2:$K$1501,$V408)&amp;"")</f>
        <v/>
      </c>
      <c r="I408">
        <f>IF($V408="","",INDEX('Per Line'!$M$2:$M$1501,$V408))</f>
        <v/>
      </c>
      <c r="J408" s="7">
        <f>IF($V408="","",I408*T408/100)</f>
        <v/>
      </c>
      <c r="K408" s="7">
        <f>IF($V408="","",SUMIFS('Per Line'!$V$2:$V$1501,'Per Line'!$D$2:$D$1501,$B408,'Per Line'!$AN$2:$AN$1501,1))</f>
        <v/>
      </c>
      <c r="L408">
        <f>IF($V408="","",Settings!$C$7)</f>
        <v/>
      </c>
      <c r="M408" s="7">
        <f>IF($V408="","",SUMIFS('Per Line'!$V$2:$V$1501,'Per Line'!$D$2:$D$1501,$B408,'Per Line'!$AM$2:$AM$1501,0,'Per Line'!$AN$2:$AN$1501,0))</f>
        <v/>
      </c>
      <c r="N408" s="7">
        <f>IF($V408="","",M408*L408)</f>
        <v/>
      </c>
      <c r="O408">
        <f>IF($V408="","",Settings!$C$6)</f>
        <v/>
      </c>
      <c r="P408" s="7">
        <f>IF($V408="","",SUMIFS('Per Line'!$V$2:$V$1501,'Per Line'!$D$2:$D$1501,$B408,'Per Line'!$AM$2:$AM$1501,1,'Per Line'!$AN$2:$AN$1501,0))</f>
        <v/>
      </c>
      <c r="Q408" s="7">
        <f>IF($V408="","",P408*O408)</f>
        <v/>
      </c>
      <c r="R408" s="7">
        <f>IF($V408="","",Q408+N408)</f>
        <v/>
      </c>
      <c r="S408" s="7">
        <f>IF($V408="","",T408-R408)</f>
        <v/>
      </c>
      <c r="T408" s="7">
        <f>IF($V408="","",M408+P408+K408)</f>
        <v/>
      </c>
      <c r="U408" s="7">
        <f>IF($V408="","",T408-R408-J408)</f>
        <v/>
      </c>
      <c r="V408" s="13">
        <f>IF(ROWS($V$2:$V408)&lt;=MAX('Per Line'!$AL$2:$AL$1501),MATCH(ROWS($V$2:$V408),'Per Line'!$AL$2:$AL$1501,0),"")</f>
        <v/>
      </c>
    </row>
    <row r="409">
      <c r="A409" s="12" t="n"/>
      <c r="B409">
        <f>IF($V409="","",INDEX('Per Line'!$D$2:$D$1501,$V409)&amp;"")</f>
        <v/>
      </c>
      <c r="C409">
        <f>IF($V409="","",INDEX('Per Line'!$A$2:$A$1501,$V409))</f>
        <v/>
      </c>
      <c r="D409">
        <f>IF($V409="","",INDEX('Per Line'!$Z$2:$Z$1501,$V409)&amp;"")</f>
        <v/>
      </c>
      <c r="E409" s="11">
        <f>IF($V409="","",INDEX('Per Line'!$F$2:$F$1501,$V409))</f>
        <v/>
      </c>
      <c r="F409">
        <f>IF($V409="","",INDEX('Per Line'!$I$2:$I$1501,$V409)&amp;"")</f>
        <v/>
      </c>
      <c r="G409">
        <f>IF($V409="","",INDEX('Per Line'!$J$2:$J$1501,$V409)&amp;"")</f>
        <v/>
      </c>
      <c r="H409">
        <f>IF($V409="","",INDEX('Per Line'!$K$2:$K$1501,$V409)&amp;"")</f>
        <v/>
      </c>
      <c r="I409">
        <f>IF($V409="","",INDEX('Per Line'!$M$2:$M$1501,$V409))</f>
        <v/>
      </c>
      <c r="J409" s="7">
        <f>IF($V409="","",I409*T409/100)</f>
        <v/>
      </c>
      <c r="K409" s="7">
        <f>IF($V409="","",SUMIFS('Per Line'!$V$2:$V$1501,'Per Line'!$D$2:$D$1501,$B409,'Per Line'!$AN$2:$AN$1501,1))</f>
        <v/>
      </c>
      <c r="L409">
        <f>IF($V409="","",Settings!$C$7)</f>
        <v/>
      </c>
      <c r="M409" s="7">
        <f>IF($V409="","",SUMIFS('Per Line'!$V$2:$V$1501,'Per Line'!$D$2:$D$1501,$B409,'Per Line'!$AM$2:$AM$1501,0,'Per Line'!$AN$2:$AN$1501,0))</f>
        <v/>
      </c>
      <c r="N409" s="7">
        <f>IF($V409="","",M409*L409)</f>
        <v/>
      </c>
      <c r="O409">
        <f>IF($V409="","",Settings!$C$6)</f>
        <v/>
      </c>
      <c r="P409" s="7">
        <f>IF($V409="","",SUMIFS('Per Line'!$V$2:$V$1501,'Per Line'!$D$2:$D$1501,$B409,'Per Line'!$AM$2:$AM$1501,1,'Per Line'!$AN$2:$AN$1501,0))</f>
        <v/>
      </c>
      <c r="Q409" s="7">
        <f>IF($V409="","",P409*O409)</f>
        <v/>
      </c>
      <c r="R409" s="7">
        <f>IF($V409="","",Q409+N409)</f>
        <v/>
      </c>
      <c r="S409" s="7">
        <f>IF($V409="","",T409-R409)</f>
        <v/>
      </c>
      <c r="T409" s="7">
        <f>IF($V409="","",M409+P409+K409)</f>
        <v/>
      </c>
      <c r="U409" s="7">
        <f>IF($V409="","",T409-R409-J409)</f>
        <v/>
      </c>
      <c r="V409" s="13">
        <f>IF(ROWS($V$2:$V409)&lt;=MAX('Per Line'!$AL$2:$AL$1501),MATCH(ROWS($V$2:$V409),'Per Line'!$AL$2:$AL$1501,0),"")</f>
        <v/>
      </c>
    </row>
    <row r="410">
      <c r="A410" s="12" t="n"/>
      <c r="B410">
        <f>IF($V410="","",INDEX('Per Line'!$D$2:$D$1501,$V410)&amp;"")</f>
        <v/>
      </c>
      <c r="C410">
        <f>IF($V410="","",INDEX('Per Line'!$A$2:$A$1501,$V410))</f>
        <v/>
      </c>
      <c r="D410">
        <f>IF($V410="","",INDEX('Per Line'!$Z$2:$Z$1501,$V410)&amp;"")</f>
        <v/>
      </c>
      <c r="E410" s="11">
        <f>IF($V410="","",INDEX('Per Line'!$F$2:$F$1501,$V410))</f>
        <v/>
      </c>
      <c r="F410">
        <f>IF($V410="","",INDEX('Per Line'!$I$2:$I$1501,$V410)&amp;"")</f>
        <v/>
      </c>
      <c r="G410">
        <f>IF($V410="","",INDEX('Per Line'!$J$2:$J$1501,$V410)&amp;"")</f>
        <v/>
      </c>
      <c r="H410">
        <f>IF($V410="","",INDEX('Per Line'!$K$2:$K$1501,$V410)&amp;"")</f>
        <v/>
      </c>
      <c r="I410">
        <f>IF($V410="","",INDEX('Per Line'!$M$2:$M$1501,$V410))</f>
        <v/>
      </c>
      <c r="J410" s="7">
        <f>IF($V410="","",I410*T410/100)</f>
        <v/>
      </c>
      <c r="K410" s="7">
        <f>IF($V410="","",SUMIFS('Per Line'!$V$2:$V$1501,'Per Line'!$D$2:$D$1501,$B410,'Per Line'!$AN$2:$AN$1501,1))</f>
        <v/>
      </c>
      <c r="L410">
        <f>IF($V410="","",Settings!$C$7)</f>
        <v/>
      </c>
      <c r="M410" s="7">
        <f>IF($V410="","",SUMIFS('Per Line'!$V$2:$V$1501,'Per Line'!$D$2:$D$1501,$B410,'Per Line'!$AM$2:$AM$1501,0,'Per Line'!$AN$2:$AN$1501,0))</f>
        <v/>
      </c>
      <c r="N410" s="7">
        <f>IF($V410="","",M410*L410)</f>
        <v/>
      </c>
      <c r="O410">
        <f>IF($V410="","",Settings!$C$6)</f>
        <v/>
      </c>
      <c r="P410" s="7">
        <f>IF($V410="","",SUMIFS('Per Line'!$V$2:$V$1501,'Per Line'!$D$2:$D$1501,$B410,'Per Line'!$AM$2:$AM$1501,1,'Per Line'!$AN$2:$AN$1501,0))</f>
        <v/>
      </c>
      <c r="Q410" s="7">
        <f>IF($V410="","",P410*O410)</f>
        <v/>
      </c>
      <c r="R410" s="7">
        <f>IF($V410="","",Q410+N410)</f>
        <v/>
      </c>
      <c r="S410" s="7">
        <f>IF($V410="","",T410-R410)</f>
        <v/>
      </c>
      <c r="T410" s="7">
        <f>IF($V410="","",M410+P410+K410)</f>
        <v/>
      </c>
      <c r="U410" s="7">
        <f>IF($V410="","",T410-R410-J410)</f>
        <v/>
      </c>
      <c r="V410" s="13">
        <f>IF(ROWS($V$2:$V410)&lt;=MAX('Per Line'!$AL$2:$AL$1501),MATCH(ROWS($V$2:$V410),'Per Line'!$AL$2:$AL$1501,0),"")</f>
        <v/>
      </c>
    </row>
    <row r="411">
      <c r="A411" s="12" t="n"/>
      <c r="B411">
        <f>IF($V411="","",INDEX('Per Line'!$D$2:$D$1501,$V411)&amp;"")</f>
        <v/>
      </c>
      <c r="C411">
        <f>IF($V411="","",INDEX('Per Line'!$A$2:$A$1501,$V411))</f>
        <v/>
      </c>
      <c r="D411">
        <f>IF($V411="","",INDEX('Per Line'!$Z$2:$Z$1501,$V411)&amp;"")</f>
        <v/>
      </c>
      <c r="E411" s="11">
        <f>IF($V411="","",INDEX('Per Line'!$F$2:$F$1501,$V411))</f>
        <v/>
      </c>
      <c r="F411">
        <f>IF($V411="","",INDEX('Per Line'!$I$2:$I$1501,$V411)&amp;"")</f>
        <v/>
      </c>
      <c r="G411">
        <f>IF($V411="","",INDEX('Per Line'!$J$2:$J$1501,$V411)&amp;"")</f>
        <v/>
      </c>
      <c r="H411">
        <f>IF($V411="","",INDEX('Per Line'!$K$2:$K$1501,$V411)&amp;"")</f>
        <v/>
      </c>
      <c r="I411">
        <f>IF($V411="","",INDEX('Per Line'!$M$2:$M$1501,$V411))</f>
        <v/>
      </c>
      <c r="J411" s="7">
        <f>IF($V411="","",I411*T411/100)</f>
        <v/>
      </c>
      <c r="K411" s="7">
        <f>IF($V411="","",SUMIFS('Per Line'!$V$2:$V$1501,'Per Line'!$D$2:$D$1501,$B411,'Per Line'!$AN$2:$AN$1501,1))</f>
        <v/>
      </c>
      <c r="L411">
        <f>IF($V411="","",Settings!$C$7)</f>
        <v/>
      </c>
      <c r="M411" s="7">
        <f>IF($V411="","",SUMIFS('Per Line'!$V$2:$V$1501,'Per Line'!$D$2:$D$1501,$B411,'Per Line'!$AM$2:$AM$1501,0,'Per Line'!$AN$2:$AN$1501,0))</f>
        <v/>
      </c>
      <c r="N411" s="7">
        <f>IF($V411="","",M411*L411)</f>
        <v/>
      </c>
      <c r="O411">
        <f>IF($V411="","",Settings!$C$6)</f>
        <v/>
      </c>
      <c r="P411" s="7">
        <f>IF($V411="","",SUMIFS('Per Line'!$V$2:$V$1501,'Per Line'!$D$2:$D$1501,$B411,'Per Line'!$AM$2:$AM$1501,1,'Per Line'!$AN$2:$AN$1501,0))</f>
        <v/>
      </c>
      <c r="Q411" s="7">
        <f>IF($V411="","",P411*O411)</f>
        <v/>
      </c>
      <c r="R411" s="7">
        <f>IF($V411="","",Q411+N411)</f>
        <v/>
      </c>
      <c r="S411" s="7">
        <f>IF($V411="","",T411-R411)</f>
        <v/>
      </c>
      <c r="T411" s="7">
        <f>IF($V411="","",M411+P411+K411)</f>
        <v/>
      </c>
      <c r="U411" s="7">
        <f>IF($V411="","",T411-R411-J411)</f>
        <v/>
      </c>
      <c r="V411" s="13">
        <f>IF(ROWS($V$2:$V411)&lt;=MAX('Per Line'!$AL$2:$AL$1501),MATCH(ROWS($V$2:$V411),'Per Line'!$AL$2:$AL$1501,0),"")</f>
        <v/>
      </c>
    </row>
    <row r="412">
      <c r="A412" s="12" t="n"/>
      <c r="B412">
        <f>IF($V412="","",INDEX('Per Line'!$D$2:$D$1501,$V412)&amp;"")</f>
        <v/>
      </c>
      <c r="C412">
        <f>IF($V412="","",INDEX('Per Line'!$A$2:$A$1501,$V412))</f>
        <v/>
      </c>
      <c r="D412">
        <f>IF($V412="","",INDEX('Per Line'!$Z$2:$Z$1501,$V412)&amp;"")</f>
        <v/>
      </c>
      <c r="E412" s="11">
        <f>IF($V412="","",INDEX('Per Line'!$F$2:$F$1501,$V412))</f>
        <v/>
      </c>
      <c r="F412">
        <f>IF($V412="","",INDEX('Per Line'!$I$2:$I$1501,$V412)&amp;"")</f>
        <v/>
      </c>
      <c r="G412">
        <f>IF($V412="","",INDEX('Per Line'!$J$2:$J$1501,$V412)&amp;"")</f>
        <v/>
      </c>
      <c r="H412">
        <f>IF($V412="","",INDEX('Per Line'!$K$2:$K$1501,$V412)&amp;"")</f>
        <v/>
      </c>
      <c r="I412">
        <f>IF($V412="","",INDEX('Per Line'!$M$2:$M$1501,$V412))</f>
        <v/>
      </c>
      <c r="J412" s="7">
        <f>IF($V412="","",I412*T412/100)</f>
        <v/>
      </c>
      <c r="K412" s="7">
        <f>IF($V412="","",SUMIFS('Per Line'!$V$2:$V$1501,'Per Line'!$D$2:$D$1501,$B412,'Per Line'!$AN$2:$AN$1501,1))</f>
        <v/>
      </c>
      <c r="L412">
        <f>IF($V412="","",Settings!$C$7)</f>
        <v/>
      </c>
      <c r="M412" s="7">
        <f>IF($V412="","",SUMIFS('Per Line'!$V$2:$V$1501,'Per Line'!$D$2:$D$1501,$B412,'Per Line'!$AM$2:$AM$1501,0,'Per Line'!$AN$2:$AN$1501,0))</f>
        <v/>
      </c>
      <c r="N412" s="7">
        <f>IF($V412="","",M412*L412)</f>
        <v/>
      </c>
      <c r="O412">
        <f>IF($V412="","",Settings!$C$6)</f>
        <v/>
      </c>
      <c r="P412" s="7">
        <f>IF($V412="","",SUMIFS('Per Line'!$V$2:$V$1501,'Per Line'!$D$2:$D$1501,$B412,'Per Line'!$AM$2:$AM$1501,1,'Per Line'!$AN$2:$AN$1501,0))</f>
        <v/>
      </c>
      <c r="Q412" s="7">
        <f>IF($V412="","",P412*O412)</f>
        <v/>
      </c>
      <c r="R412" s="7">
        <f>IF($V412="","",Q412+N412)</f>
        <v/>
      </c>
      <c r="S412" s="7">
        <f>IF($V412="","",T412-R412)</f>
        <v/>
      </c>
      <c r="T412" s="7">
        <f>IF($V412="","",M412+P412+K412)</f>
        <v/>
      </c>
      <c r="U412" s="7">
        <f>IF($V412="","",T412-R412-J412)</f>
        <v/>
      </c>
      <c r="V412" s="13">
        <f>IF(ROWS($V$2:$V412)&lt;=MAX('Per Line'!$AL$2:$AL$1501),MATCH(ROWS($V$2:$V412),'Per Line'!$AL$2:$AL$1501,0),"")</f>
        <v/>
      </c>
    </row>
    <row r="413">
      <c r="A413" s="12" t="n"/>
      <c r="B413">
        <f>IF($V413="","",INDEX('Per Line'!$D$2:$D$1501,$V413)&amp;"")</f>
        <v/>
      </c>
      <c r="C413">
        <f>IF($V413="","",INDEX('Per Line'!$A$2:$A$1501,$V413))</f>
        <v/>
      </c>
      <c r="D413">
        <f>IF($V413="","",INDEX('Per Line'!$Z$2:$Z$1501,$V413)&amp;"")</f>
        <v/>
      </c>
      <c r="E413" s="11">
        <f>IF($V413="","",INDEX('Per Line'!$F$2:$F$1501,$V413))</f>
        <v/>
      </c>
      <c r="F413">
        <f>IF($V413="","",INDEX('Per Line'!$I$2:$I$1501,$V413)&amp;"")</f>
        <v/>
      </c>
      <c r="G413">
        <f>IF($V413="","",INDEX('Per Line'!$J$2:$J$1501,$V413)&amp;"")</f>
        <v/>
      </c>
      <c r="H413">
        <f>IF($V413="","",INDEX('Per Line'!$K$2:$K$1501,$V413)&amp;"")</f>
        <v/>
      </c>
      <c r="I413">
        <f>IF($V413="","",INDEX('Per Line'!$M$2:$M$1501,$V413))</f>
        <v/>
      </c>
      <c r="J413" s="7">
        <f>IF($V413="","",I413*T413/100)</f>
        <v/>
      </c>
      <c r="K413" s="7">
        <f>IF($V413="","",SUMIFS('Per Line'!$V$2:$V$1501,'Per Line'!$D$2:$D$1501,$B413,'Per Line'!$AN$2:$AN$1501,1))</f>
        <v/>
      </c>
      <c r="L413">
        <f>IF($V413="","",Settings!$C$7)</f>
        <v/>
      </c>
      <c r="M413" s="7">
        <f>IF($V413="","",SUMIFS('Per Line'!$V$2:$V$1501,'Per Line'!$D$2:$D$1501,$B413,'Per Line'!$AM$2:$AM$1501,0,'Per Line'!$AN$2:$AN$1501,0))</f>
        <v/>
      </c>
      <c r="N413" s="7">
        <f>IF($V413="","",M413*L413)</f>
        <v/>
      </c>
      <c r="O413">
        <f>IF($V413="","",Settings!$C$6)</f>
        <v/>
      </c>
      <c r="P413" s="7">
        <f>IF($V413="","",SUMIFS('Per Line'!$V$2:$V$1501,'Per Line'!$D$2:$D$1501,$B413,'Per Line'!$AM$2:$AM$1501,1,'Per Line'!$AN$2:$AN$1501,0))</f>
        <v/>
      </c>
      <c r="Q413" s="7">
        <f>IF($V413="","",P413*O413)</f>
        <v/>
      </c>
      <c r="R413" s="7">
        <f>IF($V413="","",Q413+N413)</f>
        <v/>
      </c>
      <c r="S413" s="7">
        <f>IF($V413="","",T413-R413)</f>
        <v/>
      </c>
      <c r="T413" s="7">
        <f>IF($V413="","",M413+P413+K413)</f>
        <v/>
      </c>
      <c r="U413" s="7">
        <f>IF($V413="","",T413-R413-J413)</f>
        <v/>
      </c>
      <c r="V413" s="13">
        <f>IF(ROWS($V$2:$V413)&lt;=MAX('Per Line'!$AL$2:$AL$1501),MATCH(ROWS($V$2:$V413),'Per Line'!$AL$2:$AL$1501,0),"")</f>
        <v/>
      </c>
    </row>
    <row r="414">
      <c r="A414" s="12" t="n"/>
      <c r="B414">
        <f>IF($V414="","",INDEX('Per Line'!$D$2:$D$1501,$V414)&amp;"")</f>
        <v/>
      </c>
      <c r="C414">
        <f>IF($V414="","",INDEX('Per Line'!$A$2:$A$1501,$V414))</f>
        <v/>
      </c>
      <c r="D414">
        <f>IF($V414="","",INDEX('Per Line'!$Z$2:$Z$1501,$V414)&amp;"")</f>
        <v/>
      </c>
      <c r="E414" s="11">
        <f>IF($V414="","",INDEX('Per Line'!$F$2:$F$1501,$V414))</f>
        <v/>
      </c>
      <c r="F414">
        <f>IF($V414="","",INDEX('Per Line'!$I$2:$I$1501,$V414)&amp;"")</f>
        <v/>
      </c>
      <c r="G414">
        <f>IF($V414="","",INDEX('Per Line'!$J$2:$J$1501,$V414)&amp;"")</f>
        <v/>
      </c>
      <c r="H414">
        <f>IF($V414="","",INDEX('Per Line'!$K$2:$K$1501,$V414)&amp;"")</f>
        <v/>
      </c>
      <c r="I414">
        <f>IF($V414="","",INDEX('Per Line'!$M$2:$M$1501,$V414))</f>
        <v/>
      </c>
      <c r="J414" s="7">
        <f>IF($V414="","",I414*T414/100)</f>
        <v/>
      </c>
      <c r="K414" s="7">
        <f>IF($V414="","",SUMIFS('Per Line'!$V$2:$V$1501,'Per Line'!$D$2:$D$1501,$B414,'Per Line'!$AN$2:$AN$1501,1))</f>
        <v/>
      </c>
      <c r="L414">
        <f>IF($V414="","",Settings!$C$7)</f>
        <v/>
      </c>
      <c r="M414" s="7">
        <f>IF($V414="","",SUMIFS('Per Line'!$V$2:$V$1501,'Per Line'!$D$2:$D$1501,$B414,'Per Line'!$AM$2:$AM$1501,0,'Per Line'!$AN$2:$AN$1501,0))</f>
        <v/>
      </c>
      <c r="N414" s="7">
        <f>IF($V414="","",M414*L414)</f>
        <v/>
      </c>
      <c r="O414">
        <f>IF($V414="","",Settings!$C$6)</f>
        <v/>
      </c>
      <c r="P414" s="7">
        <f>IF($V414="","",SUMIFS('Per Line'!$V$2:$V$1501,'Per Line'!$D$2:$D$1501,$B414,'Per Line'!$AM$2:$AM$1501,1,'Per Line'!$AN$2:$AN$1501,0))</f>
        <v/>
      </c>
      <c r="Q414" s="7">
        <f>IF($V414="","",P414*O414)</f>
        <v/>
      </c>
      <c r="R414" s="7">
        <f>IF($V414="","",Q414+N414)</f>
        <v/>
      </c>
      <c r="S414" s="7">
        <f>IF($V414="","",T414-R414)</f>
        <v/>
      </c>
      <c r="T414" s="7">
        <f>IF($V414="","",M414+P414+K414)</f>
        <v/>
      </c>
      <c r="U414" s="7">
        <f>IF($V414="","",T414-R414-J414)</f>
        <v/>
      </c>
      <c r="V414" s="13">
        <f>IF(ROWS($V$2:$V414)&lt;=MAX('Per Line'!$AL$2:$AL$1501),MATCH(ROWS($V$2:$V414),'Per Line'!$AL$2:$AL$1501,0),"")</f>
        <v/>
      </c>
    </row>
    <row r="415">
      <c r="A415" s="12" t="n"/>
      <c r="B415">
        <f>IF($V415="","",INDEX('Per Line'!$D$2:$D$1501,$V415)&amp;"")</f>
        <v/>
      </c>
      <c r="C415">
        <f>IF($V415="","",INDEX('Per Line'!$A$2:$A$1501,$V415))</f>
        <v/>
      </c>
      <c r="D415">
        <f>IF($V415="","",INDEX('Per Line'!$Z$2:$Z$1501,$V415)&amp;"")</f>
        <v/>
      </c>
      <c r="E415" s="11">
        <f>IF($V415="","",INDEX('Per Line'!$F$2:$F$1501,$V415))</f>
        <v/>
      </c>
      <c r="F415">
        <f>IF($V415="","",INDEX('Per Line'!$I$2:$I$1501,$V415)&amp;"")</f>
        <v/>
      </c>
      <c r="G415">
        <f>IF($V415="","",INDEX('Per Line'!$J$2:$J$1501,$V415)&amp;"")</f>
        <v/>
      </c>
      <c r="H415">
        <f>IF($V415="","",INDEX('Per Line'!$K$2:$K$1501,$V415)&amp;"")</f>
        <v/>
      </c>
      <c r="I415">
        <f>IF($V415="","",INDEX('Per Line'!$M$2:$M$1501,$V415))</f>
        <v/>
      </c>
      <c r="J415" s="7">
        <f>IF($V415="","",I415*T415/100)</f>
        <v/>
      </c>
      <c r="K415" s="7">
        <f>IF($V415="","",SUMIFS('Per Line'!$V$2:$V$1501,'Per Line'!$D$2:$D$1501,$B415,'Per Line'!$AN$2:$AN$1501,1))</f>
        <v/>
      </c>
      <c r="L415">
        <f>IF($V415="","",Settings!$C$7)</f>
        <v/>
      </c>
      <c r="M415" s="7">
        <f>IF($V415="","",SUMIFS('Per Line'!$V$2:$V$1501,'Per Line'!$D$2:$D$1501,$B415,'Per Line'!$AM$2:$AM$1501,0,'Per Line'!$AN$2:$AN$1501,0))</f>
        <v/>
      </c>
      <c r="N415" s="7">
        <f>IF($V415="","",M415*L415)</f>
        <v/>
      </c>
      <c r="O415">
        <f>IF($V415="","",Settings!$C$6)</f>
        <v/>
      </c>
      <c r="P415" s="7">
        <f>IF($V415="","",SUMIFS('Per Line'!$V$2:$V$1501,'Per Line'!$D$2:$D$1501,$B415,'Per Line'!$AM$2:$AM$1501,1,'Per Line'!$AN$2:$AN$1501,0))</f>
        <v/>
      </c>
      <c r="Q415" s="7">
        <f>IF($V415="","",P415*O415)</f>
        <v/>
      </c>
      <c r="R415" s="7">
        <f>IF($V415="","",Q415+N415)</f>
        <v/>
      </c>
      <c r="S415" s="7">
        <f>IF($V415="","",T415-R415)</f>
        <v/>
      </c>
      <c r="T415" s="7">
        <f>IF($V415="","",M415+P415+K415)</f>
        <v/>
      </c>
      <c r="U415" s="7">
        <f>IF($V415="","",T415-R415-J415)</f>
        <v/>
      </c>
      <c r="V415" s="13">
        <f>IF(ROWS($V$2:$V415)&lt;=MAX('Per Line'!$AL$2:$AL$1501),MATCH(ROWS($V$2:$V415),'Per Line'!$AL$2:$AL$1501,0),"")</f>
        <v/>
      </c>
    </row>
    <row r="416">
      <c r="A416" s="12" t="n"/>
      <c r="B416">
        <f>IF($V416="","",INDEX('Per Line'!$D$2:$D$1501,$V416)&amp;"")</f>
        <v/>
      </c>
      <c r="C416">
        <f>IF($V416="","",INDEX('Per Line'!$A$2:$A$1501,$V416))</f>
        <v/>
      </c>
      <c r="D416">
        <f>IF($V416="","",INDEX('Per Line'!$Z$2:$Z$1501,$V416)&amp;"")</f>
        <v/>
      </c>
      <c r="E416" s="11">
        <f>IF($V416="","",INDEX('Per Line'!$F$2:$F$1501,$V416))</f>
        <v/>
      </c>
      <c r="F416">
        <f>IF($V416="","",INDEX('Per Line'!$I$2:$I$1501,$V416)&amp;"")</f>
        <v/>
      </c>
      <c r="G416">
        <f>IF($V416="","",INDEX('Per Line'!$J$2:$J$1501,$V416)&amp;"")</f>
        <v/>
      </c>
      <c r="H416">
        <f>IF($V416="","",INDEX('Per Line'!$K$2:$K$1501,$V416)&amp;"")</f>
        <v/>
      </c>
      <c r="I416">
        <f>IF($V416="","",INDEX('Per Line'!$M$2:$M$1501,$V416))</f>
        <v/>
      </c>
      <c r="J416" s="7">
        <f>IF($V416="","",I416*T416/100)</f>
        <v/>
      </c>
      <c r="K416" s="7">
        <f>IF($V416="","",SUMIFS('Per Line'!$V$2:$V$1501,'Per Line'!$D$2:$D$1501,$B416,'Per Line'!$AN$2:$AN$1501,1))</f>
        <v/>
      </c>
      <c r="L416">
        <f>IF($V416="","",Settings!$C$7)</f>
        <v/>
      </c>
      <c r="M416" s="7">
        <f>IF($V416="","",SUMIFS('Per Line'!$V$2:$V$1501,'Per Line'!$D$2:$D$1501,$B416,'Per Line'!$AM$2:$AM$1501,0,'Per Line'!$AN$2:$AN$1501,0))</f>
        <v/>
      </c>
      <c r="N416" s="7">
        <f>IF($V416="","",M416*L416)</f>
        <v/>
      </c>
      <c r="O416">
        <f>IF($V416="","",Settings!$C$6)</f>
        <v/>
      </c>
      <c r="P416" s="7">
        <f>IF($V416="","",SUMIFS('Per Line'!$V$2:$V$1501,'Per Line'!$D$2:$D$1501,$B416,'Per Line'!$AM$2:$AM$1501,1,'Per Line'!$AN$2:$AN$1501,0))</f>
        <v/>
      </c>
      <c r="Q416" s="7">
        <f>IF($V416="","",P416*O416)</f>
        <v/>
      </c>
      <c r="R416" s="7">
        <f>IF($V416="","",Q416+N416)</f>
        <v/>
      </c>
      <c r="S416" s="7">
        <f>IF($V416="","",T416-R416)</f>
        <v/>
      </c>
      <c r="T416" s="7">
        <f>IF($V416="","",M416+P416+K416)</f>
        <v/>
      </c>
      <c r="U416" s="7">
        <f>IF($V416="","",T416-R416-J416)</f>
        <v/>
      </c>
      <c r="V416" s="13">
        <f>IF(ROWS($V$2:$V416)&lt;=MAX('Per Line'!$AL$2:$AL$1501),MATCH(ROWS($V$2:$V416),'Per Line'!$AL$2:$AL$1501,0),"")</f>
        <v/>
      </c>
    </row>
    <row r="417">
      <c r="A417" s="12" t="n"/>
      <c r="B417">
        <f>IF($V417="","",INDEX('Per Line'!$D$2:$D$1501,$V417)&amp;"")</f>
        <v/>
      </c>
      <c r="C417">
        <f>IF($V417="","",INDEX('Per Line'!$A$2:$A$1501,$V417))</f>
        <v/>
      </c>
      <c r="D417">
        <f>IF($V417="","",INDEX('Per Line'!$Z$2:$Z$1501,$V417)&amp;"")</f>
        <v/>
      </c>
      <c r="E417" s="11">
        <f>IF($V417="","",INDEX('Per Line'!$F$2:$F$1501,$V417))</f>
        <v/>
      </c>
      <c r="F417">
        <f>IF($V417="","",INDEX('Per Line'!$I$2:$I$1501,$V417)&amp;"")</f>
        <v/>
      </c>
      <c r="G417">
        <f>IF($V417="","",INDEX('Per Line'!$J$2:$J$1501,$V417)&amp;"")</f>
        <v/>
      </c>
      <c r="H417">
        <f>IF($V417="","",INDEX('Per Line'!$K$2:$K$1501,$V417)&amp;"")</f>
        <v/>
      </c>
      <c r="I417">
        <f>IF($V417="","",INDEX('Per Line'!$M$2:$M$1501,$V417))</f>
        <v/>
      </c>
      <c r="J417" s="7">
        <f>IF($V417="","",I417*T417/100)</f>
        <v/>
      </c>
      <c r="K417" s="7">
        <f>IF($V417="","",SUMIFS('Per Line'!$V$2:$V$1501,'Per Line'!$D$2:$D$1501,$B417,'Per Line'!$AN$2:$AN$1501,1))</f>
        <v/>
      </c>
      <c r="L417">
        <f>IF($V417="","",Settings!$C$7)</f>
        <v/>
      </c>
      <c r="M417" s="7">
        <f>IF($V417="","",SUMIFS('Per Line'!$V$2:$V$1501,'Per Line'!$D$2:$D$1501,$B417,'Per Line'!$AM$2:$AM$1501,0,'Per Line'!$AN$2:$AN$1501,0))</f>
        <v/>
      </c>
      <c r="N417" s="7">
        <f>IF($V417="","",M417*L417)</f>
        <v/>
      </c>
      <c r="O417">
        <f>IF($V417="","",Settings!$C$6)</f>
        <v/>
      </c>
      <c r="P417" s="7">
        <f>IF($V417="","",SUMIFS('Per Line'!$V$2:$V$1501,'Per Line'!$D$2:$D$1501,$B417,'Per Line'!$AM$2:$AM$1501,1,'Per Line'!$AN$2:$AN$1501,0))</f>
        <v/>
      </c>
      <c r="Q417" s="7">
        <f>IF($V417="","",P417*O417)</f>
        <v/>
      </c>
      <c r="R417" s="7">
        <f>IF($V417="","",Q417+N417)</f>
        <v/>
      </c>
      <c r="S417" s="7">
        <f>IF($V417="","",T417-R417)</f>
        <v/>
      </c>
      <c r="T417" s="7">
        <f>IF($V417="","",M417+P417+K417)</f>
        <v/>
      </c>
      <c r="U417" s="7">
        <f>IF($V417="","",T417-R417-J417)</f>
        <v/>
      </c>
      <c r="V417" s="13">
        <f>IF(ROWS($V$2:$V417)&lt;=MAX('Per Line'!$AL$2:$AL$1501),MATCH(ROWS($V$2:$V417),'Per Line'!$AL$2:$AL$1501,0),"")</f>
        <v/>
      </c>
    </row>
    <row r="418">
      <c r="A418" s="12" t="n"/>
      <c r="B418">
        <f>IF($V418="","",INDEX('Per Line'!$D$2:$D$1501,$V418)&amp;"")</f>
        <v/>
      </c>
      <c r="C418">
        <f>IF($V418="","",INDEX('Per Line'!$A$2:$A$1501,$V418))</f>
        <v/>
      </c>
      <c r="D418">
        <f>IF($V418="","",INDEX('Per Line'!$Z$2:$Z$1501,$V418)&amp;"")</f>
        <v/>
      </c>
      <c r="E418" s="11">
        <f>IF($V418="","",INDEX('Per Line'!$F$2:$F$1501,$V418))</f>
        <v/>
      </c>
      <c r="F418">
        <f>IF($V418="","",INDEX('Per Line'!$I$2:$I$1501,$V418)&amp;"")</f>
        <v/>
      </c>
      <c r="G418">
        <f>IF($V418="","",INDEX('Per Line'!$J$2:$J$1501,$V418)&amp;"")</f>
        <v/>
      </c>
      <c r="H418">
        <f>IF($V418="","",INDEX('Per Line'!$K$2:$K$1501,$V418)&amp;"")</f>
        <v/>
      </c>
      <c r="I418">
        <f>IF($V418="","",INDEX('Per Line'!$M$2:$M$1501,$V418))</f>
        <v/>
      </c>
      <c r="J418" s="7">
        <f>IF($V418="","",I418*T418/100)</f>
        <v/>
      </c>
      <c r="K418" s="7">
        <f>IF($V418="","",SUMIFS('Per Line'!$V$2:$V$1501,'Per Line'!$D$2:$D$1501,$B418,'Per Line'!$AN$2:$AN$1501,1))</f>
        <v/>
      </c>
      <c r="L418">
        <f>IF($V418="","",Settings!$C$7)</f>
        <v/>
      </c>
      <c r="M418" s="7">
        <f>IF($V418="","",SUMIFS('Per Line'!$V$2:$V$1501,'Per Line'!$D$2:$D$1501,$B418,'Per Line'!$AM$2:$AM$1501,0,'Per Line'!$AN$2:$AN$1501,0))</f>
        <v/>
      </c>
      <c r="N418" s="7">
        <f>IF($V418="","",M418*L418)</f>
        <v/>
      </c>
      <c r="O418">
        <f>IF($V418="","",Settings!$C$6)</f>
        <v/>
      </c>
      <c r="P418" s="7">
        <f>IF($V418="","",SUMIFS('Per Line'!$V$2:$V$1501,'Per Line'!$D$2:$D$1501,$B418,'Per Line'!$AM$2:$AM$1501,1,'Per Line'!$AN$2:$AN$1501,0))</f>
        <v/>
      </c>
      <c r="Q418" s="7">
        <f>IF($V418="","",P418*O418)</f>
        <v/>
      </c>
      <c r="R418" s="7">
        <f>IF($V418="","",Q418+N418)</f>
        <v/>
      </c>
      <c r="S418" s="7">
        <f>IF($V418="","",T418-R418)</f>
        <v/>
      </c>
      <c r="T418" s="7">
        <f>IF($V418="","",M418+P418+K418)</f>
        <v/>
      </c>
      <c r="U418" s="7">
        <f>IF($V418="","",T418-R418-J418)</f>
        <v/>
      </c>
      <c r="V418" s="13">
        <f>IF(ROWS($V$2:$V418)&lt;=MAX('Per Line'!$AL$2:$AL$1501),MATCH(ROWS($V$2:$V418),'Per Line'!$AL$2:$AL$1501,0),"")</f>
        <v/>
      </c>
    </row>
    <row r="419">
      <c r="A419" s="12" t="n"/>
      <c r="B419">
        <f>IF($V419="","",INDEX('Per Line'!$D$2:$D$1501,$V419)&amp;"")</f>
        <v/>
      </c>
      <c r="C419">
        <f>IF($V419="","",INDEX('Per Line'!$A$2:$A$1501,$V419))</f>
        <v/>
      </c>
      <c r="D419">
        <f>IF($V419="","",INDEX('Per Line'!$Z$2:$Z$1501,$V419)&amp;"")</f>
        <v/>
      </c>
      <c r="E419" s="11">
        <f>IF($V419="","",INDEX('Per Line'!$F$2:$F$1501,$V419))</f>
        <v/>
      </c>
      <c r="F419">
        <f>IF($V419="","",INDEX('Per Line'!$I$2:$I$1501,$V419)&amp;"")</f>
        <v/>
      </c>
      <c r="G419">
        <f>IF($V419="","",INDEX('Per Line'!$J$2:$J$1501,$V419)&amp;"")</f>
        <v/>
      </c>
      <c r="H419">
        <f>IF($V419="","",INDEX('Per Line'!$K$2:$K$1501,$V419)&amp;"")</f>
        <v/>
      </c>
      <c r="I419">
        <f>IF($V419="","",INDEX('Per Line'!$M$2:$M$1501,$V419))</f>
        <v/>
      </c>
      <c r="J419" s="7">
        <f>IF($V419="","",I419*T419/100)</f>
        <v/>
      </c>
      <c r="K419" s="7">
        <f>IF($V419="","",SUMIFS('Per Line'!$V$2:$V$1501,'Per Line'!$D$2:$D$1501,$B419,'Per Line'!$AN$2:$AN$1501,1))</f>
        <v/>
      </c>
      <c r="L419">
        <f>IF($V419="","",Settings!$C$7)</f>
        <v/>
      </c>
      <c r="M419" s="7">
        <f>IF($V419="","",SUMIFS('Per Line'!$V$2:$V$1501,'Per Line'!$D$2:$D$1501,$B419,'Per Line'!$AM$2:$AM$1501,0,'Per Line'!$AN$2:$AN$1501,0))</f>
        <v/>
      </c>
      <c r="N419" s="7">
        <f>IF($V419="","",M419*L419)</f>
        <v/>
      </c>
      <c r="O419">
        <f>IF($V419="","",Settings!$C$6)</f>
        <v/>
      </c>
      <c r="P419" s="7">
        <f>IF($V419="","",SUMIFS('Per Line'!$V$2:$V$1501,'Per Line'!$D$2:$D$1501,$B419,'Per Line'!$AM$2:$AM$1501,1,'Per Line'!$AN$2:$AN$1501,0))</f>
        <v/>
      </c>
      <c r="Q419" s="7">
        <f>IF($V419="","",P419*O419)</f>
        <v/>
      </c>
      <c r="R419" s="7">
        <f>IF($V419="","",Q419+N419)</f>
        <v/>
      </c>
      <c r="S419" s="7">
        <f>IF($V419="","",T419-R419)</f>
        <v/>
      </c>
      <c r="T419" s="7">
        <f>IF($V419="","",M419+P419+K419)</f>
        <v/>
      </c>
      <c r="U419" s="7">
        <f>IF($V419="","",T419-R419-J419)</f>
        <v/>
      </c>
      <c r="V419" s="13">
        <f>IF(ROWS($V$2:$V419)&lt;=MAX('Per Line'!$AL$2:$AL$1501),MATCH(ROWS($V$2:$V419),'Per Line'!$AL$2:$AL$1501,0),"")</f>
        <v/>
      </c>
    </row>
    <row r="420">
      <c r="A420" s="12" t="n"/>
      <c r="B420">
        <f>IF($V420="","",INDEX('Per Line'!$D$2:$D$1501,$V420)&amp;"")</f>
        <v/>
      </c>
      <c r="C420">
        <f>IF($V420="","",INDEX('Per Line'!$A$2:$A$1501,$V420))</f>
        <v/>
      </c>
      <c r="D420">
        <f>IF($V420="","",INDEX('Per Line'!$Z$2:$Z$1501,$V420)&amp;"")</f>
        <v/>
      </c>
      <c r="E420" s="11">
        <f>IF($V420="","",INDEX('Per Line'!$F$2:$F$1501,$V420))</f>
        <v/>
      </c>
      <c r="F420">
        <f>IF($V420="","",INDEX('Per Line'!$I$2:$I$1501,$V420)&amp;"")</f>
        <v/>
      </c>
      <c r="G420">
        <f>IF($V420="","",INDEX('Per Line'!$J$2:$J$1501,$V420)&amp;"")</f>
        <v/>
      </c>
      <c r="H420">
        <f>IF($V420="","",INDEX('Per Line'!$K$2:$K$1501,$V420)&amp;"")</f>
        <v/>
      </c>
      <c r="I420">
        <f>IF($V420="","",INDEX('Per Line'!$M$2:$M$1501,$V420))</f>
        <v/>
      </c>
      <c r="J420" s="7">
        <f>IF($V420="","",I420*T420/100)</f>
        <v/>
      </c>
      <c r="K420" s="7">
        <f>IF($V420="","",SUMIFS('Per Line'!$V$2:$V$1501,'Per Line'!$D$2:$D$1501,$B420,'Per Line'!$AN$2:$AN$1501,1))</f>
        <v/>
      </c>
      <c r="L420">
        <f>IF($V420="","",Settings!$C$7)</f>
        <v/>
      </c>
      <c r="M420" s="7">
        <f>IF($V420="","",SUMIFS('Per Line'!$V$2:$V$1501,'Per Line'!$D$2:$D$1501,$B420,'Per Line'!$AM$2:$AM$1501,0,'Per Line'!$AN$2:$AN$1501,0))</f>
        <v/>
      </c>
      <c r="N420" s="7">
        <f>IF($V420="","",M420*L420)</f>
        <v/>
      </c>
      <c r="O420">
        <f>IF($V420="","",Settings!$C$6)</f>
        <v/>
      </c>
      <c r="P420" s="7">
        <f>IF($V420="","",SUMIFS('Per Line'!$V$2:$V$1501,'Per Line'!$D$2:$D$1501,$B420,'Per Line'!$AM$2:$AM$1501,1,'Per Line'!$AN$2:$AN$1501,0))</f>
        <v/>
      </c>
      <c r="Q420" s="7">
        <f>IF($V420="","",P420*O420)</f>
        <v/>
      </c>
      <c r="R420" s="7">
        <f>IF($V420="","",Q420+N420)</f>
        <v/>
      </c>
      <c r="S420" s="7">
        <f>IF($V420="","",T420-R420)</f>
        <v/>
      </c>
      <c r="T420" s="7">
        <f>IF($V420="","",M420+P420+K420)</f>
        <v/>
      </c>
      <c r="U420" s="7">
        <f>IF($V420="","",T420-R420-J420)</f>
        <v/>
      </c>
      <c r="V420" s="13">
        <f>IF(ROWS($V$2:$V420)&lt;=MAX('Per Line'!$AL$2:$AL$1501),MATCH(ROWS($V$2:$V420),'Per Line'!$AL$2:$AL$1501,0),"")</f>
        <v/>
      </c>
    </row>
    <row r="421">
      <c r="A421" s="12" t="n"/>
      <c r="B421">
        <f>IF($V421="","",INDEX('Per Line'!$D$2:$D$1501,$V421)&amp;"")</f>
        <v/>
      </c>
      <c r="C421">
        <f>IF($V421="","",INDEX('Per Line'!$A$2:$A$1501,$V421))</f>
        <v/>
      </c>
      <c r="D421">
        <f>IF($V421="","",INDEX('Per Line'!$Z$2:$Z$1501,$V421)&amp;"")</f>
        <v/>
      </c>
      <c r="E421" s="11">
        <f>IF($V421="","",INDEX('Per Line'!$F$2:$F$1501,$V421))</f>
        <v/>
      </c>
      <c r="F421">
        <f>IF($V421="","",INDEX('Per Line'!$I$2:$I$1501,$V421)&amp;"")</f>
        <v/>
      </c>
      <c r="G421">
        <f>IF($V421="","",INDEX('Per Line'!$J$2:$J$1501,$V421)&amp;"")</f>
        <v/>
      </c>
      <c r="H421">
        <f>IF($V421="","",INDEX('Per Line'!$K$2:$K$1501,$V421)&amp;"")</f>
        <v/>
      </c>
      <c r="I421">
        <f>IF($V421="","",INDEX('Per Line'!$M$2:$M$1501,$V421))</f>
        <v/>
      </c>
      <c r="J421" s="7">
        <f>IF($V421="","",I421*T421/100)</f>
        <v/>
      </c>
      <c r="K421" s="7">
        <f>IF($V421="","",SUMIFS('Per Line'!$V$2:$V$1501,'Per Line'!$D$2:$D$1501,$B421,'Per Line'!$AN$2:$AN$1501,1))</f>
        <v/>
      </c>
      <c r="L421">
        <f>IF($V421="","",Settings!$C$7)</f>
        <v/>
      </c>
      <c r="M421" s="7">
        <f>IF($V421="","",SUMIFS('Per Line'!$V$2:$V$1501,'Per Line'!$D$2:$D$1501,$B421,'Per Line'!$AM$2:$AM$1501,0,'Per Line'!$AN$2:$AN$1501,0))</f>
        <v/>
      </c>
      <c r="N421" s="7">
        <f>IF($V421="","",M421*L421)</f>
        <v/>
      </c>
      <c r="O421">
        <f>IF($V421="","",Settings!$C$6)</f>
        <v/>
      </c>
      <c r="P421" s="7">
        <f>IF($V421="","",SUMIFS('Per Line'!$V$2:$V$1501,'Per Line'!$D$2:$D$1501,$B421,'Per Line'!$AM$2:$AM$1501,1,'Per Line'!$AN$2:$AN$1501,0))</f>
        <v/>
      </c>
      <c r="Q421" s="7">
        <f>IF($V421="","",P421*O421)</f>
        <v/>
      </c>
      <c r="R421" s="7">
        <f>IF($V421="","",Q421+N421)</f>
        <v/>
      </c>
      <c r="S421" s="7">
        <f>IF($V421="","",T421-R421)</f>
        <v/>
      </c>
      <c r="T421" s="7">
        <f>IF($V421="","",M421+P421+K421)</f>
        <v/>
      </c>
      <c r="U421" s="7">
        <f>IF($V421="","",T421-R421-J421)</f>
        <v/>
      </c>
      <c r="V421" s="13">
        <f>IF(ROWS($V$2:$V421)&lt;=MAX('Per Line'!$AL$2:$AL$1501),MATCH(ROWS($V$2:$V421),'Per Line'!$AL$2:$AL$1501,0),"")</f>
        <v/>
      </c>
    </row>
    <row r="422">
      <c r="A422" s="12" t="n"/>
      <c r="B422">
        <f>IF($V422="","",INDEX('Per Line'!$D$2:$D$1501,$V422)&amp;"")</f>
        <v/>
      </c>
      <c r="C422">
        <f>IF($V422="","",INDEX('Per Line'!$A$2:$A$1501,$V422))</f>
        <v/>
      </c>
      <c r="D422">
        <f>IF($V422="","",INDEX('Per Line'!$Z$2:$Z$1501,$V422)&amp;"")</f>
        <v/>
      </c>
      <c r="E422" s="11">
        <f>IF($V422="","",INDEX('Per Line'!$F$2:$F$1501,$V422))</f>
        <v/>
      </c>
      <c r="F422">
        <f>IF($V422="","",INDEX('Per Line'!$I$2:$I$1501,$V422)&amp;"")</f>
        <v/>
      </c>
      <c r="G422">
        <f>IF($V422="","",INDEX('Per Line'!$J$2:$J$1501,$V422)&amp;"")</f>
        <v/>
      </c>
      <c r="H422">
        <f>IF($V422="","",INDEX('Per Line'!$K$2:$K$1501,$V422)&amp;"")</f>
        <v/>
      </c>
      <c r="I422">
        <f>IF($V422="","",INDEX('Per Line'!$M$2:$M$1501,$V422))</f>
        <v/>
      </c>
      <c r="J422" s="7">
        <f>IF($V422="","",I422*T422/100)</f>
        <v/>
      </c>
      <c r="K422" s="7">
        <f>IF($V422="","",SUMIFS('Per Line'!$V$2:$V$1501,'Per Line'!$D$2:$D$1501,$B422,'Per Line'!$AN$2:$AN$1501,1))</f>
        <v/>
      </c>
      <c r="L422">
        <f>IF($V422="","",Settings!$C$7)</f>
        <v/>
      </c>
      <c r="M422" s="7">
        <f>IF($V422="","",SUMIFS('Per Line'!$V$2:$V$1501,'Per Line'!$D$2:$D$1501,$B422,'Per Line'!$AM$2:$AM$1501,0,'Per Line'!$AN$2:$AN$1501,0))</f>
        <v/>
      </c>
      <c r="N422" s="7">
        <f>IF($V422="","",M422*L422)</f>
        <v/>
      </c>
      <c r="O422">
        <f>IF($V422="","",Settings!$C$6)</f>
        <v/>
      </c>
      <c r="P422" s="7">
        <f>IF($V422="","",SUMIFS('Per Line'!$V$2:$V$1501,'Per Line'!$D$2:$D$1501,$B422,'Per Line'!$AM$2:$AM$1501,1,'Per Line'!$AN$2:$AN$1501,0))</f>
        <v/>
      </c>
      <c r="Q422" s="7">
        <f>IF($V422="","",P422*O422)</f>
        <v/>
      </c>
      <c r="R422" s="7">
        <f>IF($V422="","",Q422+N422)</f>
        <v/>
      </c>
      <c r="S422" s="7">
        <f>IF($V422="","",T422-R422)</f>
        <v/>
      </c>
      <c r="T422" s="7">
        <f>IF($V422="","",M422+P422+K422)</f>
        <v/>
      </c>
      <c r="U422" s="7">
        <f>IF($V422="","",T422-R422-J422)</f>
        <v/>
      </c>
      <c r="V422" s="13">
        <f>IF(ROWS($V$2:$V422)&lt;=MAX('Per Line'!$AL$2:$AL$1501),MATCH(ROWS($V$2:$V422),'Per Line'!$AL$2:$AL$1501,0),"")</f>
        <v/>
      </c>
    </row>
    <row r="423">
      <c r="A423" s="12" t="n"/>
      <c r="B423">
        <f>IF($V423="","",INDEX('Per Line'!$D$2:$D$1501,$V423)&amp;"")</f>
        <v/>
      </c>
      <c r="C423">
        <f>IF($V423="","",INDEX('Per Line'!$A$2:$A$1501,$V423))</f>
        <v/>
      </c>
      <c r="D423">
        <f>IF($V423="","",INDEX('Per Line'!$Z$2:$Z$1501,$V423)&amp;"")</f>
        <v/>
      </c>
      <c r="E423" s="11">
        <f>IF($V423="","",INDEX('Per Line'!$F$2:$F$1501,$V423))</f>
        <v/>
      </c>
      <c r="F423">
        <f>IF($V423="","",INDEX('Per Line'!$I$2:$I$1501,$V423)&amp;"")</f>
        <v/>
      </c>
      <c r="G423">
        <f>IF($V423="","",INDEX('Per Line'!$J$2:$J$1501,$V423)&amp;"")</f>
        <v/>
      </c>
      <c r="H423">
        <f>IF($V423="","",INDEX('Per Line'!$K$2:$K$1501,$V423)&amp;"")</f>
        <v/>
      </c>
      <c r="I423">
        <f>IF($V423="","",INDEX('Per Line'!$M$2:$M$1501,$V423))</f>
        <v/>
      </c>
      <c r="J423" s="7">
        <f>IF($V423="","",I423*T423/100)</f>
        <v/>
      </c>
      <c r="K423" s="7">
        <f>IF($V423="","",SUMIFS('Per Line'!$V$2:$V$1501,'Per Line'!$D$2:$D$1501,$B423,'Per Line'!$AN$2:$AN$1501,1))</f>
        <v/>
      </c>
      <c r="L423">
        <f>IF($V423="","",Settings!$C$7)</f>
        <v/>
      </c>
      <c r="M423" s="7">
        <f>IF($V423="","",SUMIFS('Per Line'!$V$2:$V$1501,'Per Line'!$D$2:$D$1501,$B423,'Per Line'!$AM$2:$AM$1501,0,'Per Line'!$AN$2:$AN$1501,0))</f>
        <v/>
      </c>
      <c r="N423" s="7">
        <f>IF($V423="","",M423*L423)</f>
        <v/>
      </c>
      <c r="O423">
        <f>IF($V423="","",Settings!$C$6)</f>
        <v/>
      </c>
      <c r="P423" s="7">
        <f>IF($V423="","",SUMIFS('Per Line'!$V$2:$V$1501,'Per Line'!$D$2:$D$1501,$B423,'Per Line'!$AM$2:$AM$1501,1,'Per Line'!$AN$2:$AN$1501,0))</f>
        <v/>
      </c>
      <c r="Q423" s="7">
        <f>IF($V423="","",P423*O423)</f>
        <v/>
      </c>
      <c r="R423" s="7">
        <f>IF($V423="","",Q423+N423)</f>
        <v/>
      </c>
      <c r="S423" s="7">
        <f>IF($V423="","",T423-R423)</f>
        <v/>
      </c>
      <c r="T423" s="7">
        <f>IF($V423="","",M423+P423+K423)</f>
        <v/>
      </c>
      <c r="U423" s="7">
        <f>IF($V423="","",T423-R423-J423)</f>
        <v/>
      </c>
      <c r="V423" s="13">
        <f>IF(ROWS($V$2:$V423)&lt;=MAX('Per Line'!$AL$2:$AL$1501),MATCH(ROWS($V$2:$V423),'Per Line'!$AL$2:$AL$1501,0),"")</f>
        <v/>
      </c>
    </row>
    <row r="424">
      <c r="A424" s="12" t="n"/>
      <c r="B424">
        <f>IF($V424="","",INDEX('Per Line'!$D$2:$D$1501,$V424)&amp;"")</f>
        <v/>
      </c>
      <c r="C424">
        <f>IF($V424="","",INDEX('Per Line'!$A$2:$A$1501,$V424))</f>
        <v/>
      </c>
      <c r="D424">
        <f>IF($V424="","",INDEX('Per Line'!$Z$2:$Z$1501,$V424)&amp;"")</f>
        <v/>
      </c>
      <c r="E424" s="11">
        <f>IF($V424="","",INDEX('Per Line'!$F$2:$F$1501,$V424))</f>
        <v/>
      </c>
      <c r="F424">
        <f>IF($V424="","",INDEX('Per Line'!$I$2:$I$1501,$V424)&amp;"")</f>
        <v/>
      </c>
      <c r="G424">
        <f>IF($V424="","",INDEX('Per Line'!$J$2:$J$1501,$V424)&amp;"")</f>
        <v/>
      </c>
      <c r="H424">
        <f>IF($V424="","",INDEX('Per Line'!$K$2:$K$1501,$V424)&amp;"")</f>
        <v/>
      </c>
      <c r="I424">
        <f>IF($V424="","",INDEX('Per Line'!$M$2:$M$1501,$V424))</f>
        <v/>
      </c>
      <c r="J424" s="7">
        <f>IF($V424="","",I424*T424/100)</f>
        <v/>
      </c>
      <c r="K424" s="7">
        <f>IF($V424="","",SUMIFS('Per Line'!$V$2:$V$1501,'Per Line'!$D$2:$D$1501,$B424,'Per Line'!$AN$2:$AN$1501,1))</f>
        <v/>
      </c>
      <c r="L424">
        <f>IF($V424="","",Settings!$C$7)</f>
        <v/>
      </c>
      <c r="M424" s="7">
        <f>IF($V424="","",SUMIFS('Per Line'!$V$2:$V$1501,'Per Line'!$D$2:$D$1501,$B424,'Per Line'!$AM$2:$AM$1501,0,'Per Line'!$AN$2:$AN$1501,0))</f>
        <v/>
      </c>
      <c r="N424" s="7">
        <f>IF($V424="","",M424*L424)</f>
        <v/>
      </c>
      <c r="O424">
        <f>IF($V424="","",Settings!$C$6)</f>
        <v/>
      </c>
      <c r="P424" s="7">
        <f>IF($V424="","",SUMIFS('Per Line'!$V$2:$V$1501,'Per Line'!$D$2:$D$1501,$B424,'Per Line'!$AM$2:$AM$1501,1,'Per Line'!$AN$2:$AN$1501,0))</f>
        <v/>
      </c>
      <c r="Q424" s="7">
        <f>IF($V424="","",P424*O424)</f>
        <v/>
      </c>
      <c r="R424" s="7">
        <f>IF($V424="","",Q424+N424)</f>
        <v/>
      </c>
      <c r="S424" s="7">
        <f>IF($V424="","",T424-R424)</f>
        <v/>
      </c>
      <c r="T424" s="7">
        <f>IF($V424="","",M424+P424+K424)</f>
        <v/>
      </c>
      <c r="U424" s="7">
        <f>IF($V424="","",T424-R424-J424)</f>
        <v/>
      </c>
      <c r="V424" s="13">
        <f>IF(ROWS($V$2:$V424)&lt;=MAX('Per Line'!$AL$2:$AL$1501),MATCH(ROWS($V$2:$V424),'Per Line'!$AL$2:$AL$1501,0),"")</f>
        <v/>
      </c>
    </row>
    <row r="425">
      <c r="A425" s="12" t="n"/>
      <c r="B425">
        <f>IF($V425="","",INDEX('Per Line'!$D$2:$D$1501,$V425)&amp;"")</f>
        <v/>
      </c>
      <c r="C425">
        <f>IF($V425="","",INDEX('Per Line'!$A$2:$A$1501,$V425))</f>
        <v/>
      </c>
      <c r="D425">
        <f>IF($V425="","",INDEX('Per Line'!$Z$2:$Z$1501,$V425)&amp;"")</f>
        <v/>
      </c>
      <c r="E425" s="11">
        <f>IF($V425="","",INDEX('Per Line'!$F$2:$F$1501,$V425))</f>
        <v/>
      </c>
      <c r="F425">
        <f>IF($V425="","",INDEX('Per Line'!$I$2:$I$1501,$V425)&amp;"")</f>
        <v/>
      </c>
      <c r="G425">
        <f>IF($V425="","",INDEX('Per Line'!$J$2:$J$1501,$V425)&amp;"")</f>
        <v/>
      </c>
      <c r="H425">
        <f>IF($V425="","",INDEX('Per Line'!$K$2:$K$1501,$V425)&amp;"")</f>
        <v/>
      </c>
      <c r="I425">
        <f>IF($V425="","",INDEX('Per Line'!$M$2:$M$1501,$V425))</f>
        <v/>
      </c>
      <c r="J425" s="7">
        <f>IF($V425="","",I425*T425/100)</f>
        <v/>
      </c>
      <c r="K425" s="7">
        <f>IF($V425="","",SUMIFS('Per Line'!$V$2:$V$1501,'Per Line'!$D$2:$D$1501,$B425,'Per Line'!$AN$2:$AN$1501,1))</f>
        <v/>
      </c>
      <c r="L425">
        <f>IF($V425="","",Settings!$C$7)</f>
        <v/>
      </c>
      <c r="M425" s="7">
        <f>IF($V425="","",SUMIFS('Per Line'!$V$2:$V$1501,'Per Line'!$D$2:$D$1501,$B425,'Per Line'!$AM$2:$AM$1501,0,'Per Line'!$AN$2:$AN$1501,0))</f>
        <v/>
      </c>
      <c r="N425" s="7">
        <f>IF($V425="","",M425*L425)</f>
        <v/>
      </c>
      <c r="O425">
        <f>IF($V425="","",Settings!$C$6)</f>
        <v/>
      </c>
      <c r="P425" s="7">
        <f>IF($V425="","",SUMIFS('Per Line'!$V$2:$V$1501,'Per Line'!$D$2:$D$1501,$B425,'Per Line'!$AM$2:$AM$1501,1,'Per Line'!$AN$2:$AN$1501,0))</f>
        <v/>
      </c>
      <c r="Q425" s="7">
        <f>IF($V425="","",P425*O425)</f>
        <v/>
      </c>
      <c r="R425" s="7">
        <f>IF($V425="","",Q425+N425)</f>
        <v/>
      </c>
      <c r="S425" s="7">
        <f>IF($V425="","",T425-R425)</f>
        <v/>
      </c>
      <c r="T425" s="7">
        <f>IF($V425="","",M425+P425+K425)</f>
        <v/>
      </c>
      <c r="U425" s="7">
        <f>IF($V425="","",T425-R425-J425)</f>
        <v/>
      </c>
      <c r="V425" s="13">
        <f>IF(ROWS($V$2:$V425)&lt;=MAX('Per Line'!$AL$2:$AL$1501),MATCH(ROWS($V$2:$V425),'Per Line'!$AL$2:$AL$1501,0),"")</f>
        <v/>
      </c>
    </row>
    <row r="426">
      <c r="A426" s="12" t="n"/>
      <c r="B426">
        <f>IF($V426="","",INDEX('Per Line'!$D$2:$D$1501,$V426)&amp;"")</f>
        <v/>
      </c>
      <c r="C426">
        <f>IF($V426="","",INDEX('Per Line'!$A$2:$A$1501,$V426))</f>
        <v/>
      </c>
      <c r="D426">
        <f>IF($V426="","",INDEX('Per Line'!$Z$2:$Z$1501,$V426)&amp;"")</f>
        <v/>
      </c>
      <c r="E426" s="11">
        <f>IF($V426="","",INDEX('Per Line'!$F$2:$F$1501,$V426))</f>
        <v/>
      </c>
      <c r="F426">
        <f>IF($V426="","",INDEX('Per Line'!$I$2:$I$1501,$V426)&amp;"")</f>
        <v/>
      </c>
      <c r="G426">
        <f>IF($V426="","",INDEX('Per Line'!$J$2:$J$1501,$V426)&amp;"")</f>
        <v/>
      </c>
      <c r="H426">
        <f>IF($V426="","",INDEX('Per Line'!$K$2:$K$1501,$V426)&amp;"")</f>
        <v/>
      </c>
      <c r="I426">
        <f>IF($V426="","",INDEX('Per Line'!$M$2:$M$1501,$V426))</f>
        <v/>
      </c>
      <c r="J426" s="7">
        <f>IF($V426="","",I426*T426/100)</f>
        <v/>
      </c>
      <c r="K426" s="7">
        <f>IF($V426="","",SUMIFS('Per Line'!$V$2:$V$1501,'Per Line'!$D$2:$D$1501,$B426,'Per Line'!$AN$2:$AN$1501,1))</f>
        <v/>
      </c>
      <c r="L426">
        <f>IF($V426="","",Settings!$C$7)</f>
        <v/>
      </c>
      <c r="M426" s="7">
        <f>IF($V426="","",SUMIFS('Per Line'!$V$2:$V$1501,'Per Line'!$D$2:$D$1501,$B426,'Per Line'!$AM$2:$AM$1501,0,'Per Line'!$AN$2:$AN$1501,0))</f>
        <v/>
      </c>
      <c r="N426" s="7">
        <f>IF($V426="","",M426*L426)</f>
        <v/>
      </c>
      <c r="O426">
        <f>IF($V426="","",Settings!$C$6)</f>
        <v/>
      </c>
      <c r="P426" s="7">
        <f>IF($V426="","",SUMIFS('Per Line'!$V$2:$V$1501,'Per Line'!$D$2:$D$1501,$B426,'Per Line'!$AM$2:$AM$1501,1,'Per Line'!$AN$2:$AN$1501,0))</f>
        <v/>
      </c>
      <c r="Q426" s="7">
        <f>IF($V426="","",P426*O426)</f>
        <v/>
      </c>
      <c r="R426" s="7">
        <f>IF($V426="","",Q426+N426)</f>
        <v/>
      </c>
      <c r="S426" s="7">
        <f>IF($V426="","",T426-R426)</f>
        <v/>
      </c>
      <c r="T426" s="7">
        <f>IF($V426="","",M426+P426+K426)</f>
        <v/>
      </c>
      <c r="U426" s="7">
        <f>IF($V426="","",T426-R426-J426)</f>
        <v/>
      </c>
      <c r="V426" s="13">
        <f>IF(ROWS($V$2:$V426)&lt;=MAX('Per Line'!$AL$2:$AL$1501),MATCH(ROWS($V$2:$V426),'Per Line'!$AL$2:$AL$1501,0),"")</f>
        <v/>
      </c>
    </row>
    <row r="427">
      <c r="A427" s="12" t="n"/>
      <c r="B427">
        <f>IF($V427="","",INDEX('Per Line'!$D$2:$D$1501,$V427)&amp;"")</f>
        <v/>
      </c>
      <c r="C427">
        <f>IF($V427="","",INDEX('Per Line'!$A$2:$A$1501,$V427))</f>
        <v/>
      </c>
      <c r="D427">
        <f>IF($V427="","",INDEX('Per Line'!$Z$2:$Z$1501,$V427)&amp;"")</f>
        <v/>
      </c>
      <c r="E427" s="11">
        <f>IF($V427="","",INDEX('Per Line'!$F$2:$F$1501,$V427))</f>
        <v/>
      </c>
      <c r="F427">
        <f>IF($V427="","",INDEX('Per Line'!$I$2:$I$1501,$V427)&amp;"")</f>
        <v/>
      </c>
      <c r="G427">
        <f>IF($V427="","",INDEX('Per Line'!$J$2:$J$1501,$V427)&amp;"")</f>
        <v/>
      </c>
      <c r="H427">
        <f>IF($V427="","",INDEX('Per Line'!$K$2:$K$1501,$V427)&amp;"")</f>
        <v/>
      </c>
      <c r="I427">
        <f>IF($V427="","",INDEX('Per Line'!$M$2:$M$1501,$V427))</f>
        <v/>
      </c>
      <c r="J427" s="7">
        <f>IF($V427="","",I427*T427/100)</f>
        <v/>
      </c>
      <c r="K427" s="7">
        <f>IF($V427="","",SUMIFS('Per Line'!$V$2:$V$1501,'Per Line'!$D$2:$D$1501,$B427,'Per Line'!$AN$2:$AN$1501,1))</f>
        <v/>
      </c>
      <c r="L427">
        <f>IF($V427="","",Settings!$C$7)</f>
        <v/>
      </c>
      <c r="M427" s="7">
        <f>IF($V427="","",SUMIFS('Per Line'!$V$2:$V$1501,'Per Line'!$D$2:$D$1501,$B427,'Per Line'!$AM$2:$AM$1501,0,'Per Line'!$AN$2:$AN$1501,0))</f>
        <v/>
      </c>
      <c r="N427" s="7">
        <f>IF($V427="","",M427*L427)</f>
        <v/>
      </c>
      <c r="O427">
        <f>IF($V427="","",Settings!$C$6)</f>
        <v/>
      </c>
      <c r="P427" s="7">
        <f>IF($V427="","",SUMIFS('Per Line'!$V$2:$V$1501,'Per Line'!$D$2:$D$1501,$B427,'Per Line'!$AM$2:$AM$1501,1,'Per Line'!$AN$2:$AN$1501,0))</f>
        <v/>
      </c>
      <c r="Q427" s="7">
        <f>IF($V427="","",P427*O427)</f>
        <v/>
      </c>
      <c r="R427" s="7">
        <f>IF($V427="","",Q427+N427)</f>
        <v/>
      </c>
      <c r="S427" s="7">
        <f>IF($V427="","",T427-R427)</f>
        <v/>
      </c>
      <c r="T427" s="7">
        <f>IF($V427="","",M427+P427+K427)</f>
        <v/>
      </c>
      <c r="U427" s="7">
        <f>IF($V427="","",T427-R427-J427)</f>
        <v/>
      </c>
      <c r="V427" s="13">
        <f>IF(ROWS($V$2:$V427)&lt;=MAX('Per Line'!$AL$2:$AL$1501),MATCH(ROWS($V$2:$V427),'Per Line'!$AL$2:$AL$1501,0),"")</f>
        <v/>
      </c>
    </row>
    <row r="428">
      <c r="A428" s="12" t="n"/>
      <c r="B428">
        <f>IF($V428="","",INDEX('Per Line'!$D$2:$D$1501,$V428)&amp;"")</f>
        <v/>
      </c>
      <c r="C428">
        <f>IF($V428="","",INDEX('Per Line'!$A$2:$A$1501,$V428))</f>
        <v/>
      </c>
      <c r="D428">
        <f>IF($V428="","",INDEX('Per Line'!$Z$2:$Z$1501,$V428)&amp;"")</f>
        <v/>
      </c>
      <c r="E428" s="11">
        <f>IF($V428="","",INDEX('Per Line'!$F$2:$F$1501,$V428))</f>
        <v/>
      </c>
      <c r="F428">
        <f>IF($V428="","",INDEX('Per Line'!$I$2:$I$1501,$V428)&amp;"")</f>
        <v/>
      </c>
      <c r="G428">
        <f>IF($V428="","",INDEX('Per Line'!$J$2:$J$1501,$V428)&amp;"")</f>
        <v/>
      </c>
      <c r="H428">
        <f>IF($V428="","",INDEX('Per Line'!$K$2:$K$1501,$V428)&amp;"")</f>
        <v/>
      </c>
      <c r="I428">
        <f>IF($V428="","",INDEX('Per Line'!$M$2:$M$1501,$V428))</f>
        <v/>
      </c>
      <c r="J428" s="7">
        <f>IF($V428="","",I428*T428/100)</f>
        <v/>
      </c>
      <c r="K428" s="7">
        <f>IF($V428="","",SUMIFS('Per Line'!$V$2:$V$1501,'Per Line'!$D$2:$D$1501,$B428,'Per Line'!$AN$2:$AN$1501,1))</f>
        <v/>
      </c>
      <c r="L428">
        <f>IF($V428="","",Settings!$C$7)</f>
        <v/>
      </c>
      <c r="M428" s="7">
        <f>IF($V428="","",SUMIFS('Per Line'!$V$2:$V$1501,'Per Line'!$D$2:$D$1501,$B428,'Per Line'!$AM$2:$AM$1501,0,'Per Line'!$AN$2:$AN$1501,0))</f>
        <v/>
      </c>
      <c r="N428" s="7">
        <f>IF($V428="","",M428*L428)</f>
        <v/>
      </c>
      <c r="O428">
        <f>IF($V428="","",Settings!$C$6)</f>
        <v/>
      </c>
      <c r="P428" s="7">
        <f>IF($V428="","",SUMIFS('Per Line'!$V$2:$V$1501,'Per Line'!$D$2:$D$1501,$B428,'Per Line'!$AM$2:$AM$1501,1,'Per Line'!$AN$2:$AN$1501,0))</f>
        <v/>
      </c>
      <c r="Q428" s="7">
        <f>IF($V428="","",P428*O428)</f>
        <v/>
      </c>
      <c r="R428" s="7">
        <f>IF($V428="","",Q428+N428)</f>
        <v/>
      </c>
      <c r="S428" s="7">
        <f>IF($V428="","",T428-R428)</f>
        <v/>
      </c>
      <c r="T428" s="7">
        <f>IF($V428="","",M428+P428+K428)</f>
        <v/>
      </c>
      <c r="U428" s="7">
        <f>IF($V428="","",T428-R428-J428)</f>
        <v/>
      </c>
      <c r="V428" s="13">
        <f>IF(ROWS($V$2:$V428)&lt;=MAX('Per Line'!$AL$2:$AL$1501),MATCH(ROWS($V$2:$V428),'Per Line'!$AL$2:$AL$1501,0),"")</f>
        <v/>
      </c>
    </row>
    <row r="429">
      <c r="A429" s="12" t="n"/>
      <c r="B429">
        <f>IF($V429="","",INDEX('Per Line'!$D$2:$D$1501,$V429)&amp;"")</f>
        <v/>
      </c>
      <c r="C429">
        <f>IF($V429="","",INDEX('Per Line'!$A$2:$A$1501,$V429))</f>
        <v/>
      </c>
      <c r="D429">
        <f>IF($V429="","",INDEX('Per Line'!$Z$2:$Z$1501,$V429)&amp;"")</f>
        <v/>
      </c>
      <c r="E429" s="11">
        <f>IF($V429="","",INDEX('Per Line'!$F$2:$F$1501,$V429))</f>
        <v/>
      </c>
      <c r="F429">
        <f>IF($V429="","",INDEX('Per Line'!$I$2:$I$1501,$V429)&amp;"")</f>
        <v/>
      </c>
      <c r="G429">
        <f>IF($V429="","",INDEX('Per Line'!$J$2:$J$1501,$V429)&amp;"")</f>
        <v/>
      </c>
      <c r="H429">
        <f>IF($V429="","",INDEX('Per Line'!$K$2:$K$1501,$V429)&amp;"")</f>
        <v/>
      </c>
      <c r="I429">
        <f>IF($V429="","",INDEX('Per Line'!$M$2:$M$1501,$V429))</f>
        <v/>
      </c>
      <c r="J429" s="7">
        <f>IF($V429="","",I429*T429/100)</f>
        <v/>
      </c>
      <c r="K429" s="7">
        <f>IF($V429="","",SUMIFS('Per Line'!$V$2:$V$1501,'Per Line'!$D$2:$D$1501,$B429,'Per Line'!$AN$2:$AN$1501,1))</f>
        <v/>
      </c>
      <c r="L429">
        <f>IF($V429="","",Settings!$C$7)</f>
        <v/>
      </c>
      <c r="M429" s="7">
        <f>IF($V429="","",SUMIFS('Per Line'!$V$2:$V$1501,'Per Line'!$D$2:$D$1501,$B429,'Per Line'!$AM$2:$AM$1501,0,'Per Line'!$AN$2:$AN$1501,0))</f>
        <v/>
      </c>
      <c r="N429" s="7">
        <f>IF($V429="","",M429*L429)</f>
        <v/>
      </c>
      <c r="O429">
        <f>IF($V429="","",Settings!$C$6)</f>
        <v/>
      </c>
      <c r="P429" s="7">
        <f>IF($V429="","",SUMIFS('Per Line'!$V$2:$V$1501,'Per Line'!$D$2:$D$1501,$B429,'Per Line'!$AM$2:$AM$1501,1,'Per Line'!$AN$2:$AN$1501,0))</f>
        <v/>
      </c>
      <c r="Q429" s="7">
        <f>IF($V429="","",P429*O429)</f>
        <v/>
      </c>
      <c r="R429" s="7">
        <f>IF($V429="","",Q429+N429)</f>
        <v/>
      </c>
      <c r="S429" s="7">
        <f>IF($V429="","",T429-R429)</f>
        <v/>
      </c>
      <c r="T429" s="7">
        <f>IF($V429="","",M429+P429+K429)</f>
        <v/>
      </c>
      <c r="U429" s="7">
        <f>IF($V429="","",T429-R429-J429)</f>
        <v/>
      </c>
      <c r="V429" s="13">
        <f>IF(ROWS($V$2:$V429)&lt;=MAX('Per Line'!$AL$2:$AL$1501),MATCH(ROWS($V$2:$V429),'Per Line'!$AL$2:$AL$1501,0),"")</f>
        <v/>
      </c>
    </row>
    <row r="430">
      <c r="A430" s="12" t="n"/>
      <c r="B430">
        <f>IF($V430="","",INDEX('Per Line'!$D$2:$D$1501,$V430)&amp;"")</f>
        <v/>
      </c>
      <c r="C430">
        <f>IF($V430="","",INDEX('Per Line'!$A$2:$A$1501,$V430))</f>
        <v/>
      </c>
      <c r="D430">
        <f>IF($V430="","",INDEX('Per Line'!$Z$2:$Z$1501,$V430)&amp;"")</f>
        <v/>
      </c>
      <c r="E430" s="11">
        <f>IF($V430="","",INDEX('Per Line'!$F$2:$F$1501,$V430))</f>
        <v/>
      </c>
      <c r="F430">
        <f>IF($V430="","",INDEX('Per Line'!$I$2:$I$1501,$V430)&amp;"")</f>
        <v/>
      </c>
      <c r="G430">
        <f>IF($V430="","",INDEX('Per Line'!$J$2:$J$1501,$V430)&amp;"")</f>
        <v/>
      </c>
      <c r="H430">
        <f>IF($V430="","",INDEX('Per Line'!$K$2:$K$1501,$V430)&amp;"")</f>
        <v/>
      </c>
      <c r="I430">
        <f>IF($V430="","",INDEX('Per Line'!$M$2:$M$1501,$V430))</f>
        <v/>
      </c>
      <c r="J430" s="7">
        <f>IF($V430="","",I430*T430/100)</f>
        <v/>
      </c>
      <c r="K430" s="7">
        <f>IF($V430="","",SUMIFS('Per Line'!$V$2:$V$1501,'Per Line'!$D$2:$D$1501,$B430,'Per Line'!$AN$2:$AN$1501,1))</f>
        <v/>
      </c>
      <c r="L430">
        <f>IF($V430="","",Settings!$C$7)</f>
        <v/>
      </c>
      <c r="M430" s="7">
        <f>IF($V430="","",SUMIFS('Per Line'!$V$2:$V$1501,'Per Line'!$D$2:$D$1501,$B430,'Per Line'!$AM$2:$AM$1501,0,'Per Line'!$AN$2:$AN$1501,0))</f>
        <v/>
      </c>
      <c r="N430" s="7">
        <f>IF($V430="","",M430*L430)</f>
        <v/>
      </c>
      <c r="O430">
        <f>IF($V430="","",Settings!$C$6)</f>
        <v/>
      </c>
      <c r="P430" s="7">
        <f>IF($V430="","",SUMIFS('Per Line'!$V$2:$V$1501,'Per Line'!$D$2:$D$1501,$B430,'Per Line'!$AM$2:$AM$1501,1,'Per Line'!$AN$2:$AN$1501,0))</f>
        <v/>
      </c>
      <c r="Q430" s="7">
        <f>IF($V430="","",P430*O430)</f>
        <v/>
      </c>
      <c r="R430" s="7">
        <f>IF($V430="","",Q430+N430)</f>
        <v/>
      </c>
      <c r="S430" s="7">
        <f>IF($V430="","",T430-R430)</f>
        <v/>
      </c>
      <c r="T430" s="7">
        <f>IF($V430="","",M430+P430+K430)</f>
        <v/>
      </c>
      <c r="U430" s="7">
        <f>IF($V430="","",T430-R430-J430)</f>
        <v/>
      </c>
      <c r="V430" s="13">
        <f>IF(ROWS($V$2:$V430)&lt;=MAX('Per Line'!$AL$2:$AL$1501),MATCH(ROWS($V$2:$V430),'Per Line'!$AL$2:$AL$1501,0),"")</f>
        <v/>
      </c>
    </row>
    <row r="431">
      <c r="A431" s="12" t="n"/>
      <c r="B431">
        <f>IF($V431="","",INDEX('Per Line'!$D$2:$D$1501,$V431)&amp;"")</f>
        <v/>
      </c>
      <c r="C431">
        <f>IF($V431="","",INDEX('Per Line'!$A$2:$A$1501,$V431))</f>
        <v/>
      </c>
      <c r="D431">
        <f>IF($V431="","",INDEX('Per Line'!$Z$2:$Z$1501,$V431)&amp;"")</f>
        <v/>
      </c>
      <c r="E431" s="11">
        <f>IF($V431="","",INDEX('Per Line'!$F$2:$F$1501,$V431))</f>
        <v/>
      </c>
      <c r="F431">
        <f>IF($V431="","",INDEX('Per Line'!$I$2:$I$1501,$V431)&amp;"")</f>
        <v/>
      </c>
      <c r="G431">
        <f>IF($V431="","",INDEX('Per Line'!$J$2:$J$1501,$V431)&amp;"")</f>
        <v/>
      </c>
      <c r="H431">
        <f>IF($V431="","",INDEX('Per Line'!$K$2:$K$1501,$V431)&amp;"")</f>
        <v/>
      </c>
      <c r="I431">
        <f>IF($V431="","",INDEX('Per Line'!$M$2:$M$1501,$V431))</f>
        <v/>
      </c>
      <c r="J431" s="7">
        <f>IF($V431="","",I431*T431/100)</f>
        <v/>
      </c>
      <c r="K431" s="7">
        <f>IF($V431="","",SUMIFS('Per Line'!$V$2:$V$1501,'Per Line'!$D$2:$D$1501,$B431,'Per Line'!$AN$2:$AN$1501,1))</f>
        <v/>
      </c>
      <c r="L431">
        <f>IF($V431="","",Settings!$C$7)</f>
        <v/>
      </c>
      <c r="M431" s="7">
        <f>IF($V431="","",SUMIFS('Per Line'!$V$2:$V$1501,'Per Line'!$D$2:$D$1501,$B431,'Per Line'!$AM$2:$AM$1501,0,'Per Line'!$AN$2:$AN$1501,0))</f>
        <v/>
      </c>
      <c r="N431" s="7">
        <f>IF($V431="","",M431*L431)</f>
        <v/>
      </c>
      <c r="O431">
        <f>IF($V431="","",Settings!$C$6)</f>
        <v/>
      </c>
      <c r="P431" s="7">
        <f>IF($V431="","",SUMIFS('Per Line'!$V$2:$V$1501,'Per Line'!$D$2:$D$1501,$B431,'Per Line'!$AM$2:$AM$1501,1,'Per Line'!$AN$2:$AN$1501,0))</f>
        <v/>
      </c>
      <c r="Q431" s="7">
        <f>IF($V431="","",P431*O431)</f>
        <v/>
      </c>
      <c r="R431" s="7">
        <f>IF($V431="","",Q431+N431)</f>
        <v/>
      </c>
      <c r="S431" s="7">
        <f>IF($V431="","",T431-R431)</f>
        <v/>
      </c>
      <c r="T431" s="7">
        <f>IF($V431="","",M431+P431+K431)</f>
        <v/>
      </c>
      <c r="U431" s="7">
        <f>IF($V431="","",T431-R431-J431)</f>
        <v/>
      </c>
      <c r="V431" s="13">
        <f>IF(ROWS($V$2:$V431)&lt;=MAX('Per Line'!$AL$2:$AL$1501),MATCH(ROWS($V$2:$V431),'Per Line'!$AL$2:$AL$1501,0),"")</f>
        <v/>
      </c>
    </row>
    <row r="432">
      <c r="A432" s="12" t="n"/>
      <c r="B432">
        <f>IF($V432="","",INDEX('Per Line'!$D$2:$D$1501,$V432)&amp;"")</f>
        <v/>
      </c>
      <c r="C432">
        <f>IF($V432="","",INDEX('Per Line'!$A$2:$A$1501,$V432))</f>
        <v/>
      </c>
      <c r="D432">
        <f>IF($V432="","",INDEX('Per Line'!$Z$2:$Z$1501,$V432)&amp;"")</f>
        <v/>
      </c>
      <c r="E432" s="11">
        <f>IF($V432="","",INDEX('Per Line'!$F$2:$F$1501,$V432))</f>
        <v/>
      </c>
      <c r="F432">
        <f>IF($V432="","",INDEX('Per Line'!$I$2:$I$1501,$V432)&amp;"")</f>
        <v/>
      </c>
      <c r="G432">
        <f>IF($V432="","",INDEX('Per Line'!$J$2:$J$1501,$V432)&amp;"")</f>
        <v/>
      </c>
      <c r="H432">
        <f>IF($V432="","",INDEX('Per Line'!$K$2:$K$1501,$V432)&amp;"")</f>
        <v/>
      </c>
      <c r="I432">
        <f>IF($V432="","",INDEX('Per Line'!$M$2:$M$1501,$V432))</f>
        <v/>
      </c>
      <c r="J432" s="7">
        <f>IF($V432="","",I432*T432/100)</f>
        <v/>
      </c>
      <c r="K432" s="7">
        <f>IF($V432="","",SUMIFS('Per Line'!$V$2:$V$1501,'Per Line'!$D$2:$D$1501,$B432,'Per Line'!$AN$2:$AN$1501,1))</f>
        <v/>
      </c>
      <c r="L432">
        <f>IF($V432="","",Settings!$C$7)</f>
        <v/>
      </c>
      <c r="M432" s="7">
        <f>IF($V432="","",SUMIFS('Per Line'!$V$2:$V$1501,'Per Line'!$D$2:$D$1501,$B432,'Per Line'!$AM$2:$AM$1501,0,'Per Line'!$AN$2:$AN$1501,0))</f>
        <v/>
      </c>
      <c r="N432" s="7">
        <f>IF($V432="","",M432*L432)</f>
        <v/>
      </c>
      <c r="O432">
        <f>IF($V432="","",Settings!$C$6)</f>
        <v/>
      </c>
      <c r="P432" s="7">
        <f>IF($V432="","",SUMIFS('Per Line'!$V$2:$V$1501,'Per Line'!$D$2:$D$1501,$B432,'Per Line'!$AM$2:$AM$1501,1,'Per Line'!$AN$2:$AN$1501,0))</f>
        <v/>
      </c>
      <c r="Q432" s="7">
        <f>IF($V432="","",P432*O432)</f>
        <v/>
      </c>
      <c r="R432" s="7">
        <f>IF($V432="","",Q432+N432)</f>
        <v/>
      </c>
      <c r="S432" s="7">
        <f>IF($V432="","",T432-R432)</f>
        <v/>
      </c>
      <c r="T432" s="7">
        <f>IF($V432="","",M432+P432+K432)</f>
        <v/>
      </c>
      <c r="U432" s="7">
        <f>IF($V432="","",T432-R432-J432)</f>
        <v/>
      </c>
      <c r="V432" s="13">
        <f>IF(ROWS($V$2:$V432)&lt;=MAX('Per Line'!$AL$2:$AL$1501),MATCH(ROWS($V$2:$V432),'Per Line'!$AL$2:$AL$1501,0),"")</f>
        <v/>
      </c>
    </row>
    <row r="433">
      <c r="A433" s="12" t="n"/>
      <c r="B433">
        <f>IF($V433="","",INDEX('Per Line'!$D$2:$D$1501,$V433)&amp;"")</f>
        <v/>
      </c>
      <c r="C433">
        <f>IF($V433="","",INDEX('Per Line'!$A$2:$A$1501,$V433))</f>
        <v/>
      </c>
      <c r="D433">
        <f>IF($V433="","",INDEX('Per Line'!$Z$2:$Z$1501,$V433)&amp;"")</f>
        <v/>
      </c>
      <c r="E433" s="11">
        <f>IF($V433="","",INDEX('Per Line'!$F$2:$F$1501,$V433))</f>
        <v/>
      </c>
      <c r="F433">
        <f>IF($V433="","",INDEX('Per Line'!$I$2:$I$1501,$V433)&amp;"")</f>
        <v/>
      </c>
      <c r="G433">
        <f>IF($V433="","",INDEX('Per Line'!$J$2:$J$1501,$V433)&amp;"")</f>
        <v/>
      </c>
      <c r="H433">
        <f>IF($V433="","",INDEX('Per Line'!$K$2:$K$1501,$V433)&amp;"")</f>
        <v/>
      </c>
      <c r="I433">
        <f>IF($V433="","",INDEX('Per Line'!$M$2:$M$1501,$V433))</f>
        <v/>
      </c>
      <c r="J433" s="7">
        <f>IF($V433="","",I433*T433/100)</f>
        <v/>
      </c>
      <c r="K433" s="7">
        <f>IF($V433="","",SUMIFS('Per Line'!$V$2:$V$1501,'Per Line'!$D$2:$D$1501,$B433,'Per Line'!$AN$2:$AN$1501,1))</f>
        <v/>
      </c>
      <c r="L433">
        <f>IF($V433="","",Settings!$C$7)</f>
        <v/>
      </c>
      <c r="M433" s="7">
        <f>IF($V433="","",SUMIFS('Per Line'!$V$2:$V$1501,'Per Line'!$D$2:$D$1501,$B433,'Per Line'!$AM$2:$AM$1501,0,'Per Line'!$AN$2:$AN$1501,0))</f>
        <v/>
      </c>
      <c r="N433" s="7">
        <f>IF($V433="","",M433*L433)</f>
        <v/>
      </c>
      <c r="O433">
        <f>IF($V433="","",Settings!$C$6)</f>
        <v/>
      </c>
      <c r="P433" s="7">
        <f>IF($V433="","",SUMIFS('Per Line'!$V$2:$V$1501,'Per Line'!$D$2:$D$1501,$B433,'Per Line'!$AM$2:$AM$1501,1,'Per Line'!$AN$2:$AN$1501,0))</f>
        <v/>
      </c>
      <c r="Q433" s="7">
        <f>IF($V433="","",P433*O433)</f>
        <v/>
      </c>
      <c r="R433" s="7">
        <f>IF($V433="","",Q433+N433)</f>
        <v/>
      </c>
      <c r="S433" s="7">
        <f>IF($V433="","",T433-R433)</f>
        <v/>
      </c>
      <c r="T433" s="7">
        <f>IF($V433="","",M433+P433+K433)</f>
        <v/>
      </c>
      <c r="U433" s="7">
        <f>IF($V433="","",T433-R433-J433)</f>
        <v/>
      </c>
      <c r="V433" s="13">
        <f>IF(ROWS($V$2:$V433)&lt;=MAX('Per Line'!$AL$2:$AL$1501),MATCH(ROWS($V$2:$V433),'Per Line'!$AL$2:$AL$1501,0),"")</f>
        <v/>
      </c>
    </row>
    <row r="434">
      <c r="A434" s="12" t="n"/>
      <c r="B434">
        <f>IF($V434="","",INDEX('Per Line'!$D$2:$D$1501,$V434)&amp;"")</f>
        <v/>
      </c>
      <c r="C434">
        <f>IF($V434="","",INDEX('Per Line'!$A$2:$A$1501,$V434))</f>
        <v/>
      </c>
      <c r="D434">
        <f>IF($V434="","",INDEX('Per Line'!$Z$2:$Z$1501,$V434)&amp;"")</f>
        <v/>
      </c>
      <c r="E434" s="11">
        <f>IF($V434="","",INDEX('Per Line'!$F$2:$F$1501,$V434))</f>
        <v/>
      </c>
      <c r="F434">
        <f>IF($V434="","",INDEX('Per Line'!$I$2:$I$1501,$V434)&amp;"")</f>
        <v/>
      </c>
      <c r="G434">
        <f>IF($V434="","",INDEX('Per Line'!$J$2:$J$1501,$V434)&amp;"")</f>
        <v/>
      </c>
      <c r="H434">
        <f>IF($V434="","",INDEX('Per Line'!$K$2:$K$1501,$V434)&amp;"")</f>
        <v/>
      </c>
      <c r="I434">
        <f>IF($V434="","",INDEX('Per Line'!$M$2:$M$1501,$V434))</f>
        <v/>
      </c>
      <c r="J434" s="7">
        <f>IF($V434="","",I434*T434/100)</f>
        <v/>
      </c>
      <c r="K434" s="7">
        <f>IF($V434="","",SUMIFS('Per Line'!$V$2:$V$1501,'Per Line'!$D$2:$D$1501,$B434,'Per Line'!$AN$2:$AN$1501,1))</f>
        <v/>
      </c>
      <c r="L434">
        <f>IF($V434="","",Settings!$C$7)</f>
        <v/>
      </c>
      <c r="M434" s="7">
        <f>IF($V434="","",SUMIFS('Per Line'!$V$2:$V$1501,'Per Line'!$D$2:$D$1501,$B434,'Per Line'!$AM$2:$AM$1501,0,'Per Line'!$AN$2:$AN$1501,0))</f>
        <v/>
      </c>
      <c r="N434" s="7">
        <f>IF($V434="","",M434*L434)</f>
        <v/>
      </c>
      <c r="O434">
        <f>IF($V434="","",Settings!$C$6)</f>
        <v/>
      </c>
      <c r="P434" s="7">
        <f>IF($V434="","",SUMIFS('Per Line'!$V$2:$V$1501,'Per Line'!$D$2:$D$1501,$B434,'Per Line'!$AM$2:$AM$1501,1,'Per Line'!$AN$2:$AN$1501,0))</f>
        <v/>
      </c>
      <c r="Q434" s="7">
        <f>IF($V434="","",P434*O434)</f>
        <v/>
      </c>
      <c r="R434" s="7">
        <f>IF($V434="","",Q434+N434)</f>
        <v/>
      </c>
      <c r="S434" s="7">
        <f>IF($V434="","",T434-R434)</f>
        <v/>
      </c>
      <c r="T434" s="7">
        <f>IF($V434="","",M434+P434+K434)</f>
        <v/>
      </c>
      <c r="U434" s="7">
        <f>IF($V434="","",T434-R434-J434)</f>
        <v/>
      </c>
      <c r="V434" s="13">
        <f>IF(ROWS($V$2:$V434)&lt;=MAX('Per Line'!$AL$2:$AL$1501),MATCH(ROWS($V$2:$V434),'Per Line'!$AL$2:$AL$1501,0),"")</f>
        <v/>
      </c>
    </row>
    <row r="435">
      <c r="A435" s="12" t="n"/>
      <c r="B435">
        <f>IF($V435="","",INDEX('Per Line'!$D$2:$D$1501,$V435)&amp;"")</f>
        <v/>
      </c>
      <c r="C435">
        <f>IF($V435="","",INDEX('Per Line'!$A$2:$A$1501,$V435))</f>
        <v/>
      </c>
      <c r="D435">
        <f>IF($V435="","",INDEX('Per Line'!$Z$2:$Z$1501,$V435)&amp;"")</f>
        <v/>
      </c>
      <c r="E435" s="11">
        <f>IF($V435="","",INDEX('Per Line'!$F$2:$F$1501,$V435))</f>
        <v/>
      </c>
      <c r="F435">
        <f>IF($V435="","",INDEX('Per Line'!$I$2:$I$1501,$V435)&amp;"")</f>
        <v/>
      </c>
      <c r="G435">
        <f>IF($V435="","",INDEX('Per Line'!$J$2:$J$1501,$V435)&amp;"")</f>
        <v/>
      </c>
      <c r="H435">
        <f>IF($V435="","",INDEX('Per Line'!$K$2:$K$1501,$V435)&amp;"")</f>
        <v/>
      </c>
      <c r="I435">
        <f>IF($V435="","",INDEX('Per Line'!$M$2:$M$1501,$V435))</f>
        <v/>
      </c>
      <c r="J435" s="7">
        <f>IF($V435="","",I435*T435/100)</f>
        <v/>
      </c>
      <c r="K435" s="7">
        <f>IF($V435="","",SUMIFS('Per Line'!$V$2:$V$1501,'Per Line'!$D$2:$D$1501,$B435,'Per Line'!$AN$2:$AN$1501,1))</f>
        <v/>
      </c>
      <c r="L435">
        <f>IF($V435="","",Settings!$C$7)</f>
        <v/>
      </c>
      <c r="M435" s="7">
        <f>IF($V435="","",SUMIFS('Per Line'!$V$2:$V$1501,'Per Line'!$D$2:$D$1501,$B435,'Per Line'!$AM$2:$AM$1501,0,'Per Line'!$AN$2:$AN$1501,0))</f>
        <v/>
      </c>
      <c r="N435" s="7">
        <f>IF($V435="","",M435*L435)</f>
        <v/>
      </c>
      <c r="O435">
        <f>IF($V435="","",Settings!$C$6)</f>
        <v/>
      </c>
      <c r="P435" s="7">
        <f>IF($V435="","",SUMIFS('Per Line'!$V$2:$V$1501,'Per Line'!$D$2:$D$1501,$B435,'Per Line'!$AM$2:$AM$1501,1,'Per Line'!$AN$2:$AN$1501,0))</f>
        <v/>
      </c>
      <c r="Q435" s="7">
        <f>IF($V435="","",P435*O435)</f>
        <v/>
      </c>
      <c r="R435" s="7">
        <f>IF($V435="","",Q435+N435)</f>
        <v/>
      </c>
      <c r="S435" s="7">
        <f>IF($V435="","",T435-R435)</f>
        <v/>
      </c>
      <c r="T435" s="7">
        <f>IF($V435="","",M435+P435+K435)</f>
        <v/>
      </c>
      <c r="U435" s="7">
        <f>IF($V435="","",T435-R435-J435)</f>
        <v/>
      </c>
      <c r="V435" s="13">
        <f>IF(ROWS($V$2:$V435)&lt;=MAX('Per Line'!$AL$2:$AL$1501),MATCH(ROWS($V$2:$V435),'Per Line'!$AL$2:$AL$1501,0),"")</f>
        <v/>
      </c>
    </row>
    <row r="436">
      <c r="A436" s="12" t="n"/>
      <c r="B436">
        <f>IF($V436="","",INDEX('Per Line'!$D$2:$D$1501,$V436)&amp;"")</f>
        <v/>
      </c>
      <c r="C436">
        <f>IF($V436="","",INDEX('Per Line'!$A$2:$A$1501,$V436))</f>
        <v/>
      </c>
      <c r="D436">
        <f>IF($V436="","",INDEX('Per Line'!$Z$2:$Z$1501,$V436)&amp;"")</f>
        <v/>
      </c>
      <c r="E436" s="11">
        <f>IF($V436="","",INDEX('Per Line'!$F$2:$F$1501,$V436))</f>
        <v/>
      </c>
      <c r="F436">
        <f>IF($V436="","",INDEX('Per Line'!$I$2:$I$1501,$V436)&amp;"")</f>
        <v/>
      </c>
      <c r="G436">
        <f>IF($V436="","",INDEX('Per Line'!$J$2:$J$1501,$V436)&amp;"")</f>
        <v/>
      </c>
      <c r="H436">
        <f>IF($V436="","",INDEX('Per Line'!$K$2:$K$1501,$V436)&amp;"")</f>
        <v/>
      </c>
      <c r="I436">
        <f>IF($V436="","",INDEX('Per Line'!$M$2:$M$1501,$V436))</f>
        <v/>
      </c>
      <c r="J436" s="7">
        <f>IF($V436="","",I436*T436/100)</f>
        <v/>
      </c>
      <c r="K436" s="7">
        <f>IF($V436="","",SUMIFS('Per Line'!$V$2:$V$1501,'Per Line'!$D$2:$D$1501,$B436,'Per Line'!$AN$2:$AN$1501,1))</f>
        <v/>
      </c>
      <c r="L436">
        <f>IF($V436="","",Settings!$C$7)</f>
        <v/>
      </c>
      <c r="M436" s="7">
        <f>IF($V436="","",SUMIFS('Per Line'!$V$2:$V$1501,'Per Line'!$D$2:$D$1501,$B436,'Per Line'!$AM$2:$AM$1501,0,'Per Line'!$AN$2:$AN$1501,0))</f>
        <v/>
      </c>
      <c r="N436" s="7">
        <f>IF($V436="","",M436*L436)</f>
        <v/>
      </c>
      <c r="O436">
        <f>IF($V436="","",Settings!$C$6)</f>
        <v/>
      </c>
      <c r="P436" s="7">
        <f>IF($V436="","",SUMIFS('Per Line'!$V$2:$V$1501,'Per Line'!$D$2:$D$1501,$B436,'Per Line'!$AM$2:$AM$1501,1,'Per Line'!$AN$2:$AN$1501,0))</f>
        <v/>
      </c>
      <c r="Q436" s="7">
        <f>IF($V436="","",P436*O436)</f>
        <v/>
      </c>
      <c r="R436" s="7">
        <f>IF($V436="","",Q436+N436)</f>
        <v/>
      </c>
      <c r="S436" s="7">
        <f>IF($V436="","",T436-R436)</f>
        <v/>
      </c>
      <c r="T436" s="7">
        <f>IF($V436="","",M436+P436+K436)</f>
        <v/>
      </c>
      <c r="U436" s="7">
        <f>IF($V436="","",T436-R436-J436)</f>
        <v/>
      </c>
      <c r="V436" s="13">
        <f>IF(ROWS($V$2:$V436)&lt;=MAX('Per Line'!$AL$2:$AL$1501),MATCH(ROWS($V$2:$V436),'Per Line'!$AL$2:$AL$1501,0),"")</f>
        <v/>
      </c>
    </row>
    <row r="437">
      <c r="A437" s="12" t="n"/>
      <c r="B437">
        <f>IF($V437="","",INDEX('Per Line'!$D$2:$D$1501,$V437)&amp;"")</f>
        <v/>
      </c>
      <c r="C437">
        <f>IF($V437="","",INDEX('Per Line'!$A$2:$A$1501,$V437))</f>
        <v/>
      </c>
      <c r="D437">
        <f>IF($V437="","",INDEX('Per Line'!$Z$2:$Z$1501,$V437)&amp;"")</f>
        <v/>
      </c>
      <c r="E437" s="11">
        <f>IF($V437="","",INDEX('Per Line'!$F$2:$F$1501,$V437))</f>
        <v/>
      </c>
      <c r="F437">
        <f>IF($V437="","",INDEX('Per Line'!$I$2:$I$1501,$V437)&amp;"")</f>
        <v/>
      </c>
      <c r="G437">
        <f>IF($V437="","",INDEX('Per Line'!$J$2:$J$1501,$V437)&amp;"")</f>
        <v/>
      </c>
      <c r="H437">
        <f>IF($V437="","",INDEX('Per Line'!$K$2:$K$1501,$V437)&amp;"")</f>
        <v/>
      </c>
      <c r="I437">
        <f>IF($V437="","",INDEX('Per Line'!$M$2:$M$1501,$V437))</f>
        <v/>
      </c>
      <c r="J437" s="7">
        <f>IF($V437="","",I437*T437/100)</f>
        <v/>
      </c>
      <c r="K437" s="7">
        <f>IF($V437="","",SUMIFS('Per Line'!$V$2:$V$1501,'Per Line'!$D$2:$D$1501,$B437,'Per Line'!$AN$2:$AN$1501,1))</f>
        <v/>
      </c>
      <c r="L437">
        <f>IF($V437="","",Settings!$C$7)</f>
        <v/>
      </c>
      <c r="M437" s="7">
        <f>IF($V437="","",SUMIFS('Per Line'!$V$2:$V$1501,'Per Line'!$D$2:$D$1501,$B437,'Per Line'!$AM$2:$AM$1501,0,'Per Line'!$AN$2:$AN$1501,0))</f>
        <v/>
      </c>
      <c r="N437" s="7">
        <f>IF($V437="","",M437*L437)</f>
        <v/>
      </c>
      <c r="O437">
        <f>IF($V437="","",Settings!$C$6)</f>
        <v/>
      </c>
      <c r="P437" s="7">
        <f>IF($V437="","",SUMIFS('Per Line'!$V$2:$V$1501,'Per Line'!$D$2:$D$1501,$B437,'Per Line'!$AM$2:$AM$1501,1,'Per Line'!$AN$2:$AN$1501,0))</f>
        <v/>
      </c>
      <c r="Q437" s="7">
        <f>IF($V437="","",P437*O437)</f>
        <v/>
      </c>
      <c r="R437" s="7">
        <f>IF($V437="","",Q437+N437)</f>
        <v/>
      </c>
      <c r="S437" s="7">
        <f>IF($V437="","",T437-R437)</f>
        <v/>
      </c>
      <c r="T437" s="7">
        <f>IF($V437="","",M437+P437+K437)</f>
        <v/>
      </c>
      <c r="U437" s="7">
        <f>IF($V437="","",T437-R437-J437)</f>
        <v/>
      </c>
      <c r="V437" s="13">
        <f>IF(ROWS($V$2:$V437)&lt;=MAX('Per Line'!$AL$2:$AL$1501),MATCH(ROWS($V$2:$V437),'Per Line'!$AL$2:$AL$1501,0),"")</f>
        <v/>
      </c>
    </row>
    <row r="438">
      <c r="A438" s="12" t="n"/>
      <c r="B438">
        <f>IF($V438="","",INDEX('Per Line'!$D$2:$D$1501,$V438)&amp;"")</f>
        <v/>
      </c>
      <c r="C438">
        <f>IF($V438="","",INDEX('Per Line'!$A$2:$A$1501,$V438))</f>
        <v/>
      </c>
      <c r="D438">
        <f>IF($V438="","",INDEX('Per Line'!$Z$2:$Z$1501,$V438)&amp;"")</f>
        <v/>
      </c>
      <c r="E438" s="11">
        <f>IF($V438="","",INDEX('Per Line'!$F$2:$F$1501,$V438))</f>
        <v/>
      </c>
      <c r="F438">
        <f>IF($V438="","",INDEX('Per Line'!$I$2:$I$1501,$V438)&amp;"")</f>
        <v/>
      </c>
      <c r="G438">
        <f>IF($V438="","",INDEX('Per Line'!$J$2:$J$1501,$V438)&amp;"")</f>
        <v/>
      </c>
      <c r="H438">
        <f>IF($V438="","",INDEX('Per Line'!$K$2:$K$1501,$V438)&amp;"")</f>
        <v/>
      </c>
      <c r="I438">
        <f>IF($V438="","",INDEX('Per Line'!$M$2:$M$1501,$V438))</f>
        <v/>
      </c>
      <c r="J438" s="7">
        <f>IF($V438="","",I438*T438/100)</f>
        <v/>
      </c>
      <c r="K438" s="7">
        <f>IF($V438="","",SUMIFS('Per Line'!$V$2:$V$1501,'Per Line'!$D$2:$D$1501,$B438,'Per Line'!$AN$2:$AN$1501,1))</f>
        <v/>
      </c>
      <c r="L438">
        <f>IF($V438="","",Settings!$C$7)</f>
        <v/>
      </c>
      <c r="M438" s="7">
        <f>IF($V438="","",SUMIFS('Per Line'!$V$2:$V$1501,'Per Line'!$D$2:$D$1501,$B438,'Per Line'!$AM$2:$AM$1501,0,'Per Line'!$AN$2:$AN$1501,0))</f>
        <v/>
      </c>
      <c r="N438" s="7">
        <f>IF($V438="","",M438*L438)</f>
        <v/>
      </c>
      <c r="O438">
        <f>IF($V438="","",Settings!$C$6)</f>
        <v/>
      </c>
      <c r="P438" s="7">
        <f>IF($V438="","",SUMIFS('Per Line'!$V$2:$V$1501,'Per Line'!$D$2:$D$1501,$B438,'Per Line'!$AM$2:$AM$1501,1,'Per Line'!$AN$2:$AN$1501,0))</f>
        <v/>
      </c>
      <c r="Q438" s="7">
        <f>IF($V438="","",P438*O438)</f>
        <v/>
      </c>
      <c r="R438" s="7">
        <f>IF($V438="","",Q438+N438)</f>
        <v/>
      </c>
      <c r="S438" s="7">
        <f>IF($V438="","",T438-R438)</f>
        <v/>
      </c>
      <c r="T438" s="7">
        <f>IF($V438="","",M438+P438+K438)</f>
        <v/>
      </c>
      <c r="U438" s="7">
        <f>IF($V438="","",T438-R438-J438)</f>
        <v/>
      </c>
      <c r="V438" s="13">
        <f>IF(ROWS($V$2:$V438)&lt;=MAX('Per Line'!$AL$2:$AL$1501),MATCH(ROWS($V$2:$V438),'Per Line'!$AL$2:$AL$1501,0),"")</f>
        <v/>
      </c>
    </row>
    <row r="439">
      <c r="A439" s="12" t="n"/>
      <c r="B439">
        <f>IF($V439="","",INDEX('Per Line'!$D$2:$D$1501,$V439)&amp;"")</f>
        <v/>
      </c>
      <c r="C439">
        <f>IF($V439="","",INDEX('Per Line'!$A$2:$A$1501,$V439))</f>
        <v/>
      </c>
      <c r="D439">
        <f>IF($V439="","",INDEX('Per Line'!$Z$2:$Z$1501,$V439)&amp;"")</f>
        <v/>
      </c>
      <c r="E439" s="11">
        <f>IF($V439="","",INDEX('Per Line'!$F$2:$F$1501,$V439))</f>
        <v/>
      </c>
      <c r="F439">
        <f>IF($V439="","",INDEX('Per Line'!$I$2:$I$1501,$V439)&amp;"")</f>
        <v/>
      </c>
      <c r="G439">
        <f>IF($V439="","",INDEX('Per Line'!$J$2:$J$1501,$V439)&amp;"")</f>
        <v/>
      </c>
      <c r="H439">
        <f>IF($V439="","",INDEX('Per Line'!$K$2:$K$1501,$V439)&amp;"")</f>
        <v/>
      </c>
      <c r="I439">
        <f>IF($V439="","",INDEX('Per Line'!$M$2:$M$1501,$V439))</f>
        <v/>
      </c>
      <c r="J439" s="7">
        <f>IF($V439="","",I439*T439/100)</f>
        <v/>
      </c>
      <c r="K439" s="7">
        <f>IF($V439="","",SUMIFS('Per Line'!$V$2:$V$1501,'Per Line'!$D$2:$D$1501,$B439,'Per Line'!$AN$2:$AN$1501,1))</f>
        <v/>
      </c>
      <c r="L439">
        <f>IF($V439="","",Settings!$C$7)</f>
        <v/>
      </c>
      <c r="M439" s="7">
        <f>IF($V439="","",SUMIFS('Per Line'!$V$2:$V$1501,'Per Line'!$D$2:$D$1501,$B439,'Per Line'!$AM$2:$AM$1501,0,'Per Line'!$AN$2:$AN$1501,0))</f>
        <v/>
      </c>
      <c r="N439" s="7">
        <f>IF($V439="","",M439*L439)</f>
        <v/>
      </c>
      <c r="O439">
        <f>IF($V439="","",Settings!$C$6)</f>
        <v/>
      </c>
      <c r="P439" s="7">
        <f>IF($V439="","",SUMIFS('Per Line'!$V$2:$V$1501,'Per Line'!$D$2:$D$1501,$B439,'Per Line'!$AM$2:$AM$1501,1,'Per Line'!$AN$2:$AN$1501,0))</f>
        <v/>
      </c>
      <c r="Q439" s="7">
        <f>IF($V439="","",P439*O439)</f>
        <v/>
      </c>
      <c r="R439" s="7">
        <f>IF($V439="","",Q439+N439)</f>
        <v/>
      </c>
      <c r="S439" s="7">
        <f>IF($V439="","",T439-R439)</f>
        <v/>
      </c>
      <c r="T439" s="7">
        <f>IF($V439="","",M439+P439+K439)</f>
        <v/>
      </c>
      <c r="U439" s="7">
        <f>IF($V439="","",T439-R439-J439)</f>
        <v/>
      </c>
      <c r="V439" s="13">
        <f>IF(ROWS($V$2:$V439)&lt;=MAX('Per Line'!$AL$2:$AL$1501),MATCH(ROWS($V$2:$V439),'Per Line'!$AL$2:$AL$1501,0),"")</f>
        <v/>
      </c>
    </row>
    <row r="440">
      <c r="A440" s="12" t="n"/>
      <c r="B440">
        <f>IF($V440="","",INDEX('Per Line'!$D$2:$D$1501,$V440)&amp;"")</f>
        <v/>
      </c>
      <c r="C440">
        <f>IF($V440="","",INDEX('Per Line'!$A$2:$A$1501,$V440))</f>
        <v/>
      </c>
      <c r="D440">
        <f>IF($V440="","",INDEX('Per Line'!$Z$2:$Z$1501,$V440)&amp;"")</f>
        <v/>
      </c>
      <c r="E440" s="11">
        <f>IF($V440="","",INDEX('Per Line'!$F$2:$F$1501,$V440))</f>
        <v/>
      </c>
      <c r="F440">
        <f>IF($V440="","",INDEX('Per Line'!$I$2:$I$1501,$V440)&amp;"")</f>
        <v/>
      </c>
      <c r="G440">
        <f>IF($V440="","",INDEX('Per Line'!$J$2:$J$1501,$V440)&amp;"")</f>
        <v/>
      </c>
      <c r="H440">
        <f>IF($V440="","",INDEX('Per Line'!$K$2:$K$1501,$V440)&amp;"")</f>
        <v/>
      </c>
      <c r="I440">
        <f>IF($V440="","",INDEX('Per Line'!$M$2:$M$1501,$V440))</f>
        <v/>
      </c>
      <c r="J440" s="7">
        <f>IF($V440="","",I440*T440/100)</f>
        <v/>
      </c>
      <c r="K440" s="7">
        <f>IF($V440="","",SUMIFS('Per Line'!$V$2:$V$1501,'Per Line'!$D$2:$D$1501,$B440,'Per Line'!$AN$2:$AN$1501,1))</f>
        <v/>
      </c>
      <c r="L440">
        <f>IF($V440="","",Settings!$C$7)</f>
        <v/>
      </c>
      <c r="M440" s="7">
        <f>IF($V440="","",SUMIFS('Per Line'!$V$2:$V$1501,'Per Line'!$D$2:$D$1501,$B440,'Per Line'!$AM$2:$AM$1501,0,'Per Line'!$AN$2:$AN$1501,0))</f>
        <v/>
      </c>
      <c r="N440" s="7">
        <f>IF($V440="","",M440*L440)</f>
        <v/>
      </c>
      <c r="O440">
        <f>IF($V440="","",Settings!$C$6)</f>
        <v/>
      </c>
      <c r="P440" s="7">
        <f>IF($V440="","",SUMIFS('Per Line'!$V$2:$V$1501,'Per Line'!$D$2:$D$1501,$B440,'Per Line'!$AM$2:$AM$1501,1,'Per Line'!$AN$2:$AN$1501,0))</f>
        <v/>
      </c>
      <c r="Q440" s="7">
        <f>IF($V440="","",P440*O440)</f>
        <v/>
      </c>
      <c r="R440" s="7">
        <f>IF($V440="","",Q440+N440)</f>
        <v/>
      </c>
      <c r="S440" s="7">
        <f>IF($V440="","",T440-R440)</f>
        <v/>
      </c>
      <c r="T440" s="7">
        <f>IF($V440="","",M440+P440+K440)</f>
        <v/>
      </c>
      <c r="U440" s="7">
        <f>IF($V440="","",T440-R440-J440)</f>
        <v/>
      </c>
      <c r="V440" s="13">
        <f>IF(ROWS($V$2:$V440)&lt;=MAX('Per Line'!$AL$2:$AL$1501),MATCH(ROWS($V$2:$V440),'Per Line'!$AL$2:$AL$1501,0),"")</f>
        <v/>
      </c>
    </row>
    <row r="441">
      <c r="A441" s="12" t="n"/>
      <c r="B441">
        <f>IF($V441="","",INDEX('Per Line'!$D$2:$D$1501,$V441)&amp;"")</f>
        <v/>
      </c>
      <c r="C441">
        <f>IF($V441="","",INDEX('Per Line'!$A$2:$A$1501,$V441))</f>
        <v/>
      </c>
      <c r="D441">
        <f>IF($V441="","",INDEX('Per Line'!$Z$2:$Z$1501,$V441)&amp;"")</f>
        <v/>
      </c>
      <c r="E441" s="11">
        <f>IF($V441="","",INDEX('Per Line'!$F$2:$F$1501,$V441))</f>
        <v/>
      </c>
      <c r="F441">
        <f>IF($V441="","",INDEX('Per Line'!$I$2:$I$1501,$V441)&amp;"")</f>
        <v/>
      </c>
      <c r="G441">
        <f>IF($V441="","",INDEX('Per Line'!$J$2:$J$1501,$V441)&amp;"")</f>
        <v/>
      </c>
      <c r="H441">
        <f>IF($V441="","",INDEX('Per Line'!$K$2:$K$1501,$V441)&amp;"")</f>
        <v/>
      </c>
      <c r="I441">
        <f>IF($V441="","",INDEX('Per Line'!$M$2:$M$1501,$V441))</f>
        <v/>
      </c>
      <c r="J441" s="7">
        <f>IF($V441="","",I441*T441/100)</f>
        <v/>
      </c>
      <c r="K441" s="7">
        <f>IF($V441="","",SUMIFS('Per Line'!$V$2:$V$1501,'Per Line'!$D$2:$D$1501,$B441,'Per Line'!$AN$2:$AN$1501,1))</f>
        <v/>
      </c>
      <c r="L441">
        <f>IF($V441="","",Settings!$C$7)</f>
        <v/>
      </c>
      <c r="M441" s="7">
        <f>IF($V441="","",SUMIFS('Per Line'!$V$2:$V$1501,'Per Line'!$D$2:$D$1501,$B441,'Per Line'!$AM$2:$AM$1501,0,'Per Line'!$AN$2:$AN$1501,0))</f>
        <v/>
      </c>
      <c r="N441" s="7">
        <f>IF($V441="","",M441*L441)</f>
        <v/>
      </c>
      <c r="O441">
        <f>IF($V441="","",Settings!$C$6)</f>
        <v/>
      </c>
      <c r="P441" s="7">
        <f>IF($V441="","",SUMIFS('Per Line'!$V$2:$V$1501,'Per Line'!$D$2:$D$1501,$B441,'Per Line'!$AM$2:$AM$1501,1,'Per Line'!$AN$2:$AN$1501,0))</f>
        <v/>
      </c>
      <c r="Q441" s="7">
        <f>IF($V441="","",P441*O441)</f>
        <v/>
      </c>
      <c r="R441" s="7">
        <f>IF($V441="","",Q441+N441)</f>
        <v/>
      </c>
      <c r="S441" s="7">
        <f>IF($V441="","",T441-R441)</f>
        <v/>
      </c>
      <c r="T441" s="7">
        <f>IF($V441="","",M441+P441+K441)</f>
        <v/>
      </c>
      <c r="U441" s="7">
        <f>IF($V441="","",T441-R441-J441)</f>
        <v/>
      </c>
      <c r="V441" s="13">
        <f>IF(ROWS($V$2:$V441)&lt;=MAX('Per Line'!$AL$2:$AL$1501),MATCH(ROWS($V$2:$V441),'Per Line'!$AL$2:$AL$1501,0),"")</f>
        <v/>
      </c>
    </row>
    <row r="442">
      <c r="A442" s="12" t="n"/>
      <c r="B442">
        <f>IF($V442="","",INDEX('Per Line'!$D$2:$D$1501,$V442)&amp;"")</f>
        <v/>
      </c>
      <c r="C442">
        <f>IF($V442="","",INDEX('Per Line'!$A$2:$A$1501,$V442))</f>
        <v/>
      </c>
      <c r="D442">
        <f>IF($V442="","",INDEX('Per Line'!$Z$2:$Z$1501,$V442)&amp;"")</f>
        <v/>
      </c>
      <c r="E442" s="11">
        <f>IF($V442="","",INDEX('Per Line'!$F$2:$F$1501,$V442))</f>
        <v/>
      </c>
      <c r="F442">
        <f>IF($V442="","",INDEX('Per Line'!$I$2:$I$1501,$V442)&amp;"")</f>
        <v/>
      </c>
      <c r="G442">
        <f>IF($V442="","",INDEX('Per Line'!$J$2:$J$1501,$V442)&amp;"")</f>
        <v/>
      </c>
      <c r="H442">
        <f>IF($V442="","",INDEX('Per Line'!$K$2:$K$1501,$V442)&amp;"")</f>
        <v/>
      </c>
      <c r="I442">
        <f>IF($V442="","",INDEX('Per Line'!$M$2:$M$1501,$V442))</f>
        <v/>
      </c>
      <c r="J442" s="7">
        <f>IF($V442="","",I442*T442/100)</f>
        <v/>
      </c>
      <c r="K442" s="7">
        <f>IF($V442="","",SUMIFS('Per Line'!$V$2:$V$1501,'Per Line'!$D$2:$D$1501,$B442,'Per Line'!$AN$2:$AN$1501,1))</f>
        <v/>
      </c>
      <c r="L442">
        <f>IF($V442="","",Settings!$C$7)</f>
        <v/>
      </c>
      <c r="M442" s="7">
        <f>IF($V442="","",SUMIFS('Per Line'!$V$2:$V$1501,'Per Line'!$D$2:$D$1501,$B442,'Per Line'!$AM$2:$AM$1501,0,'Per Line'!$AN$2:$AN$1501,0))</f>
        <v/>
      </c>
      <c r="N442" s="7">
        <f>IF($V442="","",M442*L442)</f>
        <v/>
      </c>
      <c r="O442">
        <f>IF($V442="","",Settings!$C$6)</f>
        <v/>
      </c>
      <c r="P442" s="7">
        <f>IF($V442="","",SUMIFS('Per Line'!$V$2:$V$1501,'Per Line'!$D$2:$D$1501,$B442,'Per Line'!$AM$2:$AM$1501,1,'Per Line'!$AN$2:$AN$1501,0))</f>
        <v/>
      </c>
      <c r="Q442" s="7">
        <f>IF($V442="","",P442*O442)</f>
        <v/>
      </c>
      <c r="R442" s="7">
        <f>IF($V442="","",Q442+N442)</f>
        <v/>
      </c>
      <c r="S442" s="7">
        <f>IF($V442="","",T442-R442)</f>
        <v/>
      </c>
      <c r="T442" s="7">
        <f>IF($V442="","",M442+P442+K442)</f>
        <v/>
      </c>
      <c r="U442" s="7">
        <f>IF($V442="","",T442-R442-J442)</f>
        <v/>
      </c>
      <c r="V442" s="13">
        <f>IF(ROWS($V$2:$V442)&lt;=MAX('Per Line'!$AL$2:$AL$1501),MATCH(ROWS($V$2:$V442),'Per Line'!$AL$2:$AL$1501,0),"")</f>
        <v/>
      </c>
    </row>
    <row r="443">
      <c r="A443" s="12" t="n"/>
      <c r="B443">
        <f>IF($V443="","",INDEX('Per Line'!$D$2:$D$1501,$V443)&amp;"")</f>
        <v/>
      </c>
      <c r="C443">
        <f>IF($V443="","",INDEX('Per Line'!$A$2:$A$1501,$V443))</f>
        <v/>
      </c>
      <c r="D443">
        <f>IF($V443="","",INDEX('Per Line'!$Z$2:$Z$1501,$V443)&amp;"")</f>
        <v/>
      </c>
      <c r="E443" s="11">
        <f>IF($V443="","",INDEX('Per Line'!$F$2:$F$1501,$V443))</f>
        <v/>
      </c>
      <c r="F443">
        <f>IF($V443="","",INDEX('Per Line'!$I$2:$I$1501,$V443)&amp;"")</f>
        <v/>
      </c>
      <c r="G443">
        <f>IF($V443="","",INDEX('Per Line'!$J$2:$J$1501,$V443)&amp;"")</f>
        <v/>
      </c>
      <c r="H443">
        <f>IF($V443="","",INDEX('Per Line'!$K$2:$K$1501,$V443)&amp;"")</f>
        <v/>
      </c>
      <c r="I443">
        <f>IF($V443="","",INDEX('Per Line'!$M$2:$M$1501,$V443))</f>
        <v/>
      </c>
      <c r="J443" s="7">
        <f>IF($V443="","",I443*T443/100)</f>
        <v/>
      </c>
      <c r="K443" s="7">
        <f>IF($V443="","",SUMIFS('Per Line'!$V$2:$V$1501,'Per Line'!$D$2:$D$1501,$B443,'Per Line'!$AN$2:$AN$1501,1))</f>
        <v/>
      </c>
      <c r="L443">
        <f>IF($V443="","",Settings!$C$7)</f>
        <v/>
      </c>
      <c r="M443" s="7">
        <f>IF($V443="","",SUMIFS('Per Line'!$V$2:$V$1501,'Per Line'!$D$2:$D$1501,$B443,'Per Line'!$AM$2:$AM$1501,0,'Per Line'!$AN$2:$AN$1501,0))</f>
        <v/>
      </c>
      <c r="N443" s="7">
        <f>IF($V443="","",M443*L443)</f>
        <v/>
      </c>
      <c r="O443">
        <f>IF($V443="","",Settings!$C$6)</f>
        <v/>
      </c>
      <c r="P443" s="7">
        <f>IF($V443="","",SUMIFS('Per Line'!$V$2:$V$1501,'Per Line'!$D$2:$D$1501,$B443,'Per Line'!$AM$2:$AM$1501,1,'Per Line'!$AN$2:$AN$1501,0))</f>
        <v/>
      </c>
      <c r="Q443" s="7">
        <f>IF($V443="","",P443*O443)</f>
        <v/>
      </c>
      <c r="R443" s="7">
        <f>IF($V443="","",Q443+N443)</f>
        <v/>
      </c>
      <c r="S443" s="7">
        <f>IF($V443="","",T443-R443)</f>
        <v/>
      </c>
      <c r="T443" s="7">
        <f>IF($V443="","",M443+P443+K443)</f>
        <v/>
      </c>
      <c r="U443" s="7">
        <f>IF($V443="","",T443-R443-J443)</f>
        <v/>
      </c>
      <c r="V443" s="13">
        <f>IF(ROWS($V$2:$V443)&lt;=MAX('Per Line'!$AL$2:$AL$1501),MATCH(ROWS($V$2:$V443),'Per Line'!$AL$2:$AL$1501,0),"")</f>
        <v/>
      </c>
    </row>
    <row r="444">
      <c r="A444" s="12" t="n"/>
      <c r="B444">
        <f>IF($V444="","",INDEX('Per Line'!$D$2:$D$1501,$V444)&amp;"")</f>
        <v/>
      </c>
      <c r="C444">
        <f>IF($V444="","",INDEX('Per Line'!$A$2:$A$1501,$V444))</f>
        <v/>
      </c>
      <c r="D444">
        <f>IF($V444="","",INDEX('Per Line'!$Z$2:$Z$1501,$V444)&amp;"")</f>
        <v/>
      </c>
      <c r="E444" s="11">
        <f>IF($V444="","",INDEX('Per Line'!$F$2:$F$1501,$V444))</f>
        <v/>
      </c>
      <c r="F444">
        <f>IF($V444="","",INDEX('Per Line'!$I$2:$I$1501,$V444)&amp;"")</f>
        <v/>
      </c>
      <c r="G444">
        <f>IF($V444="","",INDEX('Per Line'!$J$2:$J$1501,$V444)&amp;"")</f>
        <v/>
      </c>
      <c r="H444">
        <f>IF($V444="","",INDEX('Per Line'!$K$2:$K$1501,$V444)&amp;"")</f>
        <v/>
      </c>
      <c r="I444">
        <f>IF($V444="","",INDEX('Per Line'!$M$2:$M$1501,$V444))</f>
        <v/>
      </c>
      <c r="J444" s="7">
        <f>IF($V444="","",I444*T444/100)</f>
        <v/>
      </c>
      <c r="K444" s="7">
        <f>IF($V444="","",SUMIFS('Per Line'!$V$2:$V$1501,'Per Line'!$D$2:$D$1501,$B444,'Per Line'!$AN$2:$AN$1501,1))</f>
        <v/>
      </c>
      <c r="L444">
        <f>IF($V444="","",Settings!$C$7)</f>
        <v/>
      </c>
      <c r="M444" s="7">
        <f>IF($V444="","",SUMIFS('Per Line'!$V$2:$V$1501,'Per Line'!$D$2:$D$1501,$B444,'Per Line'!$AM$2:$AM$1501,0,'Per Line'!$AN$2:$AN$1501,0))</f>
        <v/>
      </c>
      <c r="N444" s="7">
        <f>IF($V444="","",M444*L444)</f>
        <v/>
      </c>
      <c r="O444">
        <f>IF($V444="","",Settings!$C$6)</f>
        <v/>
      </c>
      <c r="P444" s="7">
        <f>IF($V444="","",SUMIFS('Per Line'!$V$2:$V$1501,'Per Line'!$D$2:$D$1501,$B444,'Per Line'!$AM$2:$AM$1501,1,'Per Line'!$AN$2:$AN$1501,0))</f>
        <v/>
      </c>
      <c r="Q444" s="7">
        <f>IF($V444="","",P444*O444)</f>
        <v/>
      </c>
      <c r="R444" s="7">
        <f>IF($V444="","",Q444+N444)</f>
        <v/>
      </c>
      <c r="S444" s="7">
        <f>IF($V444="","",T444-R444)</f>
        <v/>
      </c>
      <c r="T444" s="7">
        <f>IF($V444="","",M444+P444+K444)</f>
        <v/>
      </c>
      <c r="U444" s="7">
        <f>IF($V444="","",T444-R444-J444)</f>
        <v/>
      </c>
      <c r="V444" s="13">
        <f>IF(ROWS($V$2:$V444)&lt;=MAX('Per Line'!$AL$2:$AL$1501),MATCH(ROWS($V$2:$V444),'Per Line'!$AL$2:$AL$1501,0),"")</f>
        <v/>
      </c>
    </row>
    <row r="445">
      <c r="A445" s="12" t="n"/>
      <c r="B445">
        <f>IF($V445="","",INDEX('Per Line'!$D$2:$D$1501,$V445)&amp;"")</f>
        <v/>
      </c>
      <c r="C445">
        <f>IF($V445="","",INDEX('Per Line'!$A$2:$A$1501,$V445))</f>
        <v/>
      </c>
      <c r="D445">
        <f>IF($V445="","",INDEX('Per Line'!$Z$2:$Z$1501,$V445)&amp;"")</f>
        <v/>
      </c>
      <c r="E445" s="11">
        <f>IF($V445="","",INDEX('Per Line'!$F$2:$F$1501,$V445))</f>
        <v/>
      </c>
      <c r="F445">
        <f>IF($V445="","",INDEX('Per Line'!$I$2:$I$1501,$V445)&amp;"")</f>
        <v/>
      </c>
      <c r="G445">
        <f>IF($V445="","",INDEX('Per Line'!$J$2:$J$1501,$V445)&amp;"")</f>
        <v/>
      </c>
      <c r="H445">
        <f>IF($V445="","",INDEX('Per Line'!$K$2:$K$1501,$V445)&amp;"")</f>
        <v/>
      </c>
      <c r="I445">
        <f>IF($V445="","",INDEX('Per Line'!$M$2:$M$1501,$V445))</f>
        <v/>
      </c>
      <c r="J445" s="7">
        <f>IF($V445="","",I445*T445/100)</f>
        <v/>
      </c>
      <c r="K445" s="7">
        <f>IF($V445="","",SUMIFS('Per Line'!$V$2:$V$1501,'Per Line'!$D$2:$D$1501,$B445,'Per Line'!$AN$2:$AN$1501,1))</f>
        <v/>
      </c>
      <c r="L445">
        <f>IF($V445="","",Settings!$C$7)</f>
        <v/>
      </c>
      <c r="M445" s="7">
        <f>IF($V445="","",SUMIFS('Per Line'!$V$2:$V$1501,'Per Line'!$D$2:$D$1501,$B445,'Per Line'!$AM$2:$AM$1501,0,'Per Line'!$AN$2:$AN$1501,0))</f>
        <v/>
      </c>
      <c r="N445" s="7">
        <f>IF($V445="","",M445*L445)</f>
        <v/>
      </c>
      <c r="O445">
        <f>IF($V445="","",Settings!$C$6)</f>
        <v/>
      </c>
      <c r="P445" s="7">
        <f>IF($V445="","",SUMIFS('Per Line'!$V$2:$V$1501,'Per Line'!$D$2:$D$1501,$B445,'Per Line'!$AM$2:$AM$1501,1,'Per Line'!$AN$2:$AN$1501,0))</f>
        <v/>
      </c>
      <c r="Q445" s="7">
        <f>IF($V445="","",P445*O445)</f>
        <v/>
      </c>
      <c r="R445" s="7">
        <f>IF($V445="","",Q445+N445)</f>
        <v/>
      </c>
      <c r="S445" s="7">
        <f>IF($V445="","",T445-R445)</f>
        <v/>
      </c>
      <c r="T445" s="7">
        <f>IF($V445="","",M445+P445+K445)</f>
        <v/>
      </c>
      <c r="U445" s="7">
        <f>IF($V445="","",T445-R445-J445)</f>
        <v/>
      </c>
      <c r="V445" s="13">
        <f>IF(ROWS($V$2:$V445)&lt;=MAX('Per Line'!$AL$2:$AL$1501),MATCH(ROWS($V$2:$V445),'Per Line'!$AL$2:$AL$1501,0),"")</f>
        <v/>
      </c>
    </row>
    <row r="446">
      <c r="A446" s="12" t="n"/>
      <c r="B446">
        <f>IF($V446="","",INDEX('Per Line'!$D$2:$D$1501,$V446)&amp;"")</f>
        <v/>
      </c>
      <c r="C446">
        <f>IF($V446="","",INDEX('Per Line'!$A$2:$A$1501,$V446))</f>
        <v/>
      </c>
      <c r="D446">
        <f>IF($V446="","",INDEX('Per Line'!$Z$2:$Z$1501,$V446)&amp;"")</f>
        <v/>
      </c>
      <c r="E446" s="11">
        <f>IF($V446="","",INDEX('Per Line'!$F$2:$F$1501,$V446))</f>
        <v/>
      </c>
      <c r="F446">
        <f>IF($V446="","",INDEX('Per Line'!$I$2:$I$1501,$V446)&amp;"")</f>
        <v/>
      </c>
      <c r="G446">
        <f>IF($V446="","",INDEX('Per Line'!$J$2:$J$1501,$V446)&amp;"")</f>
        <v/>
      </c>
      <c r="H446">
        <f>IF($V446="","",INDEX('Per Line'!$K$2:$K$1501,$V446)&amp;"")</f>
        <v/>
      </c>
      <c r="I446">
        <f>IF($V446="","",INDEX('Per Line'!$M$2:$M$1501,$V446))</f>
        <v/>
      </c>
      <c r="J446" s="7">
        <f>IF($V446="","",I446*T446/100)</f>
        <v/>
      </c>
      <c r="K446" s="7">
        <f>IF($V446="","",SUMIFS('Per Line'!$V$2:$V$1501,'Per Line'!$D$2:$D$1501,$B446,'Per Line'!$AN$2:$AN$1501,1))</f>
        <v/>
      </c>
      <c r="L446">
        <f>IF($V446="","",Settings!$C$7)</f>
        <v/>
      </c>
      <c r="M446" s="7">
        <f>IF($V446="","",SUMIFS('Per Line'!$V$2:$V$1501,'Per Line'!$D$2:$D$1501,$B446,'Per Line'!$AM$2:$AM$1501,0,'Per Line'!$AN$2:$AN$1501,0))</f>
        <v/>
      </c>
      <c r="N446" s="7">
        <f>IF($V446="","",M446*L446)</f>
        <v/>
      </c>
      <c r="O446">
        <f>IF($V446="","",Settings!$C$6)</f>
        <v/>
      </c>
      <c r="P446" s="7">
        <f>IF($V446="","",SUMIFS('Per Line'!$V$2:$V$1501,'Per Line'!$D$2:$D$1501,$B446,'Per Line'!$AM$2:$AM$1501,1,'Per Line'!$AN$2:$AN$1501,0))</f>
        <v/>
      </c>
      <c r="Q446" s="7">
        <f>IF($V446="","",P446*O446)</f>
        <v/>
      </c>
      <c r="R446" s="7">
        <f>IF($V446="","",Q446+N446)</f>
        <v/>
      </c>
      <c r="S446" s="7">
        <f>IF($V446="","",T446-R446)</f>
        <v/>
      </c>
      <c r="T446" s="7">
        <f>IF($V446="","",M446+P446+K446)</f>
        <v/>
      </c>
      <c r="U446" s="7">
        <f>IF($V446="","",T446-R446-J446)</f>
        <v/>
      </c>
      <c r="V446" s="13">
        <f>IF(ROWS($V$2:$V446)&lt;=MAX('Per Line'!$AL$2:$AL$1501),MATCH(ROWS($V$2:$V446),'Per Line'!$AL$2:$AL$1501,0),"")</f>
        <v/>
      </c>
    </row>
    <row r="447">
      <c r="A447" s="12" t="n"/>
      <c r="B447">
        <f>IF($V447="","",INDEX('Per Line'!$D$2:$D$1501,$V447)&amp;"")</f>
        <v/>
      </c>
      <c r="C447">
        <f>IF($V447="","",INDEX('Per Line'!$A$2:$A$1501,$V447))</f>
        <v/>
      </c>
      <c r="D447">
        <f>IF($V447="","",INDEX('Per Line'!$Z$2:$Z$1501,$V447)&amp;"")</f>
        <v/>
      </c>
      <c r="E447" s="11">
        <f>IF($V447="","",INDEX('Per Line'!$F$2:$F$1501,$V447))</f>
        <v/>
      </c>
      <c r="F447">
        <f>IF($V447="","",INDEX('Per Line'!$I$2:$I$1501,$V447)&amp;"")</f>
        <v/>
      </c>
      <c r="G447">
        <f>IF($V447="","",INDEX('Per Line'!$J$2:$J$1501,$V447)&amp;"")</f>
        <v/>
      </c>
      <c r="H447">
        <f>IF($V447="","",INDEX('Per Line'!$K$2:$K$1501,$V447)&amp;"")</f>
        <v/>
      </c>
      <c r="I447">
        <f>IF($V447="","",INDEX('Per Line'!$M$2:$M$1501,$V447))</f>
        <v/>
      </c>
      <c r="J447" s="7">
        <f>IF($V447="","",I447*T447/100)</f>
        <v/>
      </c>
      <c r="K447" s="7">
        <f>IF($V447="","",SUMIFS('Per Line'!$V$2:$V$1501,'Per Line'!$D$2:$D$1501,$B447,'Per Line'!$AN$2:$AN$1501,1))</f>
        <v/>
      </c>
      <c r="L447">
        <f>IF($V447="","",Settings!$C$7)</f>
        <v/>
      </c>
      <c r="M447" s="7">
        <f>IF($V447="","",SUMIFS('Per Line'!$V$2:$V$1501,'Per Line'!$D$2:$D$1501,$B447,'Per Line'!$AM$2:$AM$1501,0,'Per Line'!$AN$2:$AN$1501,0))</f>
        <v/>
      </c>
      <c r="N447" s="7">
        <f>IF($V447="","",M447*L447)</f>
        <v/>
      </c>
      <c r="O447">
        <f>IF($V447="","",Settings!$C$6)</f>
        <v/>
      </c>
      <c r="P447" s="7">
        <f>IF($V447="","",SUMIFS('Per Line'!$V$2:$V$1501,'Per Line'!$D$2:$D$1501,$B447,'Per Line'!$AM$2:$AM$1501,1,'Per Line'!$AN$2:$AN$1501,0))</f>
        <v/>
      </c>
      <c r="Q447" s="7">
        <f>IF($V447="","",P447*O447)</f>
        <v/>
      </c>
      <c r="R447" s="7">
        <f>IF($V447="","",Q447+N447)</f>
        <v/>
      </c>
      <c r="S447" s="7">
        <f>IF($V447="","",T447-R447)</f>
        <v/>
      </c>
      <c r="T447" s="7">
        <f>IF($V447="","",M447+P447+K447)</f>
        <v/>
      </c>
      <c r="U447" s="7">
        <f>IF($V447="","",T447-R447-J447)</f>
        <v/>
      </c>
      <c r="V447" s="13">
        <f>IF(ROWS($V$2:$V447)&lt;=MAX('Per Line'!$AL$2:$AL$1501),MATCH(ROWS($V$2:$V447),'Per Line'!$AL$2:$AL$1501,0),"")</f>
        <v/>
      </c>
    </row>
    <row r="448">
      <c r="A448" s="12" t="n"/>
      <c r="B448">
        <f>IF($V448="","",INDEX('Per Line'!$D$2:$D$1501,$V448)&amp;"")</f>
        <v/>
      </c>
      <c r="C448">
        <f>IF($V448="","",INDEX('Per Line'!$A$2:$A$1501,$V448))</f>
        <v/>
      </c>
      <c r="D448">
        <f>IF($V448="","",INDEX('Per Line'!$Z$2:$Z$1501,$V448)&amp;"")</f>
        <v/>
      </c>
      <c r="E448" s="11">
        <f>IF($V448="","",INDEX('Per Line'!$F$2:$F$1501,$V448))</f>
        <v/>
      </c>
      <c r="F448">
        <f>IF($V448="","",INDEX('Per Line'!$I$2:$I$1501,$V448)&amp;"")</f>
        <v/>
      </c>
      <c r="G448">
        <f>IF($V448="","",INDEX('Per Line'!$J$2:$J$1501,$V448)&amp;"")</f>
        <v/>
      </c>
      <c r="H448">
        <f>IF($V448="","",INDEX('Per Line'!$K$2:$K$1501,$V448)&amp;"")</f>
        <v/>
      </c>
      <c r="I448">
        <f>IF($V448="","",INDEX('Per Line'!$M$2:$M$1501,$V448))</f>
        <v/>
      </c>
      <c r="J448" s="7">
        <f>IF($V448="","",I448*T448/100)</f>
        <v/>
      </c>
      <c r="K448" s="7">
        <f>IF($V448="","",SUMIFS('Per Line'!$V$2:$V$1501,'Per Line'!$D$2:$D$1501,$B448,'Per Line'!$AN$2:$AN$1501,1))</f>
        <v/>
      </c>
      <c r="L448">
        <f>IF($V448="","",Settings!$C$7)</f>
        <v/>
      </c>
      <c r="M448" s="7">
        <f>IF($V448="","",SUMIFS('Per Line'!$V$2:$V$1501,'Per Line'!$D$2:$D$1501,$B448,'Per Line'!$AM$2:$AM$1501,0,'Per Line'!$AN$2:$AN$1501,0))</f>
        <v/>
      </c>
      <c r="N448" s="7">
        <f>IF($V448="","",M448*L448)</f>
        <v/>
      </c>
      <c r="O448">
        <f>IF($V448="","",Settings!$C$6)</f>
        <v/>
      </c>
      <c r="P448" s="7">
        <f>IF($V448="","",SUMIFS('Per Line'!$V$2:$V$1501,'Per Line'!$D$2:$D$1501,$B448,'Per Line'!$AM$2:$AM$1501,1,'Per Line'!$AN$2:$AN$1501,0))</f>
        <v/>
      </c>
      <c r="Q448" s="7">
        <f>IF($V448="","",P448*O448)</f>
        <v/>
      </c>
      <c r="R448" s="7">
        <f>IF($V448="","",Q448+N448)</f>
        <v/>
      </c>
      <c r="S448" s="7">
        <f>IF($V448="","",T448-R448)</f>
        <v/>
      </c>
      <c r="T448" s="7">
        <f>IF($V448="","",M448+P448+K448)</f>
        <v/>
      </c>
      <c r="U448" s="7">
        <f>IF($V448="","",T448-R448-J448)</f>
        <v/>
      </c>
      <c r="V448" s="13">
        <f>IF(ROWS($V$2:$V448)&lt;=MAX('Per Line'!$AL$2:$AL$1501),MATCH(ROWS($V$2:$V448),'Per Line'!$AL$2:$AL$1501,0),"")</f>
        <v/>
      </c>
    </row>
    <row r="449">
      <c r="A449" s="12" t="n"/>
      <c r="B449">
        <f>IF($V449="","",INDEX('Per Line'!$D$2:$D$1501,$V449)&amp;"")</f>
        <v/>
      </c>
      <c r="C449">
        <f>IF($V449="","",INDEX('Per Line'!$A$2:$A$1501,$V449))</f>
        <v/>
      </c>
      <c r="D449">
        <f>IF($V449="","",INDEX('Per Line'!$Z$2:$Z$1501,$V449)&amp;"")</f>
        <v/>
      </c>
      <c r="E449" s="11">
        <f>IF($V449="","",INDEX('Per Line'!$F$2:$F$1501,$V449))</f>
        <v/>
      </c>
      <c r="F449">
        <f>IF($V449="","",INDEX('Per Line'!$I$2:$I$1501,$V449)&amp;"")</f>
        <v/>
      </c>
      <c r="G449">
        <f>IF($V449="","",INDEX('Per Line'!$J$2:$J$1501,$V449)&amp;"")</f>
        <v/>
      </c>
      <c r="H449">
        <f>IF($V449="","",INDEX('Per Line'!$K$2:$K$1501,$V449)&amp;"")</f>
        <v/>
      </c>
      <c r="I449">
        <f>IF($V449="","",INDEX('Per Line'!$M$2:$M$1501,$V449))</f>
        <v/>
      </c>
      <c r="J449" s="7">
        <f>IF($V449="","",I449*T449/100)</f>
        <v/>
      </c>
      <c r="K449" s="7">
        <f>IF($V449="","",SUMIFS('Per Line'!$V$2:$V$1501,'Per Line'!$D$2:$D$1501,$B449,'Per Line'!$AN$2:$AN$1501,1))</f>
        <v/>
      </c>
      <c r="L449">
        <f>IF($V449="","",Settings!$C$7)</f>
        <v/>
      </c>
      <c r="M449" s="7">
        <f>IF($V449="","",SUMIFS('Per Line'!$V$2:$V$1501,'Per Line'!$D$2:$D$1501,$B449,'Per Line'!$AM$2:$AM$1501,0,'Per Line'!$AN$2:$AN$1501,0))</f>
        <v/>
      </c>
      <c r="N449" s="7">
        <f>IF($V449="","",M449*L449)</f>
        <v/>
      </c>
      <c r="O449">
        <f>IF($V449="","",Settings!$C$6)</f>
        <v/>
      </c>
      <c r="P449" s="7">
        <f>IF($V449="","",SUMIFS('Per Line'!$V$2:$V$1501,'Per Line'!$D$2:$D$1501,$B449,'Per Line'!$AM$2:$AM$1501,1,'Per Line'!$AN$2:$AN$1501,0))</f>
        <v/>
      </c>
      <c r="Q449" s="7">
        <f>IF($V449="","",P449*O449)</f>
        <v/>
      </c>
      <c r="R449" s="7">
        <f>IF($V449="","",Q449+N449)</f>
        <v/>
      </c>
      <c r="S449" s="7">
        <f>IF($V449="","",T449-R449)</f>
        <v/>
      </c>
      <c r="T449" s="7">
        <f>IF($V449="","",M449+P449+K449)</f>
        <v/>
      </c>
      <c r="U449" s="7">
        <f>IF($V449="","",T449-R449-J449)</f>
        <v/>
      </c>
      <c r="V449" s="13">
        <f>IF(ROWS($V$2:$V449)&lt;=MAX('Per Line'!$AL$2:$AL$1501),MATCH(ROWS($V$2:$V449),'Per Line'!$AL$2:$AL$1501,0),"")</f>
        <v/>
      </c>
    </row>
    <row r="450">
      <c r="A450" s="12" t="n"/>
      <c r="B450">
        <f>IF($V450="","",INDEX('Per Line'!$D$2:$D$1501,$V450)&amp;"")</f>
        <v/>
      </c>
      <c r="C450">
        <f>IF($V450="","",INDEX('Per Line'!$A$2:$A$1501,$V450))</f>
        <v/>
      </c>
      <c r="D450">
        <f>IF($V450="","",INDEX('Per Line'!$Z$2:$Z$1501,$V450)&amp;"")</f>
        <v/>
      </c>
      <c r="E450" s="11">
        <f>IF($V450="","",INDEX('Per Line'!$F$2:$F$1501,$V450))</f>
        <v/>
      </c>
      <c r="F450">
        <f>IF($V450="","",INDEX('Per Line'!$I$2:$I$1501,$V450)&amp;"")</f>
        <v/>
      </c>
      <c r="G450">
        <f>IF($V450="","",INDEX('Per Line'!$J$2:$J$1501,$V450)&amp;"")</f>
        <v/>
      </c>
      <c r="H450">
        <f>IF($V450="","",INDEX('Per Line'!$K$2:$K$1501,$V450)&amp;"")</f>
        <v/>
      </c>
      <c r="I450">
        <f>IF($V450="","",INDEX('Per Line'!$M$2:$M$1501,$V450))</f>
        <v/>
      </c>
      <c r="J450" s="7">
        <f>IF($V450="","",I450*T450/100)</f>
        <v/>
      </c>
      <c r="K450" s="7">
        <f>IF($V450="","",SUMIFS('Per Line'!$V$2:$V$1501,'Per Line'!$D$2:$D$1501,$B450,'Per Line'!$AN$2:$AN$1501,1))</f>
        <v/>
      </c>
      <c r="L450">
        <f>IF($V450="","",Settings!$C$7)</f>
        <v/>
      </c>
      <c r="M450" s="7">
        <f>IF($V450="","",SUMIFS('Per Line'!$V$2:$V$1501,'Per Line'!$D$2:$D$1501,$B450,'Per Line'!$AM$2:$AM$1501,0,'Per Line'!$AN$2:$AN$1501,0))</f>
        <v/>
      </c>
      <c r="N450" s="7">
        <f>IF($V450="","",M450*L450)</f>
        <v/>
      </c>
      <c r="O450">
        <f>IF($V450="","",Settings!$C$6)</f>
        <v/>
      </c>
      <c r="P450" s="7">
        <f>IF($V450="","",SUMIFS('Per Line'!$V$2:$V$1501,'Per Line'!$D$2:$D$1501,$B450,'Per Line'!$AM$2:$AM$1501,1,'Per Line'!$AN$2:$AN$1501,0))</f>
        <v/>
      </c>
      <c r="Q450" s="7">
        <f>IF($V450="","",P450*O450)</f>
        <v/>
      </c>
      <c r="R450" s="7">
        <f>IF($V450="","",Q450+N450)</f>
        <v/>
      </c>
      <c r="S450" s="7">
        <f>IF($V450="","",T450-R450)</f>
        <v/>
      </c>
      <c r="T450" s="7">
        <f>IF($V450="","",M450+P450+K450)</f>
        <v/>
      </c>
      <c r="U450" s="7">
        <f>IF($V450="","",T450-R450-J450)</f>
        <v/>
      </c>
      <c r="V450" s="13">
        <f>IF(ROWS($V$2:$V450)&lt;=MAX('Per Line'!$AL$2:$AL$1501),MATCH(ROWS($V$2:$V450),'Per Line'!$AL$2:$AL$1501,0),"")</f>
        <v/>
      </c>
    </row>
    <row r="451">
      <c r="A451" s="12" t="n"/>
      <c r="B451">
        <f>IF($V451="","",INDEX('Per Line'!$D$2:$D$1501,$V451)&amp;"")</f>
        <v/>
      </c>
      <c r="C451">
        <f>IF($V451="","",INDEX('Per Line'!$A$2:$A$1501,$V451))</f>
        <v/>
      </c>
      <c r="D451">
        <f>IF($V451="","",INDEX('Per Line'!$Z$2:$Z$1501,$V451)&amp;"")</f>
        <v/>
      </c>
      <c r="E451" s="11">
        <f>IF($V451="","",INDEX('Per Line'!$F$2:$F$1501,$V451))</f>
        <v/>
      </c>
      <c r="F451">
        <f>IF($V451="","",INDEX('Per Line'!$I$2:$I$1501,$V451)&amp;"")</f>
        <v/>
      </c>
      <c r="G451">
        <f>IF($V451="","",INDEX('Per Line'!$J$2:$J$1501,$V451)&amp;"")</f>
        <v/>
      </c>
      <c r="H451">
        <f>IF($V451="","",INDEX('Per Line'!$K$2:$K$1501,$V451)&amp;"")</f>
        <v/>
      </c>
      <c r="I451">
        <f>IF($V451="","",INDEX('Per Line'!$M$2:$M$1501,$V451))</f>
        <v/>
      </c>
      <c r="J451" s="7">
        <f>IF($V451="","",I451*T451/100)</f>
        <v/>
      </c>
      <c r="K451" s="7">
        <f>IF($V451="","",SUMIFS('Per Line'!$V$2:$V$1501,'Per Line'!$D$2:$D$1501,$B451,'Per Line'!$AN$2:$AN$1501,1))</f>
        <v/>
      </c>
      <c r="L451">
        <f>IF($V451="","",Settings!$C$7)</f>
        <v/>
      </c>
      <c r="M451" s="7">
        <f>IF($V451="","",SUMIFS('Per Line'!$V$2:$V$1501,'Per Line'!$D$2:$D$1501,$B451,'Per Line'!$AM$2:$AM$1501,0,'Per Line'!$AN$2:$AN$1501,0))</f>
        <v/>
      </c>
      <c r="N451" s="7">
        <f>IF($V451="","",M451*L451)</f>
        <v/>
      </c>
      <c r="O451">
        <f>IF($V451="","",Settings!$C$6)</f>
        <v/>
      </c>
      <c r="P451" s="7">
        <f>IF($V451="","",SUMIFS('Per Line'!$V$2:$V$1501,'Per Line'!$D$2:$D$1501,$B451,'Per Line'!$AM$2:$AM$1501,1,'Per Line'!$AN$2:$AN$1501,0))</f>
        <v/>
      </c>
      <c r="Q451" s="7">
        <f>IF($V451="","",P451*O451)</f>
        <v/>
      </c>
      <c r="R451" s="7">
        <f>IF($V451="","",Q451+N451)</f>
        <v/>
      </c>
      <c r="S451" s="7">
        <f>IF($V451="","",T451-R451)</f>
        <v/>
      </c>
      <c r="T451" s="7">
        <f>IF($V451="","",M451+P451+K451)</f>
        <v/>
      </c>
      <c r="U451" s="7">
        <f>IF($V451="","",T451-R451-J451)</f>
        <v/>
      </c>
      <c r="V451" s="13">
        <f>IF(ROWS($V$2:$V451)&lt;=MAX('Per Line'!$AL$2:$AL$1501),MATCH(ROWS($V$2:$V451),'Per Line'!$AL$2:$AL$1501,0),"")</f>
        <v/>
      </c>
    </row>
    <row r="452">
      <c r="A452" s="12" t="n"/>
      <c r="B452">
        <f>IF($V452="","",INDEX('Per Line'!$D$2:$D$1501,$V452)&amp;"")</f>
        <v/>
      </c>
      <c r="C452">
        <f>IF($V452="","",INDEX('Per Line'!$A$2:$A$1501,$V452))</f>
        <v/>
      </c>
      <c r="D452">
        <f>IF($V452="","",INDEX('Per Line'!$Z$2:$Z$1501,$V452)&amp;"")</f>
        <v/>
      </c>
      <c r="E452" s="11">
        <f>IF($V452="","",INDEX('Per Line'!$F$2:$F$1501,$V452))</f>
        <v/>
      </c>
      <c r="F452">
        <f>IF($V452="","",INDEX('Per Line'!$I$2:$I$1501,$V452)&amp;"")</f>
        <v/>
      </c>
      <c r="G452">
        <f>IF($V452="","",INDEX('Per Line'!$J$2:$J$1501,$V452)&amp;"")</f>
        <v/>
      </c>
      <c r="H452">
        <f>IF($V452="","",INDEX('Per Line'!$K$2:$K$1501,$V452)&amp;"")</f>
        <v/>
      </c>
      <c r="I452">
        <f>IF($V452="","",INDEX('Per Line'!$M$2:$M$1501,$V452))</f>
        <v/>
      </c>
      <c r="J452" s="7">
        <f>IF($V452="","",I452*T452/100)</f>
        <v/>
      </c>
      <c r="K452" s="7">
        <f>IF($V452="","",SUMIFS('Per Line'!$V$2:$V$1501,'Per Line'!$D$2:$D$1501,$B452,'Per Line'!$AN$2:$AN$1501,1))</f>
        <v/>
      </c>
      <c r="L452">
        <f>IF($V452="","",Settings!$C$7)</f>
        <v/>
      </c>
      <c r="M452" s="7">
        <f>IF($V452="","",SUMIFS('Per Line'!$V$2:$V$1501,'Per Line'!$D$2:$D$1501,$B452,'Per Line'!$AM$2:$AM$1501,0,'Per Line'!$AN$2:$AN$1501,0))</f>
        <v/>
      </c>
      <c r="N452" s="7">
        <f>IF($V452="","",M452*L452)</f>
        <v/>
      </c>
      <c r="O452">
        <f>IF($V452="","",Settings!$C$6)</f>
        <v/>
      </c>
      <c r="P452" s="7">
        <f>IF($V452="","",SUMIFS('Per Line'!$V$2:$V$1501,'Per Line'!$D$2:$D$1501,$B452,'Per Line'!$AM$2:$AM$1501,1,'Per Line'!$AN$2:$AN$1501,0))</f>
        <v/>
      </c>
      <c r="Q452" s="7">
        <f>IF($V452="","",P452*O452)</f>
        <v/>
      </c>
      <c r="R452" s="7">
        <f>IF($V452="","",Q452+N452)</f>
        <v/>
      </c>
      <c r="S452" s="7">
        <f>IF($V452="","",T452-R452)</f>
        <v/>
      </c>
      <c r="T452" s="7">
        <f>IF($V452="","",M452+P452+K452)</f>
        <v/>
      </c>
      <c r="U452" s="7">
        <f>IF($V452="","",T452-R452-J452)</f>
        <v/>
      </c>
      <c r="V452" s="13">
        <f>IF(ROWS($V$2:$V452)&lt;=MAX('Per Line'!$AL$2:$AL$1501),MATCH(ROWS($V$2:$V452),'Per Line'!$AL$2:$AL$1501,0),"")</f>
        <v/>
      </c>
    </row>
    <row r="453">
      <c r="A453" s="12" t="n"/>
      <c r="B453">
        <f>IF($V453="","",INDEX('Per Line'!$D$2:$D$1501,$V453)&amp;"")</f>
        <v/>
      </c>
      <c r="C453">
        <f>IF($V453="","",INDEX('Per Line'!$A$2:$A$1501,$V453))</f>
        <v/>
      </c>
      <c r="D453">
        <f>IF($V453="","",INDEX('Per Line'!$Z$2:$Z$1501,$V453)&amp;"")</f>
        <v/>
      </c>
      <c r="E453" s="11">
        <f>IF($V453="","",INDEX('Per Line'!$F$2:$F$1501,$V453))</f>
        <v/>
      </c>
      <c r="F453">
        <f>IF($V453="","",INDEX('Per Line'!$I$2:$I$1501,$V453)&amp;"")</f>
        <v/>
      </c>
      <c r="G453">
        <f>IF($V453="","",INDEX('Per Line'!$J$2:$J$1501,$V453)&amp;"")</f>
        <v/>
      </c>
      <c r="H453">
        <f>IF($V453="","",INDEX('Per Line'!$K$2:$K$1501,$V453)&amp;"")</f>
        <v/>
      </c>
      <c r="I453">
        <f>IF($V453="","",INDEX('Per Line'!$M$2:$M$1501,$V453))</f>
        <v/>
      </c>
      <c r="J453" s="7">
        <f>IF($V453="","",I453*T453/100)</f>
        <v/>
      </c>
      <c r="K453" s="7">
        <f>IF($V453="","",SUMIFS('Per Line'!$V$2:$V$1501,'Per Line'!$D$2:$D$1501,$B453,'Per Line'!$AN$2:$AN$1501,1))</f>
        <v/>
      </c>
      <c r="L453">
        <f>IF($V453="","",Settings!$C$7)</f>
        <v/>
      </c>
      <c r="M453" s="7">
        <f>IF($V453="","",SUMIFS('Per Line'!$V$2:$V$1501,'Per Line'!$D$2:$D$1501,$B453,'Per Line'!$AM$2:$AM$1501,0,'Per Line'!$AN$2:$AN$1501,0))</f>
        <v/>
      </c>
      <c r="N453" s="7">
        <f>IF($V453="","",M453*L453)</f>
        <v/>
      </c>
      <c r="O453">
        <f>IF($V453="","",Settings!$C$6)</f>
        <v/>
      </c>
      <c r="P453" s="7">
        <f>IF($V453="","",SUMIFS('Per Line'!$V$2:$V$1501,'Per Line'!$D$2:$D$1501,$B453,'Per Line'!$AM$2:$AM$1501,1,'Per Line'!$AN$2:$AN$1501,0))</f>
        <v/>
      </c>
      <c r="Q453" s="7">
        <f>IF($V453="","",P453*O453)</f>
        <v/>
      </c>
      <c r="R453" s="7">
        <f>IF($V453="","",Q453+N453)</f>
        <v/>
      </c>
      <c r="S453" s="7">
        <f>IF($V453="","",T453-R453)</f>
        <v/>
      </c>
      <c r="T453" s="7">
        <f>IF($V453="","",M453+P453+K453)</f>
        <v/>
      </c>
      <c r="U453" s="7">
        <f>IF($V453="","",T453-R453-J453)</f>
        <v/>
      </c>
      <c r="V453" s="13">
        <f>IF(ROWS($V$2:$V453)&lt;=MAX('Per Line'!$AL$2:$AL$1501),MATCH(ROWS($V$2:$V453),'Per Line'!$AL$2:$AL$1501,0),"")</f>
        <v/>
      </c>
    </row>
    <row r="454">
      <c r="A454" s="12" t="n"/>
      <c r="B454">
        <f>IF($V454="","",INDEX('Per Line'!$D$2:$D$1501,$V454)&amp;"")</f>
        <v/>
      </c>
      <c r="C454">
        <f>IF($V454="","",INDEX('Per Line'!$A$2:$A$1501,$V454))</f>
        <v/>
      </c>
      <c r="D454">
        <f>IF($V454="","",INDEX('Per Line'!$Z$2:$Z$1501,$V454)&amp;"")</f>
        <v/>
      </c>
      <c r="E454" s="11">
        <f>IF($V454="","",INDEX('Per Line'!$F$2:$F$1501,$V454))</f>
        <v/>
      </c>
      <c r="F454">
        <f>IF($V454="","",INDEX('Per Line'!$I$2:$I$1501,$V454)&amp;"")</f>
        <v/>
      </c>
      <c r="G454">
        <f>IF($V454="","",INDEX('Per Line'!$J$2:$J$1501,$V454)&amp;"")</f>
        <v/>
      </c>
      <c r="H454">
        <f>IF($V454="","",INDEX('Per Line'!$K$2:$K$1501,$V454)&amp;"")</f>
        <v/>
      </c>
      <c r="I454">
        <f>IF($V454="","",INDEX('Per Line'!$M$2:$M$1501,$V454))</f>
        <v/>
      </c>
      <c r="J454" s="7">
        <f>IF($V454="","",I454*T454/100)</f>
        <v/>
      </c>
      <c r="K454" s="7">
        <f>IF($V454="","",SUMIFS('Per Line'!$V$2:$V$1501,'Per Line'!$D$2:$D$1501,$B454,'Per Line'!$AN$2:$AN$1501,1))</f>
        <v/>
      </c>
      <c r="L454">
        <f>IF($V454="","",Settings!$C$7)</f>
        <v/>
      </c>
      <c r="M454" s="7">
        <f>IF($V454="","",SUMIFS('Per Line'!$V$2:$V$1501,'Per Line'!$D$2:$D$1501,$B454,'Per Line'!$AM$2:$AM$1501,0,'Per Line'!$AN$2:$AN$1501,0))</f>
        <v/>
      </c>
      <c r="N454" s="7">
        <f>IF($V454="","",M454*L454)</f>
        <v/>
      </c>
      <c r="O454">
        <f>IF($V454="","",Settings!$C$6)</f>
        <v/>
      </c>
      <c r="P454" s="7">
        <f>IF($V454="","",SUMIFS('Per Line'!$V$2:$V$1501,'Per Line'!$D$2:$D$1501,$B454,'Per Line'!$AM$2:$AM$1501,1,'Per Line'!$AN$2:$AN$1501,0))</f>
        <v/>
      </c>
      <c r="Q454" s="7">
        <f>IF($V454="","",P454*O454)</f>
        <v/>
      </c>
      <c r="R454" s="7">
        <f>IF($V454="","",Q454+N454)</f>
        <v/>
      </c>
      <c r="S454" s="7">
        <f>IF($V454="","",T454-R454)</f>
        <v/>
      </c>
      <c r="T454" s="7">
        <f>IF($V454="","",M454+P454+K454)</f>
        <v/>
      </c>
      <c r="U454" s="7">
        <f>IF($V454="","",T454-R454-J454)</f>
        <v/>
      </c>
      <c r="V454" s="13">
        <f>IF(ROWS($V$2:$V454)&lt;=MAX('Per Line'!$AL$2:$AL$1501),MATCH(ROWS($V$2:$V454),'Per Line'!$AL$2:$AL$1501,0),"")</f>
        <v/>
      </c>
    </row>
    <row r="455">
      <c r="A455" s="12" t="n"/>
      <c r="B455">
        <f>IF($V455="","",INDEX('Per Line'!$D$2:$D$1501,$V455)&amp;"")</f>
        <v/>
      </c>
      <c r="C455">
        <f>IF($V455="","",INDEX('Per Line'!$A$2:$A$1501,$V455))</f>
        <v/>
      </c>
      <c r="D455">
        <f>IF($V455="","",INDEX('Per Line'!$Z$2:$Z$1501,$V455)&amp;"")</f>
        <v/>
      </c>
      <c r="E455" s="11">
        <f>IF($V455="","",INDEX('Per Line'!$F$2:$F$1501,$V455))</f>
        <v/>
      </c>
      <c r="F455">
        <f>IF($V455="","",INDEX('Per Line'!$I$2:$I$1501,$V455)&amp;"")</f>
        <v/>
      </c>
      <c r="G455">
        <f>IF($V455="","",INDEX('Per Line'!$J$2:$J$1501,$V455)&amp;"")</f>
        <v/>
      </c>
      <c r="H455">
        <f>IF($V455="","",INDEX('Per Line'!$K$2:$K$1501,$V455)&amp;"")</f>
        <v/>
      </c>
      <c r="I455">
        <f>IF($V455="","",INDEX('Per Line'!$M$2:$M$1501,$V455))</f>
        <v/>
      </c>
      <c r="J455" s="7">
        <f>IF($V455="","",I455*T455/100)</f>
        <v/>
      </c>
      <c r="K455" s="7">
        <f>IF($V455="","",SUMIFS('Per Line'!$V$2:$V$1501,'Per Line'!$D$2:$D$1501,$B455,'Per Line'!$AN$2:$AN$1501,1))</f>
        <v/>
      </c>
      <c r="L455">
        <f>IF($V455="","",Settings!$C$7)</f>
        <v/>
      </c>
      <c r="M455" s="7">
        <f>IF($V455="","",SUMIFS('Per Line'!$V$2:$V$1501,'Per Line'!$D$2:$D$1501,$B455,'Per Line'!$AM$2:$AM$1501,0,'Per Line'!$AN$2:$AN$1501,0))</f>
        <v/>
      </c>
      <c r="N455" s="7">
        <f>IF($V455="","",M455*L455)</f>
        <v/>
      </c>
      <c r="O455">
        <f>IF($V455="","",Settings!$C$6)</f>
        <v/>
      </c>
      <c r="P455" s="7">
        <f>IF($V455="","",SUMIFS('Per Line'!$V$2:$V$1501,'Per Line'!$D$2:$D$1501,$B455,'Per Line'!$AM$2:$AM$1501,1,'Per Line'!$AN$2:$AN$1501,0))</f>
        <v/>
      </c>
      <c r="Q455" s="7">
        <f>IF($V455="","",P455*O455)</f>
        <v/>
      </c>
      <c r="R455" s="7">
        <f>IF($V455="","",Q455+N455)</f>
        <v/>
      </c>
      <c r="S455" s="7">
        <f>IF($V455="","",T455-R455)</f>
        <v/>
      </c>
      <c r="T455" s="7">
        <f>IF($V455="","",M455+P455+K455)</f>
        <v/>
      </c>
      <c r="U455" s="7">
        <f>IF($V455="","",T455-R455-J455)</f>
        <v/>
      </c>
      <c r="V455" s="13">
        <f>IF(ROWS($V$2:$V455)&lt;=MAX('Per Line'!$AL$2:$AL$1501),MATCH(ROWS($V$2:$V455),'Per Line'!$AL$2:$AL$1501,0),"")</f>
        <v/>
      </c>
    </row>
    <row r="456">
      <c r="A456" s="12" t="n"/>
      <c r="B456">
        <f>IF($V456="","",INDEX('Per Line'!$D$2:$D$1501,$V456)&amp;"")</f>
        <v/>
      </c>
      <c r="C456">
        <f>IF($V456="","",INDEX('Per Line'!$A$2:$A$1501,$V456))</f>
        <v/>
      </c>
      <c r="D456">
        <f>IF($V456="","",INDEX('Per Line'!$Z$2:$Z$1501,$V456)&amp;"")</f>
        <v/>
      </c>
      <c r="E456" s="11">
        <f>IF($V456="","",INDEX('Per Line'!$F$2:$F$1501,$V456))</f>
        <v/>
      </c>
      <c r="F456">
        <f>IF($V456="","",INDEX('Per Line'!$I$2:$I$1501,$V456)&amp;"")</f>
        <v/>
      </c>
      <c r="G456">
        <f>IF($V456="","",INDEX('Per Line'!$J$2:$J$1501,$V456)&amp;"")</f>
        <v/>
      </c>
      <c r="H456">
        <f>IF($V456="","",INDEX('Per Line'!$K$2:$K$1501,$V456)&amp;"")</f>
        <v/>
      </c>
      <c r="I456">
        <f>IF($V456="","",INDEX('Per Line'!$M$2:$M$1501,$V456))</f>
        <v/>
      </c>
      <c r="J456" s="7">
        <f>IF($V456="","",I456*T456/100)</f>
        <v/>
      </c>
      <c r="K456" s="7">
        <f>IF($V456="","",SUMIFS('Per Line'!$V$2:$V$1501,'Per Line'!$D$2:$D$1501,$B456,'Per Line'!$AN$2:$AN$1501,1))</f>
        <v/>
      </c>
      <c r="L456">
        <f>IF($V456="","",Settings!$C$7)</f>
        <v/>
      </c>
      <c r="M456" s="7">
        <f>IF($V456="","",SUMIFS('Per Line'!$V$2:$V$1501,'Per Line'!$D$2:$D$1501,$B456,'Per Line'!$AM$2:$AM$1501,0,'Per Line'!$AN$2:$AN$1501,0))</f>
        <v/>
      </c>
      <c r="N456" s="7">
        <f>IF($V456="","",M456*L456)</f>
        <v/>
      </c>
      <c r="O456">
        <f>IF($V456="","",Settings!$C$6)</f>
        <v/>
      </c>
      <c r="P456" s="7">
        <f>IF($V456="","",SUMIFS('Per Line'!$V$2:$V$1501,'Per Line'!$D$2:$D$1501,$B456,'Per Line'!$AM$2:$AM$1501,1,'Per Line'!$AN$2:$AN$1501,0))</f>
        <v/>
      </c>
      <c r="Q456" s="7">
        <f>IF($V456="","",P456*O456)</f>
        <v/>
      </c>
      <c r="R456" s="7">
        <f>IF($V456="","",Q456+N456)</f>
        <v/>
      </c>
      <c r="S456" s="7">
        <f>IF($V456="","",T456-R456)</f>
        <v/>
      </c>
      <c r="T456" s="7">
        <f>IF($V456="","",M456+P456+K456)</f>
        <v/>
      </c>
      <c r="U456" s="7">
        <f>IF($V456="","",T456-R456-J456)</f>
        <v/>
      </c>
      <c r="V456" s="13">
        <f>IF(ROWS($V$2:$V456)&lt;=MAX('Per Line'!$AL$2:$AL$1501),MATCH(ROWS($V$2:$V456),'Per Line'!$AL$2:$AL$1501,0),"")</f>
        <v/>
      </c>
    </row>
    <row r="457">
      <c r="A457" s="12" t="n"/>
      <c r="B457">
        <f>IF($V457="","",INDEX('Per Line'!$D$2:$D$1501,$V457)&amp;"")</f>
        <v/>
      </c>
      <c r="C457">
        <f>IF($V457="","",INDEX('Per Line'!$A$2:$A$1501,$V457))</f>
        <v/>
      </c>
      <c r="D457">
        <f>IF($V457="","",INDEX('Per Line'!$Z$2:$Z$1501,$V457)&amp;"")</f>
        <v/>
      </c>
      <c r="E457" s="11">
        <f>IF($V457="","",INDEX('Per Line'!$F$2:$F$1501,$V457))</f>
        <v/>
      </c>
      <c r="F457">
        <f>IF($V457="","",INDEX('Per Line'!$I$2:$I$1501,$V457)&amp;"")</f>
        <v/>
      </c>
      <c r="G457">
        <f>IF($V457="","",INDEX('Per Line'!$J$2:$J$1501,$V457)&amp;"")</f>
        <v/>
      </c>
      <c r="H457">
        <f>IF($V457="","",INDEX('Per Line'!$K$2:$K$1501,$V457)&amp;"")</f>
        <v/>
      </c>
      <c r="I457">
        <f>IF($V457="","",INDEX('Per Line'!$M$2:$M$1501,$V457))</f>
        <v/>
      </c>
      <c r="J457" s="7">
        <f>IF($V457="","",I457*T457/100)</f>
        <v/>
      </c>
      <c r="K457" s="7">
        <f>IF($V457="","",SUMIFS('Per Line'!$V$2:$V$1501,'Per Line'!$D$2:$D$1501,$B457,'Per Line'!$AN$2:$AN$1501,1))</f>
        <v/>
      </c>
      <c r="L457">
        <f>IF($V457="","",Settings!$C$7)</f>
        <v/>
      </c>
      <c r="M457" s="7">
        <f>IF($V457="","",SUMIFS('Per Line'!$V$2:$V$1501,'Per Line'!$D$2:$D$1501,$B457,'Per Line'!$AM$2:$AM$1501,0,'Per Line'!$AN$2:$AN$1501,0))</f>
        <v/>
      </c>
      <c r="N457" s="7">
        <f>IF($V457="","",M457*L457)</f>
        <v/>
      </c>
      <c r="O457">
        <f>IF($V457="","",Settings!$C$6)</f>
        <v/>
      </c>
      <c r="P457" s="7">
        <f>IF($V457="","",SUMIFS('Per Line'!$V$2:$V$1501,'Per Line'!$D$2:$D$1501,$B457,'Per Line'!$AM$2:$AM$1501,1,'Per Line'!$AN$2:$AN$1501,0))</f>
        <v/>
      </c>
      <c r="Q457" s="7">
        <f>IF($V457="","",P457*O457)</f>
        <v/>
      </c>
      <c r="R457" s="7">
        <f>IF($V457="","",Q457+N457)</f>
        <v/>
      </c>
      <c r="S457" s="7">
        <f>IF($V457="","",T457-R457)</f>
        <v/>
      </c>
      <c r="T457" s="7">
        <f>IF($V457="","",M457+P457+K457)</f>
        <v/>
      </c>
      <c r="U457" s="7">
        <f>IF($V457="","",T457-R457-J457)</f>
        <v/>
      </c>
      <c r="V457" s="13">
        <f>IF(ROWS($V$2:$V457)&lt;=MAX('Per Line'!$AL$2:$AL$1501),MATCH(ROWS($V$2:$V457),'Per Line'!$AL$2:$AL$1501,0),"")</f>
        <v/>
      </c>
    </row>
    <row r="458">
      <c r="A458" s="12" t="n"/>
      <c r="B458">
        <f>IF($V458="","",INDEX('Per Line'!$D$2:$D$1501,$V458)&amp;"")</f>
        <v/>
      </c>
      <c r="C458">
        <f>IF($V458="","",INDEX('Per Line'!$A$2:$A$1501,$V458))</f>
        <v/>
      </c>
      <c r="D458">
        <f>IF($V458="","",INDEX('Per Line'!$Z$2:$Z$1501,$V458)&amp;"")</f>
        <v/>
      </c>
      <c r="E458" s="11">
        <f>IF($V458="","",INDEX('Per Line'!$F$2:$F$1501,$V458))</f>
        <v/>
      </c>
      <c r="F458">
        <f>IF($V458="","",INDEX('Per Line'!$I$2:$I$1501,$V458)&amp;"")</f>
        <v/>
      </c>
      <c r="G458">
        <f>IF($V458="","",INDEX('Per Line'!$J$2:$J$1501,$V458)&amp;"")</f>
        <v/>
      </c>
      <c r="H458">
        <f>IF($V458="","",INDEX('Per Line'!$K$2:$K$1501,$V458)&amp;"")</f>
        <v/>
      </c>
      <c r="I458">
        <f>IF($V458="","",INDEX('Per Line'!$M$2:$M$1501,$V458))</f>
        <v/>
      </c>
      <c r="J458" s="7">
        <f>IF($V458="","",I458*T458/100)</f>
        <v/>
      </c>
      <c r="K458" s="7">
        <f>IF($V458="","",SUMIFS('Per Line'!$V$2:$V$1501,'Per Line'!$D$2:$D$1501,$B458,'Per Line'!$AN$2:$AN$1501,1))</f>
        <v/>
      </c>
      <c r="L458">
        <f>IF($V458="","",Settings!$C$7)</f>
        <v/>
      </c>
      <c r="M458" s="7">
        <f>IF($V458="","",SUMIFS('Per Line'!$V$2:$V$1501,'Per Line'!$D$2:$D$1501,$B458,'Per Line'!$AM$2:$AM$1501,0,'Per Line'!$AN$2:$AN$1501,0))</f>
        <v/>
      </c>
      <c r="N458" s="7">
        <f>IF($V458="","",M458*L458)</f>
        <v/>
      </c>
      <c r="O458">
        <f>IF($V458="","",Settings!$C$6)</f>
        <v/>
      </c>
      <c r="P458" s="7">
        <f>IF($V458="","",SUMIFS('Per Line'!$V$2:$V$1501,'Per Line'!$D$2:$D$1501,$B458,'Per Line'!$AM$2:$AM$1501,1,'Per Line'!$AN$2:$AN$1501,0))</f>
        <v/>
      </c>
      <c r="Q458" s="7">
        <f>IF($V458="","",P458*O458)</f>
        <v/>
      </c>
      <c r="R458" s="7">
        <f>IF($V458="","",Q458+N458)</f>
        <v/>
      </c>
      <c r="S458" s="7">
        <f>IF($V458="","",T458-R458)</f>
        <v/>
      </c>
      <c r="T458" s="7">
        <f>IF($V458="","",M458+P458+K458)</f>
        <v/>
      </c>
      <c r="U458" s="7">
        <f>IF($V458="","",T458-R458-J458)</f>
        <v/>
      </c>
      <c r="V458" s="13">
        <f>IF(ROWS($V$2:$V458)&lt;=MAX('Per Line'!$AL$2:$AL$1501),MATCH(ROWS($V$2:$V458),'Per Line'!$AL$2:$AL$1501,0),"")</f>
        <v/>
      </c>
    </row>
    <row r="459">
      <c r="A459" s="12" t="n"/>
      <c r="B459">
        <f>IF($V459="","",INDEX('Per Line'!$D$2:$D$1501,$V459)&amp;"")</f>
        <v/>
      </c>
      <c r="C459">
        <f>IF($V459="","",INDEX('Per Line'!$A$2:$A$1501,$V459))</f>
        <v/>
      </c>
      <c r="D459">
        <f>IF($V459="","",INDEX('Per Line'!$Z$2:$Z$1501,$V459)&amp;"")</f>
        <v/>
      </c>
      <c r="E459" s="11">
        <f>IF($V459="","",INDEX('Per Line'!$F$2:$F$1501,$V459))</f>
        <v/>
      </c>
      <c r="F459">
        <f>IF($V459="","",INDEX('Per Line'!$I$2:$I$1501,$V459)&amp;"")</f>
        <v/>
      </c>
      <c r="G459">
        <f>IF($V459="","",INDEX('Per Line'!$J$2:$J$1501,$V459)&amp;"")</f>
        <v/>
      </c>
      <c r="H459">
        <f>IF($V459="","",INDEX('Per Line'!$K$2:$K$1501,$V459)&amp;"")</f>
        <v/>
      </c>
      <c r="I459">
        <f>IF($V459="","",INDEX('Per Line'!$M$2:$M$1501,$V459))</f>
        <v/>
      </c>
      <c r="J459" s="7">
        <f>IF($V459="","",I459*T459/100)</f>
        <v/>
      </c>
      <c r="K459" s="7">
        <f>IF($V459="","",SUMIFS('Per Line'!$V$2:$V$1501,'Per Line'!$D$2:$D$1501,$B459,'Per Line'!$AN$2:$AN$1501,1))</f>
        <v/>
      </c>
      <c r="L459">
        <f>IF($V459="","",Settings!$C$7)</f>
        <v/>
      </c>
      <c r="M459" s="7">
        <f>IF($V459="","",SUMIFS('Per Line'!$V$2:$V$1501,'Per Line'!$D$2:$D$1501,$B459,'Per Line'!$AM$2:$AM$1501,0,'Per Line'!$AN$2:$AN$1501,0))</f>
        <v/>
      </c>
      <c r="N459" s="7">
        <f>IF($V459="","",M459*L459)</f>
        <v/>
      </c>
      <c r="O459">
        <f>IF($V459="","",Settings!$C$6)</f>
        <v/>
      </c>
      <c r="P459" s="7">
        <f>IF($V459="","",SUMIFS('Per Line'!$V$2:$V$1501,'Per Line'!$D$2:$D$1501,$B459,'Per Line'!$AM$2:$AM$1501,1,'Per Line'!$AN$2:$AN$1501,0))</f>
        <v/>
      </c>
      <c r="Q459" s="7">
        <f>IF($V459="","",P459*O459)</f>
        <v/>
      </c>
      <c r="R459" s="7">
        <f>IF($V459="","",Q459+N459)</f>
        <v/>
      </c>
      <c r="S459" s="7">
        <f>IF($V459="","",T459-R459)</f>
        <v/>
      </c>
      <c r="T459" s="7">
        <f>IF($V459="","",M459+P459+K459)</f>
        <v/>
      </c>
      <c r="U459" s="7">
        <f>IF($V459="","",T459-R459-J459)</f>
        <v/>
      </c>
      <c r="V459" s="13">
        <f>IF(ROWS($V$2:$V459)&lt;=MAX('Per Line'!$AL$2:$AL$1501),MATCH(ROWS($V$2:$V459),'Per Line'!$AL$2:$AL$1501,0),"")</f>
        <v/>
      </c>
    </row>
    <row r="460">
      <c r="A460" s="12" t="n"/>
      <c r="B460">
        <f>IF($V460="","",INDEX('Per Line'!$D$2:$D$1501,$V460)&amp;"")</f>
        <v/>
      </c>
      <c r="C460">
        <f>IF($V460="","",INDEX('Per Line'!$A$2:$A$1501,$V460))</f>
        <v/>
      </c>
      <c r="D460">
        <f>IF($V460="","",INDEX('Per Line'!$Z$2:$Z$1501,$V460)&amp;"")</f>
        <v/>
      </c>
      <c r="E460" s="11">
        <f>IF($V460="","",INDEX('Per Line'!$F$2:$F$1501,$V460))</f>
        <v/>
      </c>
      <c r="F460">
        <f>IF($V460="","",INDEX('Per Line'!$I$2:$I$1501,$V460)&amp;"")</f>
        <v/>
      </c>
      <c r="G460">
        <f>IF($V460="","",INDEX('Per Line'!$J$2:$J$1501,$V460)&amp;"")</f>
        <v/>
      </c>
      <c r="H460">
        <f>IF($V460="","",INDEX('Per Line'!$K$2:$K$1501,$V460)&amp;"")</f>
        <v/>
      </c>
      <c r="I460">
        <f>IF($V460="","",INDEX('Per Line'!$M$2:$M$1501,$V460))</f>
        <v/>
      </c>
      <c r="J460" s="7">
        <f>IF($V460="","",I460*T460/100)</f>
        <v/>
      </c>
      <c r="K460" s="7">
        <f>IF($V460="","",SUMIFS('Per Line'!$V$2:$V$1501,'Per Line'!$D$2:$D$1501,$B460,'Per Line'!$AN$2:$AN$1501,1))</f>
        <v/>
      </c>
      <c r="L460">
        <f>IF($V460="","",Settings!$C$7)</f>
        <v/>
      </c>
      <c r="M460" s="7">
        <f>IF($V460="","",SUMIFS('Per Line'!$V$2:$V$1501,'Per Line'!$D$2:$D$1501,$B460,'Per Line'!$AM$2:$AM$1501,0,'Per Line'!$AN$2:$AN$1501,0))</f>
        <v/>
      </c>
      <c r="N460" s="7">
        <f>IF($V460="","",M460*L460)</f>
        <v/>
      </c>
      <c r="O460">
        <f>IF($V460="","",Settings!$C$6)</f>
        <v/>
      </c>
      <c r="P460" s="7">
        <f>IF($V460="","",SUMIFS('Per Line'!$V$2:$V$1501,'Per Line'!$D$2:$D$1501,$B460,'Per Line'!$AM$2:$AM$1501,1,'Per Line'!$AN$2:$AN$1501,0))</f>
        <v/>
      </c>
      <c r="Q460" s="7">
        <f>IF($V460="","",P460*O460)</f>
        <v/>
      </c>
      <c r="R460" s="7">
        <f>IF($V460="","",Q460+N460)</f>
        <v/>
      </c>
      <c r="S460" s="7">
        <f>IF($V460="","",T460-R460)</f>
        <v/>
      </c>
      <c r="T460" s="7">
        <f>IF($V460="","",M460+P460+K460)</f>
        <v/>
      </c>
      <c r="U460" s="7">
        <f>IF($V460="","",T460-R460-J460)</f>
        <v/>
      </c>
      <c r="V460" s="13">
        <f>IF(ROWS($V$2:$V460)&lt;=MAX('Per Line'!$AL$2:$AL$1501),MATCH(ROWS($V$2:$V460),'Per Line'!$AL$2:$AL$1501,0),"")</f>
        <v/>
      </c>
    </row>
    <row r="461">
      <c r="A461" s="12" t="n"/>
      <c r="B461">
        <f>IF($V461="","",INDEX('Per Line'!$D$2:$D$1501,$V461)&amp;"")</f>
        <v/>
      </c>
      <c r="C461">
        <f>IF($V461="","",INDEX('Per Line'!$A$2:$A$1501,$V461))</f>
        <v/>
      </c>
      <c r="D461">
        <f>IF($V461="","",INDEX('Per Line'!$Z$2:$Z$1501,$V461)&amp;"")</f>
        <v/>
      </c>
      <c r="E461" s="11">
        <f>IF($V461="","",INDEX('Per Line'!$F$2:$F$1501,$V461))</f>
        <v/>
      </c>
      <c r="F461">
        <f>IF($V461="","",INDEX('Per Line'!$I$2:$I$1501,$V461)&amp;"")</f>
        <v/>
      </c>
      <c r="G461">
        <f>IF($V461="","",INDEX('Per Line'!$J$2:$J$1501,$V461)&amp;"")</f>
        <v/>
      </c>
      <c r="H461">
        <f>IF($V461="","",INDEX('Per Line'!$K$2:$K$1501,$V461)&amp;"")</f>
        <v/>
      </c>
      <c r="I461">
        <f>IF($V461="","",INDEX('Per Line'!$M$2:$M$1501,$V461))</f>
        <v/>
      </c>
      <c r="J461" s="7">
        <f>IF($V461="","",I461*T461/100)</f>
        <v/>
      </c>
      <c r="K461" s="7">
        <f>IF($V461="","",SUMIFS('Per Line'!$V$2:$V$1501,'Per Line'!$D$2:$D$1501,$B461,'Per Line'!$AN$2:$AN$1501,1))</f>
        <v/>
      </c>
      <c r="L461">
        <f>IF($V461="","",Settings!$C$7)</f>
        <v/>
      </c>
      <c r="M461" s="7">
        <f>IF($V461="","",SUMIFS('Per Line'!$V$2:$V$1501,'Per Line'!$D$2:$D$1501,$B461,'Per Line'!$AM$2:$AM$1501,0,'Per Line'!$AN$2:$AN$1501,0))</f>
        <v/>
      </c>
      <c r="N461" s="7">
        <f>IF($V461="","",M461*L461)</f>
        <v/>
      </c>
      <c r="O461">
        <f>IF($V461="","",Settings!$C$6)</f>
        <v/>
      </c>
      <c r="P461" s="7">
        <f>IF($V461="","",SUMIFS('Per Line'!$V$2:$V$1501,'Per Line'!$D$2:$D$1501,$B461,'Per Line'!$AM$2:$AM$1501,1,'Per Line'!$AN$2:$AN$1501,0))</f>
        <v/>
      </c>
      <c r="Q461" s="7">
        <f>IF($V461="","",P461*O461)</f>
        <v/>
      </c>
      <c r="R461" s="7">
        <f>IF($V461="","",Q461+N461)</f>
        <v/>
      </c>
      <c r="S461" s="7">
        <f>IF($V461="","",T461-R461)</f>
        <v/>
      </c>
      <c r="T461" s="7">
        <f>IF($V461="","",M461+P461+K461)</f>
        <v/>
      </c>
      <c r="U461" s="7">
        <f>IF($V461="","",T461-R461-J461)</f>
        <v/>
      </c>
      <c r="V461" s="13">
        <f>IF(ROWS($V$2:$V461)&lt;=MAX('Per Line'!$AL$2:$AL$1501),MATCH(ROWS($V$2:$V461),'Per Line'!$AL$2:$AL$1501,0),"")</f>
        <v/>
      </c>
    </row>
    <row r="462">
      <c r="A462" s="12" t="n"/>
      <c r="B462">
        <f>IF($V462="","",INDEX('Per Line'!$D$2:$D$1501,$V462)&amp;"")</f>
        <v/>
      </c>
      <c r="C462">
        <f>IF($V462="","",INDEX('Per Line'!$A$2:$A$1501,$V462))</f>
        <v/>
      </c>
      <c r="D462">
        <f>IF($V462="","",INDEX('Per Line'!$Z$2:$Z$1501,$V462)&amp;"")</f>
        <v/>
      </c>
      <c r="E462" s="11">
        <f>IF($V462="","",INDEX('Per Line'!$F$2:$F$1501,$V462))</f>
        <v/>
      </c>
      <c r="F462">
        <f>IF($V462="","",INDEX('Per Line'!$I$2:$I$1501,$V462)&amp;"")</f>
        <v/>
      </c>
      <c r="G462">
        <f>IF($V462="","",INDEX('Per Line'!$J$2:$J$1501,$V462)&amp;"")</f>
        <v/>
      </c>
      <c r="H462">
        <f>IF($V462="","",INDEX('Per Line'!$K$2:$K$1501,$V462)&amp;"")</f>
        <v/>
      </c>
      <c r="I462">
        <f>IF($V462="","",INDEX('Per Line'!$M$2:$M$1501,$V462))</f>
        <v/>
      </c>
      <c r="J462" s="7">
        <f>IF($V462="","",I462*T462/100)</f>
        <v/>
      </c>
      <c r="K462" s="7">
        <f>IF($V462="","",SUMIFS('Per Line'!$V$2:$V$1501,'Per Line'!$D$2:$D$1501,$B462,'Per Line'!$AN$2:$AN$1501,1))</f>
        <v/>
      </c>
      <c r="L462">
        <f>IF($V462="","",Settings!$C$7)</f>
        <v/>
      </c>
      <c r="M462" s="7">
        <f>IF($V462="","",SUMIFS('Per Line'!$V$2:$V$1501,'Per Line'!$D$2:$D$1501,$B462,'Per Line'!$AM$2:$AM$1501,0,'Per Line'!$AN$2:$AN$1501,0))</f>
        <v/>
      </c>
      <c r="N462" s="7">
        <f>IF($V462="","",M462*L462)</f>
        <v/>
      </c>
      <c r="O462">
        <f>IF($V462="","",Settings!$C$6)</f>
        <v/>
      </c>
      <c r="P462" s="7">
        <f>IF($V462="","",SUMIFS('Per Line'!$V$2:$V$1501,'Per Line'!$D$2:$D$1501,$B462,'Per Line'!$AM$2:$AM$1501,1,'Per Line'!$AN$2:$AN$1501,0))</f>
        <v/>
      </c>
      <c r="Q462" s="7">
        <f>IF($V462="","",P462*O462)</f>
        <v/>
      </c>
      <c r="R462" s="7">
        <f>IF($V462="","",Q462+N462)</f>
        <v/>
      </c>
      <c r="S462" s="7">
        <f>IF($V462="","",T462-R462)</f>
        <v/>
      </c>
      <c r="T462" s="7">
        <f>IF($V462="","",M462+P462+K462)</f>
        <v/>
      </c>
      <c r="U462" s="7">
        <f>IF($V462="","",T462-R462-J462)</f>
        <v/>
      </c>
      <c r="V462" s="13">
        <f>IF(ROWS($V$2:$V462)&lt;=MAX('Per Line'!$AL$2:$AL$1501),MATCH(ROWS($V$2:$V462),'Per Line'!$AL$2:$AL$1501,0),"")</f>
        <v/>
      </c>
    </row>
    <row r="463">
      <c r="A463" s="12" t="n"/>
      <c r="B463">
        <f>IF($V463="","",INDEX('Per Line'!$D$2:$D$1501,$V463)&amp;"")</f>
        <v/>
      </c>
      <c r="C463">
        <f>IF($V463="","",INDEX('Per Line'!$A$2:$A$1501,$V463))</f>
        <v/>
      </c>
      <c r="D463">
        <f>IF($V463="","",INDEX('Per Line'!$Z$2:$Z$1501,$V463)&amp;"")</f>
        <v/>
      </c>
      <c r="E463" s="11">
        <f>IF($V463="","",INDEX('Per Line'!$F$2:$F$1501,$V463))</f>
        <v/>
      </c>
      <c r="F463">
        <f>IF($V463="","",INDEX('Per Line'!$I$2:$I$1501,$V463)&amp;"")</f>
        <v/>
      </c>
      <c r="G463">
        <f>IF($V463="","",INDEX('Per Line'!$J$2:$J$1501,$V463)&amp;"")</f>
        <v/>
      </c>
      <c r="H463">
        <f>IF($V463="","",INDEX('Per Line'!$K$2:$K$1501,$V463)&amp;"")</f>
        <v/>
      </c>
      <c r="I463">
        <f>IF($V463="","",INDEX('Per Line'!$M$2:$M$1501,$V463))</f>
        <v/>
      </c>
      <c r="J463" s="7">
        <f>IF($V463="","",I463*T463/100)</f>
        <v/>
      </c>
      <c r="K463" s="7">
        <f>IF($V463="","",SUMIFS('Per Line'!$V$2:$V$1501,'Per Line'!$D$2:$D$1501,$B463,'Per Line'!$AN$2:$AN$1501,1))</f>
        <v/>
      </c>
      <c r="L463">
        <f>IF($V463="","",Settings!$C$7)</f>
        <v/>
      </c>
      <c r="M463" s="7">
        <f>IF($V463="","",SUMIFS('Per Line'!$V$2:$V$1501,'Per Line'!$D$2:$D$1501,$B463,'Per Line'!$AM$2:$AM$1501,0,'Per Line'!$AN$2:$AN$1501,0))</f>
        <v/>
      </c>
      <c r="N463" s="7">
        <f>IF($V463="","",M463*L463)</f>
        <v/>
      </c>
      <c r="O463">
        <f>IF($V463="","",Settings!$C$6)</f>
        <v/>
      </c>
      <c r="P463" s="7">
        <f>IF($V463="","",SUMIFS('Per Line'!$V$2:$V$1501,'Per Line'!$D$2:$D$1501,$B463,'Per Line'!$AM$2:$AM$1501,1,'Per Line'!$AN$2:$AN$1501,0))</f>
        <v/>
      </c>
      <c r="Q463" s="7">
        <f>IF($V463="","",P463*O463)</f>
        <v/>
      </c>
      <c r="R463" s="7">
        <f>IF($V463="","",Q463+N463)</f>
        <v/>
      </c>
      <c r="S463" s="7">
        <f>IF($V463="","",T463-R463)</f>
        <v/>
      </c>
      <c r="T463" s="7">
        <f>IF($V463="","",M463+P463+K463)</f>
        <v/>
      </c>
      <c r="U463" s="7">
        <f>IF($V463="","",T463-R463-J463)</f>
        <v/>
      </c>
      <c r="V463" s="13">
        <f>IF(ROWS($V$2:$V463)&lt;=MAX('Per Line'!$AL$2:$AL$1501),MATCH(ROWS($V$2:$V463),'Per Line'!$AL$2:$AL$1501,0),"")</f>
        <v/>
      </c>
    </row>
    <row r="464">
      <c r="A464" s="12" t="n"/>
      <c r="B464">
        <f>IF($V464="","",INDEX('Per Line'!$D$2:$D$1501,$V464)&amp;"")</f>
        <v/>
      </c>
      <c r="C464">
        <f>IF($V464="","",INDEX('Per Line'!$A$2:$A$1501,$V464))</f>
        <v/>
      </c>
      <c r="D464">
        <f>IF($V464="","",INDEX('Per Line'!$Z$2:$Z$1501,$V464)&amp;"")</f>
        <v/>
      </c>
      <c r="E464" s="11">
        <f>IF($V464="","",INDEX('Per Line'!$F$2:$F$1501,$V464))</f>
        <v/>
      </c>
      <c r="F464">
        <f>IF($V464="","",INDEX('Per Line'!$I$2:$I$1501,$V464)&amp;"")</f>
        <v/>
      </c>
      <c r="G464">
        <f>IF($V464="","",INDEX('Per Line'!$J$2:$J$1501,$V464)&amp;"")</f>
        <v/>
      </c>
      <c r="H464">
        <f>IF($V464="","",INDEX('Per Line'!$K$2:$K$1501,$V464)&amp;"")</f>
        <v/>
      </c>
      <c r="I464">
        <f>IF($V464="","",INDEX('Per Line'!$M$2:$M$1501,$V464))</f>
        <v/>
      </c>
      <c r="J464" s="7">
        <f>IF($V464="","",I464*T464/100)</f>
        <v/>
      </c>
      <c r="K464" s="7">
        <f>IF($V464="","",SUMIFS('Per Line'!$V$2:$V$1501,'Per Line'!$D$2:$D$1501,$B464,'Per Line'!$AN$2:$AN$1501,1))</f>
        <v/>
      </c>
      <c r="L464">
        <f>IF($V464="","",Settings!$C$7)</f>
        <v/>
      </c>
      <c r="M464" s="7">
        <f>IF($V464="","",SUMIFS('Per Line'!$V$2:$V$1501,'Per Line'!$D$2:$D$1501,$B464,'Per Line'!$AM$2:$AM$1501,0,'Per Line'!$AN$2:$AN$1501,0))</f>
        <v/>
      </c>
      <c r="N464" s="7">
        <f>IF($V464="","",M464*L464)</f>
        <v/>
      </c>
      <c r="O464">
        <f>IF($V464="","",Settings!$C$6)</f>
        <v/>
      </c>
      <c r="P464" s="7">
        <f>IF($V464="","",SUMIFS('Per Line'!$V$2:$V$1501,'Per Line'!$D$2:$D$1501,$B464,'Per Line'!$AM$2:$AM$1501,1,'Per Line'!$AN$2:$AN$1501,0))</f>
        <v/>
      </c>
      <c r="Q464" s="7">
        <f>IF($V464="","",P464*O464)</f>
        <v/>
      </c>
      <c r="R464" s="7">
        <f>IF($V464="","",Q464+N464)</f>
        <v/>
      </c>
      <c r="S464" s="7">
        <f>IF($V464="","",T464-R464)</f>
        <v/>
      </c>
      <c r="T464" s="7">
        <f>IF($V464="","",M464+P464+K464)</f>
        <v/>
      </c>
      <c r="U464" s="7">
        <f>IF($V464="","",T464-R464-J464)</f>
        <v/>
      </c>
      <c r="V464" s="13">
        <f>IF(ROWS($V$2:$V464)&lt;=MAX('Per Line'!$AL$2:$AL$1501),MATCH(ROWS($V$2:$V464),'Per Line'!$AL$2:$AL$1501,0),"")</f>
        <v/>
      </c>
    </row>
    <row r="465">
      <c r="A465" s="12" t="n"/>
      <c r="B465">
        <f>IF($V465="","",INDEX('Per Line'!$D$2:$D$1501,$V465)&amp;"")</f>
        <v/>
      </c>
      <c r="C465">
        <f>IF($V465="","",INDEX('Per Line'!$A$2:$A$1501,$V465))</f>
        <v/>
      </c>
      <c r="D465">
        <f>IF($V465="","",INDEX('Per Line'!$Z$2:$Z$1501,$V465)&amp;"")</f>
        <v/>
      </c>
      <c r="E465" s="11">
        <f>IF($V465="","",INDEX('Per Line'!$F$2:$F$1501,$V465))</f>
        <v/>
      </c>
      <c r="F465">
        <f>IF($V465="","",INDEX('Per Line'!$I$2:$I$1501,$V465)&amp;"")</f>
        <v/>
      </c>
      <c r="G465">
        <f>IF($V465="","",INDEX('Per Line'!$J$2:$J$1501,$V465)&amp;"")</f>
        <v/>
      </c>
      <c r="H465">
        <f>IF($V465="","",INDEX('Per Line'!$K$2:$K$1501,$V465)&amp;"")</f>
        <v/>
      </c>
      <c r="I465">
        <f>IF($V465="","",INDEX('Per Line'!$M$2:$M$1501,$V465))</f>
        <v/>
      </c>
      <c r="J465" s="7">
        <f>IF($V465="","",I465*T465/100)</f>
        <v/>
      </c>
      <c r="K465" s="7">
        <f>IF($V465="","",SUMIFS('Per Line'!$V$2:$V$1501,'Per Line'!$D$2:$D$1501,$B465,'Per Line'!$AN$2:$AN$1501,1))</f>
        <v/>
      </c>
      <c r="L465">
        <f>IF($V465="","",Settings!$C$7)</f>
        <v/>
      </c>
      <c r="M465" s="7">
        <f>IF($V465="","",SUMIFS('Per Line'!$V$2:$V$1501,'Per Line'!$D$2:$D$1501,$B465,'Per Line'!$AM$2:$AM$1501,0,'Per Line'!$AN$2:$AN$1501,0))</f>
        <v/>
      </c>
      <c r="N465" s="7">
        <f>IF($V465="","",M465*L465)</f>
        <v/>
      </c>
      <c r="O465">
        <f>IF($V465="","",Settings!$C$6)</f>
        <v/>
      </c>
      <c r="P465" s="7">
        <f>IF($V465="","",SUMIFS('Per Line'!$V$2:$V$1501,'Per Line'!$D$2:$D$1501,$B465,'Per Line'!$AM$2:$AM$1501,1,'Per Line'!$AN$2:$AN$1501,0))</f>
        <v/>
      </c>
      <c r="Q465" s="7">
        <f>IF($V465="","",P465*O465)</f>
        <v/>
      </c>
      <c r="R465" s="7">
        <f>IF($V465="","",Q465+N465)</f>
        <v/>
      </c>
      <c r="S465" s="7">
        <f>IF($V465="","",T465-R465)</f>
        <v/>
      </c>
      <c r="T465" s="7">
        <f>IF($V465="","",M465+P465+K465)</f>
        <v/>
      </c>
      <c r="U465" s="7">
        <f>IF($V465="","",T465-R465-J465)</f>
        <v/>
      </c>
      <c r="V465" s="13">
        <f>IF(ROWS($V$2:$V465)&lt;=MAX('Per Line'!$AL$2:$AL$1501),MATCH(ROWS($V$2:$V465),'Per Line'!$AL$2:$AL$1501,0),"")</f>
        <v/>
      </c>
    </row>
    <row r="466">
      <c r="A466" s="12" t="n"/>
      <c r="B466">
        <f>IF($V466="","",INDEX('Per Line'!$D$2:$D$1501,$V466)&amp;"")</f>
        <v/>
      </c>
      <c r="C466">
        <f>IF($V466="","",INDEX('Per Line'!$A$2:$A$1501,$V466))</f>
        <v/>
      </c>
      <c r="D466">
        <f>IF($V466="","",INDEX('Per Line'!$Z$2:$Z$1501,$V466)&amp;"")</f>
        <v/>
      </c>
      <c r="E466" s="11">
        <f>IF($V466="","",INDEX('Per Line'!$F$2:$F$1501,$V466))</f>
        <v/>
      </c>
      <c r="F466">
        <f>IF($V466="","",INDEX('Per Line'!$I$2:$I$1501,$V466)&amp;"")</f>
        <v/>
      </c>
      <c r="G466">
        <f>IF($V466="","",INDEX('Per Line'!$J$2:$J$1501,$V466)&amp;"")</f>
        <v/>
      </c>
      <c r="H466">
        <f>IF($V466="","",INDEX('Per Line'!$K$2:$K$1501,$V466)&amp;"")</f>
        <v/>
      </c>
      <c r="I466">
        <f>IF($V466="","",INDEX('Per Line'!$M$2:$M$1501,$V466))</f>
        <v/>
      </c>
      <c r="J466" s="7">
        <f>IF($V466="","",I466*T466/100)</f>
        <v/>
      </c>
      <c r="K466" s="7">
        <f>IF($V466="","",SUMIFS('Per Line'!$V$2:$V$1501,'Per Line'!$D$2:$D$1501,$B466,'Per Line'!$AN$2:$AN$1501,1))</f>
        <v/>
      </c>
      <c r="L466">
        <f>IF($V466="","",Settings!$C$7)</f>
        <v/>
      </c>
      <c r="M466" s="7">
        <f>IF($V466="","",SUMIFS('Per Line'!$V$2:$V$1501,'Per Line'!$D$2:$D$1501,$B466,'Per Line'!$AM$2:$AM$1501,0,'Per Line'!$AN$2:$AN$1501,0))</f>
        <v/>
      </c>
      <c r="N466" s="7">
        <f>IF($V466="","",M466*L466)</f>
        <v/>
      </c>
      <c r="O466">
        <f>IF($V466="","",Settings!$C$6)</f>
        <v/>
      </c>
      <c r="P466" s="7">
        <f>IF($V466="","",SUMIFS('Per Line'!$V$2:$V$1501,'Per Line'!$D$2:$D$1501,$B466,'Per Line'!$AM$2:$AM$1501,1,'Per Line'!$AN$2:$AN$1501,0))</f>
        <v/>
      </c>
      <c r="Q466" s="7">
        <f>IF($V466="","",P466*O466)</f>
        <v/>
      </c>
      <c r="R466" s="7">
        <f>IF($V466="","",Q466+N466)</f>
        <v/>
      </c>
      <c r="S466" s="7">
        <f>IF($V466="","",T466-R466)</f>
        <v/>
      </c>
      <c r="T466" s="7">
        <f>IF($V466="","",M466+P466+K466)</f>
        <v/>
      </c>
      <c r="U466" s="7">
        <f>IF($V466="","",T466-R466-J466)</f>
        <v/>
      </c>
      <c r="V466" s="13">
        <f>IF(ROWS($V$2:$V466)&lt;=MAX('Per Line'!$AL$2:$AL$1501),MATCH(ROWS($V$2:$V466),'Per Line'!$AL$2:$AL$1501,0),"")</f>
        <v/>
      </c>
    </row>
    <row r="467">
      <c r="A467" s="12" t="n"/>
      <c r="B467">
        <f>IF($V467="","",INDEX('Per Line'!$D$2:$D$1501,$V467)&amp;"")</f>
        <v/>
      </c>
      <c r="C467">
        <f>IF($V467="","",INDEX('Per Line'!$A$2:$A$1501,$V467))</f>
        <v/>
      </c>
      <c r="D467">
        <f>IF($V467="","",INDEX('Per Line'!$Z$2:$Z$1501,$V467)&amp;"")</f>
        <v/>
      </c>
      <c r="E467" s="11">
        <f>IF($V467="","",INDEX('Per Line'!$F$2:$F$1501,$V467))</f>
        <v/>
      </c>
      <c r="F467">
        <f>IF($V467="","",INDEX('Per Line'!$I$2:$I$1501,$V467)&amp;"")</f>
        <v/>
      </c>
      <c r="G467">
        <f>IF($V467="","",INDEX('Per Line'!$J$2:$J$1501,$V467)&amp;"")</f>
        <v/>
      </c>
      <c r="H467">
        <f>IF($V467="","",INDEX('Per Line'!$K$2:$K$1501,$V467)&amp;"")</f>
        <v/>
      </c>
      <c r="I467">
        <f>IF($V467="","",INDEX('Per Line'!$M$2:$M$1501,$V467))</f>
        <v/>
      </c>
      <c r="J467" s="7">
        <f>IF($V467="","",I467*T467/100)</f>
        <v/>
      </c>
      <c r="K467" s="7">
        <f>IF($V467="","",SUMIFS('Per Line'!$V$2:$V$1501,'Per Line'!$D$2:$D$1501,$B467,'Per Line'!$AN$2:$AN$1501,1))</f>
        <v/>
      </c>
      <c r="L467">
        <f>IF($V467="","",Settings!$C$7)</f>
        <v/>
      </c>
      <c r="M467" s="7">
        <f>IF($V467="","",SUMIFS('Per Line'!$V$2:$V$1501,'Per Line'!$D$2:$D$1501,$B467,'Per Line'!$AM$2:$AM$1501,0,'Per Line'!$AN$2:$AN$1501,0))</f>
        <v/>
      </c>
      <c r="N467" s="7">
        <f>IF($V467="","",M467*L467)</f>
        <v/>
      </c>
      <c r="O467">
        <f>IF($V467="","",Settings!$C$6)</f>
        <v/>
      </c>
      <c r="P467" s="7">
        <f>IF($V467="","",SUMIFS('Per Line'!$V$2:$V$1501,'Per Line'!$D$2:$D$1501,$B467,'Per Line'!$AM$2:$AM$1501,1,'Per Line'!$AN$2:$AN$1501,0))</f>
        <v/>
      </c>
      <c r="Q467" s="7">
        <f>IF($V467="","",P467*O467)</f>
        <v/>
      </c>
      <c r="R467" s="7">
        <f>IF($V467="","",Q467+N467)</f>
        <v/>
      </c>
      <c r="S467" s="7">
        <f>IF($V467="","",T467-R467)</f>
        <v/>
      </c>
      <c r="T467" s="7">
        <f>IF($V467="","",M467+P467+K467)</f>
        <v/>
      </c>
      <c r="U467" s="7">
        <f>IF($V467="","",T467-R467-J467)</f>
        <v/>
      </c>
      <c r="V467" s="13">
        <f>IF(ROWS($V$2:$V467)&lt;=MAX('Per Line'!$AL$2:$AL$1501),MATCH(ROWS($V$2:$V467),'Per Line'!$AL$2:$AL$1501,0),"")</f>
        <v/>
      </c>
    </row>
    <row r="468">
      <c r="A468" s="12" t="n"/>
      <c r="B468">
        <f>IF($V468="","",INDEX('Per Line'!$D$2:$D$1501,$V468)&amp;"")</f>
        <v/>
      </c>
      <c r="C468">
        <f>IF($V468="","",INDEX('Per Line'!$A$2:$A$1501,$V468))</f>
        <v/>
      </c>
      <c r="D468">
        <f>IF($V468="","",INDEX('Per Line'!$Z$2:$Z$1501,$V468)&amp;"")</f>
        <v/>
      </c>
      <c r="E468" s="11">
        <f>IF($V468="","",INDEX('Per Line'!$F$2:$F$1501,$V468))</f>
        <v/>
      </c>
      <c r="F468">
        <f>IF($V468="","",INDEX('Per Line'!$I$2:$I$1501,$V468)&amp;"")</f>
        <v/>
      </c>
      <c r="G468">
        <f>IF($V468="","",INDEX('Per Line'!$J$2:$J$1501,$V468)&amp;"")</f>
        <v/>
      </c>
      <c r="H468">
        <f>IF($V468="","",INDEX('Per Line'!$K$2:$K$1501,$V468)&amp;"")</f>
        <v/>
      </c>
      <c r="I468">
        <f>IF($V468="","",INDEX('Per Line'!$M$2:$M$1501,$V468))</f>
        <v/>
      </c>
      <c r="J468" s="7">
        <f>IF($V468="","",I468*T468/100)</f>
        <v/>
      </c>
      <c r="K468" s="7">
        <f>IF($V468="","",SUMIFS('Per Line'!$V$2:$V$1501,'Per Line'!$D$2:$D$1501,$B468,'Per Line'!$AN$2:$AN$1501,1))</f>
        <v/>
      </c>
      <c r="L468">
        <f>IF($V468="","",Settings!$C$7)</f>
        <v/>
      </c>
      <c r="M468" s="7">
        <f>IF($V468="","",SUMIFS('Per Line'!$V$2:$V$1501,'Per Line'!$D$2:$D$1501,$B468,'Per Line'!$AM$2:$AM$1501,0,'Per Line'!$AN$2:$AN$1501,0))</f>
        <v/>
      </c>
      <c r="N468" s="7">
        <f>IF($V468="","",M468*L468)</f>
        <v/>
      </c>
      <c r="O468">
        <f>IF($V468="","",Settings!$C$6)</f>
        <v/>
      </c>
      <c r="P468" s="7">
        <f>IF($V468="","",SUMIFS('Per Line'!$V$2:$V$1501,'Per Line'!$D$2:$D$1501,$B468,'Per Line'!$AM$2:$AM$1501,1,'Per Line'!$AN$2:$AN$1501,0))</f>
        <v/>
      </c>
      <c r="Q468" s="7">
        <f>IF($V468="","",P468*O468)</f>
        <v/>
      </c>
      <c r="R468" s="7">
        <f>IF($V468="","",Q468+N468)</f>
        <v/>
      </c>
      <c r="S468" s="7">
        <f>IF($V468="","",T468-R468)</f>
        <v/>
      </c>
      <c r="T468" s="7">
        <f>IF($V468="","",M468+P468+K468)</f>
        <v/>
      </c>
      <c r="U468" s="7">
        <f>IF($V468="","",T468-R468-J468)</f>
        <v/>
      </c>
      <c r="V468" s="13">
        <f>IF(ROWS($V$2:$V468)&lt;=MAX('Per Line'!$AL$2:$AL$1501),MATCH(ROWS($V$2:$V468),'Per Line'!$AL$2:$AL$1501,0),"")</f>
        <v/>
      </c>
    </row>
    <row r="469">
      <c r="A469" s="12" t="n"/>
      <c r="B469">
        <f>IF($V469="","",INDEX('Per Line'!$D$2:$D$1501,$V469)&amp;"")</f>
        <v/>
      </c>
      <c r="C469">
        <f>IF($V469="","",INDEX('Per Line'!$A$2:$A$1501,$V469))</f>
        <v/>
      </c>
      <c r="D469">
        <f>IF($V469="","",INDEX('Per Line'!$Z$2:$Z$1501,$V469)&amp;"")</f>
        <v/>
      </c>
      <c r="E469" s="11">
        <f>IF($V469="","",INDEX('Per Line'!$F$2:$F$1501,$V469))</f>
        <v/>
      </c>
      <c r="F469">
        <f>IF($V469="","",INDEX('Per Line'!$I$2:$I$1501,$V469)&amp;"")</f>
        <v/>
      </c>
      <c r="G469">
        <f>IF($V469="","",INDEX('Per Line'!$J$2:$J$1501,$V469)&amp;"")</f>
        <v/>
      </c>
      <c r="H469">
        <f>IF($V469="","",INDEX('Per Line'!$K$2:$K$1501,$V469)&amp;"")</f>
        <v/>
      </c>
      <c r="I469">
        <f>IF($V469="","",INDEX('Per Line'!$M$2:$M$1501,$V469))</f>
        <v/>
      </c>
      <c r="J469" s="7">
        <f>IF($V469="","",I469*T469/100)</f>
        <v/>
      </c>
      <c r="K469" s="7">
        <f>IF($V469="","",SUMIFS('Per Line'!$V$2:$V$1501,'Per Line'!$D$2:$D$1501,$B469,'Per Line'!$AN$2:$AN$1501,1))</f>
        <v/>
      </c>
      <c r="L469">
        <f>IF($V469="","",Settings!$C$7)</f>
        <v/>
      </c>
      <c r="M469" s="7">
        <f>IF($V469="","",SUMIFS('Per Line'!$V$2:$V$1501,'Per Line'!$D$2:$D$1501,$B469,'Per Line'!$AM$2:$AM$1501,0,'Per Line'!$AN$2:$AN$1501,0))</f>
        <v/>
      </c>
      <c r="N469" s="7">
        <f>IF($V469="","",M469*L469)</f>
        <v/>
      </c>
      <c r="O469">
        <f>IF($V469="","",Settings!$C$6)</f>
        <v/>
      </c>
      <c r="P469" s="7">
        <f>IF($V469="","",SUMIFS('Per Line'!$V$2:$V$1501,'Per Line'!$D$2:$D$1501,$B469,'Per Line'!$AM$2:$AM$1501,1,'Per Line'!$AN$2:$AN$1501,0))</f>
        <v/>
      </c>
      <c r="Q469" s="7">
        <f>IF($V469="","",P469*O469)</f>
        <v/>
      </c>
      <c r="R469" s="7">
        <f>IF($V469="","",Q469+N469)</f>
        <v/>
      </c>
      <c r="S469" s="7">
        <f>IF($V469="","",T469-R469)</f>
        <v/>
      </c>
      <c r="T469" s="7">
        <f>IF($V469="","",M469+P469+K469)</f>
        <v/>
      </c>
      <c r="U469" s="7">
        <f>IF($V469="","",T469-R469-J469)</f>
        <v/>
      </c>
      <c r="V469" s="13">
        <f>IF(ROWS($V$2:$V469)&lt;=MAX('Per Line'!$AL$2:$AL$1501),MATCH(ROWS($V$2:$V469),'Per Line'!$AL$2:$AL$1501,0),"")</f>
        <v/>
      </c>
    </row>
    <row r="470">
      <c r="A470" s="12" t="n"/>
      <c r="B470">
        <f>IF($V470="","",INDEX('Per Line'!$D$2:$D$1501,$V470)&amp;"")</f>
        <v/>
      </c>
      <c r="C470">
        <f>IF($V470="","",INDEX('Per Line'!$A$2:$A$1501,$V470))</f>
        <v/>
      </c>
      <c r="D470">
        <f>IF($V470="","",INDEX('Per Line'!$Z$2:$Z$1501,$V470)&amp;"")</f>
        <v/>
      </c>
      <c r="E470" s="11">
        <f>IF($V470="","",INDEX('Per Line'!$F$2:$F$1501,$V470))</f>
        <v/>
      </c>
      <c r="F470">
        <f>IF($V470="","",INDEX('Per Line'!$I$2:$I$1501,$V470)&amp;"")</f>
        <v/>
      </c>
      <c r="G470">
        <f>IF($V470="","",INDEX('Per Line'!$J$2:$J$1501,$V470)&amp;"")</f>
        <v/>
      </c>
      <c r="H470">
        <f>IF($V470="","",INDEX('Per Line'!$K$2:$K$1501,$V470)&amp;"")</f>
        <v/>
      </c>
      <c r="I470">
        <f>IF($V470="","",INDEX('Per Line'!$M$2:$M$1501,$V470))</f>
        <v/>
      </c>
      <c r="J470" s="7">
        <f>IF($V470="","",I470*T470/100)</f>
        <v/>
      </c>
      <c r="K470" s="7">
        <f>IF($V470="","",SUMIFS('Per Line'!$V$2:$V$1501,'Per Line'!$D$2:$D$1501,$B470,'Per Line'!$AN$2:$AN$1501,1))</f>
        <v/>
      </c>
      <c r="L470">
        <f>IF($V470="","",Settings!$C$7)</f>
        <v/>
      </c>
      <c r="M470" s="7">
        <f>IF($V470="","",SUMIFS('Per Line'!$V$2:$V$1501,'Per Line'!$D$2:$D$1501,$B470,'Per Line'!$AM$2:$AM$1501,0,'Per Line'!$AN$2:$AN$1501,0))</f>
        <v/>
      </c>
      <c r="N470" s="7">
        <f>IF($V470="","",M470*L470)</f>
        <v/>
      </c>
      <c r="O470">
        <f>IF($V470="","",Settings!$C$6)</f>
        <v/>
      </c>
      <c r="P470" s="7">
        <f>IF($V470="","",SUMIFS('Per Line'!$V$2:$V$1501,'Per Line'!$D$2:$D$1501,$B470,'Per Line'!$AM$2:$AM$1501,1,'Per Line'!$AN$2:$AN$1501,0))</f>
        <v/>
      </c>
      <c r="Q470" s="7">
        <f>IF($V470="","",P470*O470)</f>
        <v/>
      </c>
      <c r="R470" s="7">
        <f>IF($V470="","",Q470+N470)</f>
        <v/>
      </c>
      <c r="S470" s="7">
        <f>IF($V470="","",T470-R470)</f>
        <v/>
      </c>
      <c r="T470" s="7">
        <f>IF($V470="","",M470+P470+K470)</f>
        <v/>
      </c>
      <c r="U470" s="7">
        <f>IF($V470="","",T470-R470-J470)</f>
        <v/>
      </c>
      <c r="V470" s="13">
        <f>IF(ROWS($V$2:$V470)&lt;=MAX('Per Line'!$AL$2:$AL$1501),MATCH(ROWS($V$2:$V470),'Per Line'!$AL$2:$AL$1501,0),"")</f>
        <v/>
      </c>
    </row>
    <row r="471">
      <c r="A471" s="12" t="n"/>
      <c r="B471">
        <f>IF($V471="","",INDEX('Per Line'!$D$2:$D$1501,$V471)&amp;"")</f>
        <v/>
      </c>
      <c r="C471">
        <f>IF($V471="","",INDEX('Per Line'!$A$2:$A$1501,$V471))</f>
        <v/>
      </c>
      <c r="D471">
        <f>IF($V471="","",INDEX('Per Line'!$Z$2:$Z$1501,$V471)&amp;"")</f>
        <v/>
      </c>
      <c r="E471" s="11">
        <f>IF($V471="","",INDEX('Per Line'!$F$2:$F$1501,$V471))</f>
        <v/>
      </c>
      <c r="F471">
        <f>IF($V471="","",INDEX('Per Line'!$I$2:$I$1501,$V471)&amp;"")</f>
        <v/>
      </c>
      <c r="G471">
        <f>IF($V471="","",INDEX('Per Line'!$J$2:$J$1501,$V471)&amp;"")</f>
        <v/>
      </c>
      <c r="H471">
        <f>IF($V471="","",INDEX('Per Line'!$K$2:$K$1501,$V471)&amp;"")</f>
        <v/>
      </c>
      <c r="I471">
        <f>IF($V471="","",INDEX('Per Line'!$M$2:$M$1501,$V471))</f>
        <v/>
      </c>
      <c r="J471" s="7">
        <f>IF($V471="","",I471*T471/100)</f>
        <v/>
      </c>
      <c r="K471" s="7">
        <f>IF($V471="","",SUMIFS('Per Line'!$V$2:$V$1501,'Per Line'!$D$2:$D$1501,$B471,'Per Line'!$AN$2:$AN$1501,1))</f>
        <v/>
      </c>
      <c r="L471">
        <f>IF($V471="","",Settings!$C$7)</f>
        <v/>
      </c>
      <c r="M471" s="7">
        <f>IF($V471="","",SUMIFS('Per Line'!$V$2:$V$1501,'Per Line'!$D$2:$D$1501,$B471,'Per Line'!$AM$2:$AM$1501,0,'Per Line'!$AN$2:$AN$1501,0))</f>
        <v/>
      </c>
      <c r="N471" s="7">
        <f>IF($V471="","",M471*L471)</f>
        <v/>
      </c>
      <c r="O471">
        <f>IF($V471="","",Settings!$C$6)</f>
        <v/>
      </c>
      <c r="P471" s="7">
        <f>IF($V471="","",SUMIFS('Per Line'!$V$2:$V$1501,'Per Line'!$D$2:$D$1501,$B471,'Per Line'!$AM$2:$AM$1501,1,'Per Line'!$AN$2:$AN$1501,0))</f>
        <v/>
      </c>
      <c r="Q471" s="7">
        <f>IF($V471="","",P471*O471)</f>
        <v/>
      </c>
      <c r="R471" s="7">
        <f>IF($V471="","",Q471+N471)</f>
        <v/>
      </c>
      <c r="S471" s="7">
        <f>IF($V471="","",T471-R471)</f>
        <v/>
      </c>
      <c r="T471" s="7">
        <f>IF($V471="","",M471+P471+K471)</f>
        <v/>
      </c>
      <c r="U471" s="7">
        <f>IF($V471="","",T471-R471-J471)</f>
        <v/>
      </c>
      <c r="V471" s="13">
        <f>IF(ROWS($V$2:$V471)&lt;=MAX('Per Line'!$AL$2:$AL$1501),MATCH(ROWS($V$2:$V471),'Per Line'!$AL$2:$AL$1501,0),"")</f>
        <v/>
      </c>
    </row>
    <row r="472">
      <c r="A472" s="12" t="n"/>
      <c r="B472">
        <f>IF($V472="","",INDEX('Per Line'!$D$2:$D$1501,$V472)&amp;"")</f>
        <v/>
      </c>
      <c r="C472">
        <f>IF($V472="","",INDEX('Per Line'!$A$2:$A$1501,$V472))</f>
        <v/>
      </c>
      <c r="D472">
        <f>IF($V472="","",INDEX('Per Line'!$Z$2:$Z$1501,$V472)&amp;"")</f>
        <v/>
      </c>
      <c r="E472" s="11">
        <f>IF($V472="","",INDEX('Per Line'!$F$2:$F$1501,$V472))</f>
        <v/>
      </c>
      <c r="F472">
        <f>IF($V472="","",INDEX('Per Line'!$I$2:$I$1501,$V472)&amp;"")</f>
        <v/>
      </c>
      <c r="G472">
        <f>IF($V472="","",INDEX('Per Line'!$J$2:$J$1501,$V472)&amp;"")</f>
        <v/>
      </c>
      <c r="H472">
        <f>IF($V472="","",INDEX('Per Line'!$K$2:$K$1501,$V472)&amp;"")</f>
        <v/>
      </c>
      <c r="I472">
        <f>IF($V472="","",INDEX('Per Line'!$M$2:$M$1501,$V472))</f>
        <v/>
      </c>
      <c r="J472" s="7">
        <f>IF($V472="","",I472*T472/100)</f>
        <v/>
      </c>
      <c r="K472" s="7">
        <f>IF($V472="","",SUMIFS('Per Line'!$V$2:$V$1501,'Per Line'!$D$2:$D$1501,$B472,'Per Line'!$AN$2:$AN$1501,1))</f>
        <v/>
      </c>
      <c r="L472">
        <f>IF($V472="","",Settings!$C$7)</f>
        <v/>
      </c>
      <c r="M472" s="7">
        <f>IF($V472="","",SUMIFS('Per Line'!$V$2:$V$1501,'Per Line'!$D$2:$D$1501,$B472,'Per Line'!$AM$2:$AM$1501,0,'Per Line'!$AN$2:$AN$1501,0))</f>
        <v/>
      </c>
      <c r="N472" s="7">
        <f>IF($V472="","",M472*L472)</f>
        <v/>
      </c>
      <c r="O472">
        <f>IF($V472="","",Settings!$C$6)</f>
        <v/>
      </c>
      <c r="P472" s="7">
        <f>IF($V472="","",SUMIFS('Per Line'!$V$2:$V$1501,'Per Line'!$D$2:$D$1501,$B472,'Per Line'!$AM$2:$AM$1501,1,'Per Line'!$AN$2:$AN$1501,0))</f>
        <v/>
      </c>
      <c r="Q472" s="7">
        <f>IF($V472="","",P472*O472)</f>
        <v/>
      </c>
      <c r="R472" s="7">
        <f>IF($V472="","",Q472+N472)</f>
        <v/>
      </c>
      <c r="S472" s="7">
        <f>IF($V472="","",T472-R472)</f>
        <v/>
      </c>
      <c r="T472" s="7">
        <f>IF($V472="","",M472+P472+K472)</f>
        <v/>
      </c>
      <c r="U472" s="7">
        <f>IF($V472="","",T472-R472-J472)</f>
        <v/>
      </c>
      <c r="V472" s="13">
        <f>IF(ROWS($V$2:$V472)&lt;=MAX('Per Line'!$AL$2:$AL$1501),MATCH(ROWS($V$2:$V472),'Per Line'!$AL$2:$AL$1501,0),"")</f>
        <v/>
      </c>
    </row>
    <row r="473">
      <c r="A473" s="12" t="n"/>
      <c r="B473">
        <f>IF($V473="","",INDEX('Per Line'!$D$2:$D$1501,$V473)&amp;"")</f>
        <v/>
      </c>
      <c r="C473">
        <f>IF($V473="","",INDEX('Per Line'!$A$2:$A$1501,$V473))</f>
        <v/>
      </c>
      <c r="D473">
        <f>IF($V473="","",INDEX('Per Line'!$Z$2:$Z$1501,$V473)&amp;"")</f>
        <v/>
      </c>
      <c r="E473" s="11">
        <f>IF($V473="","",INDEX('Per Line'!$F$2:$F$1501,$V473))</f>
        <v/>
      </c>
      <c r="F473">
        <f>IF($V473="","",INDEX('Per Line'!$I$2:$I$1501,$V473)&amp;"")</f>
        <v/>
      </c>
      <c r="G473">
        <f>IF($V473="","",INDEX('Per Line'!$J$2:$J$1501,$V473)&amp;"")</f>
        <v/>
      </c>
      <c r="H473">
        <f>IF($V473="","",INDEX('Per Line'!$K$2:$K$1501,$V473)&amp;"")</f>
        <v/>
      </c>
      <c r="I473">
        <f>IF($V473="","",INDEX('Per Line'!$M$2:$M$1501,$V473))</f>
        <v/>
      </c>
      <c r="J473" s="7">
        <f>IF($V473="","",I473*T473/100)</f>
        <v/>
      </c>
      <c r="K473" s="7">
        <f>IF($V473="","",SUMIFS('Per Line'!$V$2:$V$1501,'Per Line'!$D$2:$D$1501,$B473,'Per Line'!$AN$2:$AN$1501,1))</f>
        <v/>
      </c>
      <c r="L473">
        <f>IF($V473="","",Settings!$C$7)</f>
        <v/>
      </c>
      <c r="M473" s="7">
        <f>IF($V473="","",SUMIFS('Per Line'!$V$2:$V$1501,'Per Line'!$D$2:$D$1501,$B473,'Per Line'!$AM$2:$AM$1501,0,'Per Line'!$AN$2:$AN$1501,0))</f>
        <v/>
      </c>
      <c r="N473" s="7">
        <f>IF($V473="","",M473*L473)</f>
        <v/>
      </c>
      <c r="O473">
        <f>IF($V473="","",Settings!$C$6)</f>
        <v/>
      </c>
      <c r="P473" s="7">
        <f>IF($V473="","",SUMIFS('Per Line'!$V$2:$V$1501,'Per Line'!$D$2:$D$1501,$B473,'Per Line'!$AM$2:$AM$1501,1,'Per Line'!$AN$2:$AN$1501,0))</f>
        <v/>
      </c>
      <c r="Q473" s="7">
        <f>IF($V473="","",P473*O473)</f>
        <v/>
      </c>
      <c r="R473" s="7">
        <f>IF($V473="","",Q473+N473)</f>
        <v/>
      </c>
      <c r="S473" s="7">
        <f>IF($V473="","",T473-R473)</f>
        <v/>
      </c>
      <c r="T473" s="7">
        <f>IF($V473="","",M473+P473+K473)</f>
        <v/>
      </c>
      <c r="U473" s="7">
        <f>IF($V473="","",T473-R473-J473)</f>
        <v/>
      </c>
      <c r="V473" s="13">
        <f>IF(ROWS($V$2:$V473)&lt;=MAX('Per Line'!$AL$2:$AL$1501),MATCH(ROWS($V$2:$V473),'Per Line'!$AL$2:$AL$1501,0),"")</f>
        <v/>
      </c>
    </row>
    <row r="474">
      <c r="A474" s="12" t="n"/>
      <c r="B474">
        <f>IF($V474="","",INDEX('Per Line'!$D$2:$D$1501,$V474)&amp;"")</f>
        <v/>
      </c>
      <c r="C474">
        <f>IF($V474="","",INDEX('Per Line'!$A$2:$A$1501,$V474))</f>
        <v/>
      </c>
      <c r="D474">
        <f>IF($V474="","",INDEX('Per Line'!$Z$2:$Z$1501,$V474)&amp;"")</f>
        <v/>
      </c>
      <c r="E474" s="11">
        <f>IF($V474="","",INDEX('Per Line'!$F$2:$F$1501,$V474))</f>
        <v/>
      </c>
      <c r="F474">
        <f>IF($V474="","",INDEX('Per Line'!$I$2:$I$1501,$V474)&amp;"")</f>
        <v/>
      </c>
      <c r="G474">
        <f>IF($V474="","",INDEX('Per Line'!$J$2:$J$1501,$V474)&amp;"")</f>
        <v/>
      </c>
      <c r="H474">
        <f>IF($V474="","",INDEX('Per Line'!$K$2:$K$1501,$V474)&amp;"")</f>
        <v/>
      </c>
      <c r="I474">
        <f>IF($V474="","",INDEX('Per Line'!$M$2:$M$1501,$V474))</f>
        <v/>
      </c>
      <c r="J474" s="7">
        <f>IF($V474="","",I474*T474/100)</f>
        <v/>
      </c>
      <c r="K474" s="7">
        <f>IF($V474="","",SUMIFS('Per Line'!$V$2:$V$1501,'Per Line'!$D$2:$D$1501,$B474,'Per Line'!$AN$2:$AN$1501,1))</f>
        <v/>
      </c>
      <c r="L474">
        <f>IF($V474="","",Settings!$C$7)</f>
        <v/>
      </c>
      <c r="M474" s="7">
        <f>IF($V474="","",SUMIFS('Per Line'!$V$2:$V$1501,'Per Line'!$D$2:$D$1501,$B474,'Per Line'!$AM$2:$AM$1501,0,'Per Line'!$AN$2:$AN$1501,0))</f>
        <v/>
      </c>
      <c r="N474" s="7">
        <f>IF($V474="","",M474*L474)</f>
        <v/>
      </c>
      <c r="O474">
        <f>IF($V474="","",Settings!$C$6)</f>
        <v/>
      </c>
      <c r="P474" s="7">
        <f>IF($V474="","",SUMIFS('Per Line'!$V$2:$V$1501,'Per Line'!$D$2:$D$1501,$B474,'Per Line'!$AM$2:$AM$1501,1,'Per Line'!$AN$2:$AN$1501,0))</f>
        <v/>
      </c>
      <c r="Q474" s="7">
        <f>IF($V474="","",P474*O474)</f>
        <v/>
      </c>
      <c r="R474" s="7">
        <f>IF($V474="","",Q474+N474)</f>
        <v/>
      </c>
      <c r="S474" s="7">
        <f>IF($V474="","",T474-R474)</f>
        <v/>
      </c>
      <c r="T474" s="7">
        <f>IF($V474="","",M474+P474+K474)</f>
        <v/>
      </c>
      <c r="U474" s="7">
        <f>IF($V474="","",T474-R474-J474)</f>
        <v/>
      </c>
      <c r="V474" s="13">
        <f>IF(ROWS($V$2:$V474)&lt;=MAX('Per Line'!$AL$2:$AL$1501),MATCH(ROWS($V$2:$V474),'Per Line'!$AL$2:$AL$1501,0),"")</f>
        <v/>
      </c>
    </row>
    <row r="475">
      <c r="A475" s="12" t="n"/>
      <c r="B475">
        <f>IF($V475="","",INDEX('Per Line'!$D$2:$D$1501,$V475)&amp;"")</f>
        <v/>
      </c>
      <c r="C475">
        <f>IF($V475="","",INDEX('Per Line'!$A$2:$A$1501,$V475))</f>
        <v/>
      </c>
      <c r="D475">
        <f>IF($V475="","",INDEX('Per Line'!$Z$2:$Z$1501,$V475)&amp;"")</f>
        <v/>
      </c>
      <c r="E475" s="11">
        <f>IF($V475="","",INDEX('Per Line'!$F$2:$F$1501,$V475))</f>
        <v/>
      </c>
      <c r="F475">
        <f>IF($V475="","",INDEX('Per Line'!$I$2:$I$1501,$V475)&amp;"")</f>
        <v/>
      </c>
      <c r="G475">
        <f>IF($V475="","",INDEX('Per Line'!$J$2:$J$1501,$V475)&amp;"")</f>
        <v/>
      </c>
      <c r="H475">
        <f>IF($V475="","",INDEX('Per Line'!$K$2:$K$1501,$V475)&amp;"")</f>
        <v/>
      </c>
      <c r="I475">
        <f>IF($V475="","",INDEX('Per Line'!$M$2:$M$1501,$V475))</f>
        <v/>
      </c>
      <c r="J475" s="7">
        <f>IF($V475="","",I475*T475/100)</f>
        <v/>
      </c>
      <c r="K475" s="7">
        <f>IF($V475="","",SUMIFS('Per Line'!$V$2:$V$1501,'Per Line'!$D$2:$D$1501,$B475,'Per Line'!$AN$2:$AN$1501,1))</f>
        <v/>
      </c>
      <c r="L475">
        <f>IF($V475="","",Settings!$C$7)</f>
        <v/>
      </c>
      <c r="M475" s="7">
        <f>IF($V475="","",SUMIFS('Per Line'!$V$2:$V$1501,'Per Line'!$D$2:$D$1501,$B475,'Per Line'!$AM$2:$AM$1501,0,'Per Line'!$AN$2:$AN$1501,0))</f>
        <v/>
      </c>
      <c r="N475" s="7">
        <f>IF($V475="","",M475*L475)</f>
        <v/>
      </c>
      <c r="O475">
        <f>IF($V475="","",Settings!$C$6)</f>
        <v/>
      </c>
      <c r="P475" s="7">
        <f>IF($V475="","",SUMIFS('Per Line'!$V$2:$V$1501,'Per Line'!$D$2:$D$1501,$B475,'Per Line'!$AM$2:$AM$1501,1,'Per Line'!$AN$2:$AN$1501,0))</f>
        <v/>
      </c>
      <c r="Q475" s="7">
        <f>IF($V475="","",P475*O475)</f>
        <v/>
      </c>
      <c r="R475" s="7">
        <f>IF($V475="","",Q475+N475)</f>
        <v/>
      </c>
      <c r="S475" s="7">
        <f>IF($V475="","",T475-R475)</f>
        <v/>
      </c>
      <c r="T475" s="7">
        <f>IF($V475="","",M475+P475+K475)</f>
        <v/>
      </c>
      <c r="U475" s="7">
        <f>IF($V475="","",T475-R475-J475)</f>
        <v/>
      </c>
      <c r="V475" s="13">
        <f>IF(ROWS($V$2:$V475)&lt;=MAX('Per Line'!$AL$2:$AL$1501),MATCH(ROWS($V$2:$V475),'Per Line'!$AL$2:$AL$1501,0),"")</f>
        <v/>
      </c>
    </row>
    <row r="476">
      <c r="A476" s="12" t="n"/>
      <c r="B476">
        <f>IF($V476="","",INDEX('Per Line'!$D$2:$D$1501,$V476)&amp;"")</f>
        <v/>
      </c>
      <c r="C476">
        <f>IF($V476="","",INDEX('Per Line'!$A$2:$A$1501,$V476))</f>
        <v/>
      </c>
      <c r="D476">
        <f>IF($V476="","",INDEX('Per Line'!$Z$2:$Z$1501,$V476)&amp;"")</f>
        <v/>
      </c>
      <c r="E476" s="11">
        <f>IF($V476="","",INDEX('Per Line'!$F$2:$F$1501,$V476))</f>
        <v/>
      </c>
      <c r="F476">
        <f>IF($V476="","",INDEX('Per Line'!$I$2:$I$1501,$V476)&amp;"")</f>
        <v/>
      </c>
      <c r="G476">
        <f>IF($V476="","",INDEX('Per Line'!$J$2:$J$1501,$V476)&amp;"")</f>
        <v/>
      </c>
      <c r="H476">
        <f>IF($V476="","",INDEX('Per Line'!$K$2:$K$1501,$V476)&amp;"")</f>
        <v/>
      </c>
      <c r="I476">
        <f>IF($V476="","",INDEX('Per Line'!$M$2:$M$1501,$V476))</f>
        <v/>
      </c>
      <c r="J476" s="7">
        <f>IF($V476="","",I476*T476/100)</f>
        <v/>
      </c>
      <c r="K476" s="7">
        <f>IF($V476="","",SUMIFS('Per Line'!$V$2:$V$1501,'Per Line'!$D$2:$D$1501,$B476,'Per Line'!$AN$2:$AN$1501,1))</f>
        <v/>
      </c>
      <c r="L476">
        <f>IF($V476="","",Settings!$C$7)</f>
        <v/>
      </c>
      <c r="M476" s="7">
        <f>IF($V476="","",SUMIFS('Per Line'!$V$2:$V$1501,'Per Line'!$D$2:$D$1501,$B476,'Per Line'!$AM$2:$AM$1501,0,'Per Line'!$AN$2:$AN$1501,0))</f>
        <v/>
      </c>
      <c r="N476" s="7">
        <f>IF($V476="","",M476*L476)</f>
        <v/>
      </c>
      <c r="O476">
        <f>IF($V476="","",Settings!$C$6)</f>
        <v/>
      </c>
      <c r="P476" s="7">
        <f>IF($V476="","",SUMIFS('Per Line'!$V$2:$V$1501,'Per Line'!$D$2:$D$1501,$B476,'Per Line'!$AM$2:$AM$1501,1,'Per Line'!$AN$2:$AN$1501,0))</f>
        <v/>
      </c>
      <c r="Q476" s="7">
        <f>IF($V476="","",P476*O476)</f>
        <v/>
      </c>
      <c r="R476" s="7">
        <f>IF($V476="","",Q476+N476)</f>
        <v/>
      </c>
      <c r="S476" s="7">
        <f>IF($V476="","",T476-R476)</f>
        <v/>
      </c>
      <c r="T476" s="7">
        <f>IF($V476="","",M476+P476+K476)</f>
        <v/>
      </c>
      <c r="U476" s="7">
        <f>IF($V476="","",T476-R476-J476)</f>
        <v/>
      </c>
      <c r="V476" s="13">
        <f>IF(ROWS($V$2:$V476)&lt;=MAX('Per Line'!$AL$2:$AL$1501),MATCH(ROWS($V$2:$V476),'Per Line'!$AL$2:$AL$1501,0),"")</f>
        <v/>
      </c>
    </row>
    <row r="477">
      <c r="A477" s="12" t="n"/>
      <c r="B477">
        <f>IF($V477="","",INDEX('Per Line'!$D$2:$D$1501,$V477)&amp;"")</f>
        <v/>
      </c>
      <c r="C477">
        <f>IF($V477="","",INDEX('Per Line'!$A$2:$A$1501,$V477))</f>
        <v/>
      </c>
      <c r="D477">
        <f>IF($V477="","",INDEX('Per Line'!$Z$2:$Z$1501,$V477)&amp;"")</f>
        <v/>
      </c>
      <c r="E477" s="11">
        <f>IF($V477="","",INDEX('Per Line'!$F$2:$F$1501,$V477))</f>
        <v/>
      </c>
      <c r="F477">
        <f>IF($V477="","",INDEX('Per Line'!$I$2:$I$1501,$V477)&amp;"")</f>
        <v/>
      </c>
      <c r="G477">
        <f>IF($V477="","",INDEX('Per Line'!$J$2:$J$1501,$V477)&amp;"")</f>
        <v/>
      </c>
      <c r="H477">
        <f>IF($V477="","",INDEX('Per Line'!$K$2:$K$1501,$V477)&amp;"")</f>
        <v/>
      </c>
      <c r="I477">
        <f>IF($V477="","",INDEX('Per Line'!$M$2:$M$1501,$V477))</f>
        <v/>
      </c>
      <c r="J477" s="7">
        <f>IF($V477="","",I477*T477/100)</f>
        <v/>
      </c>
      <c r="K477" s="7">
        <f>IF($V477="","",SUMIFS('Per Line'!$V$2:$V$1501,'Per Line'!$D$2:$D$1501,$B477,'Per Line'!$AN$2:$AN$1501,1))</f>
        <v/>
      </c>
      <c r="L477">
        <f>IF($V477="","",Settings!$C$7)</f>
        <v/>
      </c>
      <c r="M477" s="7">
        <f>IF($V477="","",SUMIFS('Per Line'!$V$2:$V$1501,'Per Line'!$D$2:$D$1501,$B477,'Per Line'!$AM$2:$AM$1501,0,'Per Line'!$AN$2:$AN$1501,0))</f>
        <v/>
      </c>
      <c r="N477" s="7">
        <f>IF($V477="","",M477*L477)</f>
        <v/>
      </c>
      <c r="O477">
        <f>IF($V477="","",Settings!$C$6)</f>
        <v/>
      </c>
      <c r="P477" s="7">
        <f>IF($V477="","",SUMIFS('Per Line'!$V$2:$V$1501,'Per Line'!$D$2:$D$1501,$B477,'Per Line'!$AM$2:$AM$1501,1,'Per Line'!$AN$2:$AN$1501,0))</f>
        <v/>
      </c>
      <c r="Q477" s="7">
        <f>IF($V477="","",P477*O477)</f>
        <v/>
      </c>
      <c r="R477" s="7">
        <f>IF($V477="","",Q477+N477)</f>
        <v/>
      </c>
      <c r="S477" s="7">
        <f>IF($V477="","",T477-R477)</f>
        <v/>
      </c>
      <c r="T477" s="7">
        <f>IF($V477="","",M477+P477+K477)</f>
        <v/>
      </c>
      <c r="U477" s="7">
        <f>IF($V477="","",T477-R477-J477)</f>
        <v/>
      </c>
      <c r="V477" s="13">
        <f>IF(ROWS($V$2:$V477)&lt;=MAX('Per Line'!$AL$2:$AL$1501),MATCH(ROWS($V$2:$V477),'Per Line'!$AL$2:$AL$1501,0),"")</f>
        <v/>
      </c>
    </row>
    <row r="478">
      <c r="A478" s="12" t="n"/>
      <c r="B478">
        <f>IF($V478="","",INDEX('Per Line'!$D$2:$D$1501,$V478)&amp;"")</f>
        <v/>
      </c>
      <c r="C478">
        <f>IF($V478="","",INDEX('Per Line'!$A$2:$A$1501,$V478))</f>
        <v/>
      </c>
      <c r="D478">
        <f>IF($V478="","",INDEX('Per Line'!$Z$2:$Z$1501,$V478)&amp;"")</f>
        <v/>
      </c>
      <c r="E478" s="11">
        <f>IF($V478="","",INDEX('Per Line'!$F$2:$F$1501,$V478))</f>
        <v/>
      </c>
      <c r="F478">
        <f>IF($V478="","",INDEX('Per Line'!$I$2:$I$1501,$V478)&amp;"")</f>
        <v/>
      </c>
      <c r="G478">
        <f>IF($V478="","",INDEX('Per Line'!$J$2:$J$1501,$V478)&amp;"")</f>
        <v/>
      </c>
      <c r="H478">
        <f>IF($V478="","",INDEX('Per Line'!$K$2:$K$1501,$V478)&amp;"")</f>
        <v/>
      </c>
      <c r="I478">
        <f>IF($V478="","",INDEX('Per Line'!$M$2:$M$1501,$V478))</f>
        <v/>
      </c>
      <c r="J478" s="7">
        <f>IF($V478="","",I478*T478/100)</f>
        <v/>
      </c>
      <c r="K478" s="7">
        <f>IF($V478="","",SUMIFS('Per Line'!$V$2:$V$1501,'Per Line'!$D$2:$D$1501,$B478,'Per Line'!$AN$2:$AN$1501,1))</f>
        <v/>
      </c>
      <c r="L478">
        <f>IF($V478="","",Settings!$C$7)</f>
        <v/>
      </c>
      <c r="M478" s="7">
        <f>IF($V478="","",SUMIFS('Per Line'!$V$2:$V$1501,'Per Line'!$D$2:$D$1501,$B478,'Per Line'!$AM$2:$AM$1501,0,'Per Line'!$AN$2:$AN$1501,0))</f>
        <v/>
      </c>
      <c r="N478" s="7">
        <f>IF($V478="","",M478*L478)</f>
        <v/>
      </c>
      <c r="O478">
        <f>IF($V478="","",Settings!$C$6)</f>
        <v/>
      </c>
      <c r="P478" s="7">
        <f>IF($V478="","",SUMIFS('Per Line'!$V$2:$V$1501,'Per Line'!$D$2:$D$1501,$B478,'Per Line'!$AM$2:$AM$1501,1,'Per Line'!$AN$2:$AN$1501,0))</f>
        <v/>
      </c>
      <c r="Q478" s="7">
        <f>IF($V478="","",P478*O478)</f>
        <v/>
      </c>
      <c r="R478" s="7">
        <f>IF($V478="","",Q478+N478)</f>
        <v/>
      </c>
      <c r="S478" s="7">
        <f>IF($V478="","",T478-R478)</f>
        <v/>
      </c>
      <c r="T478" s="7">
        <f>IF($V478="","",M478+P478+K478)</f>
        <v/>
      </c>
      <c r="U478" s="7">
        <f>IF($V478="","",T478-R478-J478)</f>
        <v/>
      </c>
      <c r="V478" s="13">
        <f>IF(ROWS($V$2:$V478)&lt;=MAX('Per Line'!$AL$2:$AL$1501),MATCH(ROWS($V$2:$V478),'Per Line'!$AL$2:$AL$1501,0),"")</f>
        <v/>
      </c>
    </row>
    <row r="479">
      <c r="A479" s="12" t="n"/>
      <c r="B479">
        <f>IF($V479="","",INDEX('Per Line'!$D$2:$D$1501,$V479)&amp;"")</f>
        <v/>
      </c>
      <c r="C479">
        <f>IF($V479="","",INDEX('Per Line'!$A$2:$A$1501,$V479))</f>
        <v/>
      </c>
      <c r="D479">
        <f>IF($V479="","",INDEX('Per Line'!$Z$2:$Z$1501,$V479)&amp;"")</f>
        <v/>
      </c>
      <c r="E479" s="11">
        <f>IF($V479="","",INDEX('Per Line'!$F$2:$F$1501,$V479))</f>
        <v/>
      </c>
      <c r="F479">
        <f>IF($V479="","",INDEX('Per Line'!$I$2:$I$1501,$V479)&amp;"")</f>
        <v/>
      </c>
      <c r="G479">
        <f>IF($V479="","",INDEX('Per Line'!$J$2:$J$1501,$V479)&amp;"")</f>
        <v/>
      </c>
      <c r="H479">
        <f>IF($V479="","",INDEX('Per Line'!$K$2:$K$1501,$V479)&amp;"")</f>
        <v/>
      </c>
      <c r="I479">
        <f>IF($V479="","",INDEX('Per Line'!$M$2:$M$1501,$V479))</f>
        <v/>
      </c>
      <c r="J479" s="7">
        <f>IF($V479="","",I479*T479/100)</f>
        <v/>
      </c>
      <c r="K479" s="7">
        <f>IF($V479="","",SUMIFS('Per Line'!$V$2:$V$1501,'Per Line'!$D$2:$D$1501,$B479,'Per Line'!$AN$2:$AN$1501,1))</f>
        <v/>
      </c>
      <c r="L479">
        <f>IF($V479="","",Settings!$C$7)</f>
        <v/>
      </c>
      <c r="M479" s="7">
        <f>IF($V479="","",SUMIFS('Per Line'!$V$2:$V$1501,'Per Line'!$D$2:$D$1501,$B479,'Per Line'!$AM$2:$AM$1501,0,'Per Line'!$AN$2:$AN$1501,0))</f>
        <v/>
      </c>
      <c r="N479" s="7">
        <f>IF($V479="","",M479*L479)</f>
        <v/>
      </c>
      <c r="O479">
        <f>IF($V479="","",Settings!$C$6)</f>
        <v/>
      </c>
      <c r="P479" s="7">
        <f>IF($V479="","",SUMIFS('Per Line'!$V$2:$V$1501,'Per Line'!$D$2:$D$1501,$B479,'Per Line'!$AM$2:$AM$1501,1,'Per Line'!$AN$2:$AN$1501,0))</f>
        <v/>
      </c>
      <c r="Q479" s="7">
        <f>IF($V479="","",P479*O479)</f>
        <v/>
      </c>
      <c r="R479" s="7">
        <f>IF($V479="","",Q479+N479)</f>
        <v/>
      </c>
      <c r="S479" s="7">
        <f>IF($V479="","",T479-R479)</f>
        <v/>
      </c>
      <c r="T479" s="7">
        <f>IF($V479="","",M479+P479+K479)</f>
        <v/>
      </c>
      <c r="U479" s="7">
        <f>IF($V479="","",T479-R479-J479)</f>
        <v/>
      </c>
      <c r="V479" s="13">
        <f>IF(ROWS($V$2:$V479)&lt;=MAX('Per Line'!$AL$2:$AL$1501),MATCH(ROWS($V$2:$V479),'Per Line'!$AL$2:$AL$1501,0),"")</f>
        <v/>
      </c>
    </row>
    <row r="480">
      <c r="A480" s="12" t="n"/>
      <c r="B480">
        <f>IF($V480="","",INDEX('Per Line'!$D$2:$D$1501,$V480)&amp;"")</f>
        <v/>
      </c>
      <c r="C480">
        <f>IF($V480="","",INDEX('Per Line'!$A$2:$A$1501,$V480))</f>
        <v/>
      </c>
      <c r="D480">
        <f>IF($V480="","",INDEX('Per Line'!$Z$2:$Z$1501,$V480)&amp;"")</f>
        <v/>
      </c>
      <c r="E480" s="11">
        <f>IF($V480="","",INDEX('Per Line'!$F$2:$F$1501,$V480))</f>
        <v/>
      </c>
      <c r="F480">
        <f>IF($V480="","",INDEX('Per Line'!$I$2:$I$1501,$V480)&amp;"")</f>
        <v/>
      </c>
      <c r="G480">
        <f>IF($V480="","",INDEX('Per Line'!$J$2:$J$1501,$V480)&amp;"")</f>
        <v/>
      </c>
      <c r="H480">
        <f>IF($V480="","",INDEX('Per Line'!$K$2:$K$1501,$V480)&amp;"")</f>
        <v/>
      </c>
      <c r="I480">
        <f>IF($V480="","",INDEX('Per Line'!$M$2:$M$1501,$V480))</f>
        <v/>
      </c>
      <c r="J480" s="7">
        <f>IF($V480="","",I480*T480/100)</f>
        <v/>
      </c>
      <c r="K480" s="7">
        <f>IF($V480="","",SUMIFS('Per Line'!$V$2:$V$1501,'Per Line'!$D$2:$D$1501,$B480,'Per Line'!$AN$2:$AN$1501,1))</f>
        <v/>
      </c>
      <c r="L480">
        <f>IF($V480="","",Settings!$C$7)</f>
        <v/>
      </c>
      <c r="M480" s="7">
        <f>IF($V480="","",SUMIFS('Per Line'!$V$2:$V$1501,'Per Line'!$D$2:$D$1501,$B480,'Per Line'!$AM$2:$AM$1501,0,'Per Line'!$AN$2:$AN$1501,0))</f>
        <v/>
      </c>
      <c r="N480" s="7">
        <f>IF($V480="","",M480*L480)</f>
        <v/>
      </c>
      <c r="O480">
        <f>IF($V480="","",Settings!$C$6)</f>
        <v/>
      </c>
      <c r="P480" s="7">
        <f>IF($V480="","",SUMIFS('Per Line'!$V$2:$V$1501,'Per Line'!$D$2:$D$1501,$B480,'Per Line'!$AM$2:$AM$1501,1,'Per Line'!$AN$2:$AN$1501,0))</f>
        <v/>
      </c>
      <c r="Q480" s="7">
        <f>IF($V480="","",P480*O480)</f>
        <v/>
      </c>
      <c r="R480" s="7">
        <f>IF($V480="","",Q480+N480)</f>
        <v/>
      </c>
      <c r="S480" s="7">
        <f>IF($V480="","",T480-R480)</f>
        <v/>
      </c>
      <c r="T480" s="7">
        <f>IF($V480="","",M480+P480+K480)</f>
        <v/>
      </c>
      <c r="U480" s="7">
        <f>IF($V480="","",T480-R480-J480)</f>
        <v/>
      </c>
      <c r="V480" s="13">
        <f>IF(ROWS($V$2:$V480)&lt;=MAX('Per Line'!$AL$2:$AL$1501),MATCH(ROWS($V$2:$V480),'Per Line'!$AL$2:$AL$1501,0),"")</f>
        <v/>
      </c>
    </row>
    <row r="481">
      <c r="A481" s="12" t="n"/>
      <c r="B481">
        <f>IF($V481="","",INDEX('Per Line'!$D$2:$D$1501,$V481)&amp;"")</f>
        <v/>
      </c>
      <c r="C481">
        <f>IF($V481="","",INDEX('Per Line'!$A$2:$A$1501,$V481))</f>
        <v/>
      </c>
      <c r="D481">
        <f>IF($V481="","",INDEX('Per Line'!$Z$2:$Z$1501,$V481)&amp;"")</f>
        <v/>
      </c>
      <c r="E481" s="11">
        <f>IF($V481="","",INDEX('Per Line'!$F$2:$F$1501,$V481))</f>
        <v/>
      </c>
      <c r="F481">
        <f>IF($V481="","",INDEX('Per Line'!$I$2:$I$1501,$V481)&amp;"")</f>
        <v/>
      </c>
      <c r="G481">
        <f>IF($V481="","",INDEX('Per Line'!$J$2:$J$1501,$V481)&amp;"")</f>
        <v/>
      </c>
      <c r="H481">
        <f>IF($V481="","",INDEX('Per Line'!$K$2:$K$1501,$V481)&amp;"")</f>
        <v/>
      </c>
      <c r="I481">
        <f>IF($V481="","",INDEX('Per Line'!$M$2:$M$1501,$V481))</f>
        <v/>
      </c>
      <c r="J481" s="7">
        <f>IF($V481="","",I481*T481/100)</f>
        <v/>
      </c>
      <c r="K481" s="7">
        <f>IF($V481="","",SUMIFS('Per Line'!$V$2:$V$1501,'Per Line'!$D$2:$D$1501,$B481,'Per Line'!$AN$2:$AN$1501,1))</f>
        <v/>
      </c>
      <c r="L481">
        <f>IF($V481="","",Settings!$C$7)</f>
        <v/>
      </c>
      <c r="M481" s="7">
        <f>IF($V481="","",SUMIFS('Per Line'!$V$2:$V$1501,'Per Line'!$D$2:$D$1501,$B481,'Per Line'!$AM$2:$AM$1501,0,'Per Line'!$AN$2:$AN$1501,0))</f>
        <v/>
      </c>
      <c r="N481" s="7">
        <f>IF($V481="","",M481*L481)</f>
        <v/>
      </c>
      <c r="O481">
        <f>IF($V481="","",Settings!$C$6)</f>
        <v/>
      </c>
      <c r="P481" s="7">
        <f>IF($V481="","",SUMIFS('Per Line'!$V$2:$V$1501,'Per Line'!$D$2:$D$1501,$B481,'Per Line'!$AM$2:$AM$1501,1,'Per Line'!$AN$2:$AN$1501,0))</f>
        <v/>
      </c>
      <c r="Q481" s="7">
        <f>IF($V481="","",P481*O481)</f>
        <v/>
      </c>
      <c r="R481" s="7">
        <f>IF($V481="","",Q481+N481)</f>
        <v/>
      </c>
      <c r="S481" s="7">
        <f>IF($V481="","",T481-R481)</f>
        <v/>
      </c>
      <c r="T481" s="7">
        <f>IF($V481="","",M481+P481+K481)</f>
        <v/>
      </c>
      <c r="U481" s="7">
        <f>IF($V481="","",T481-R481-J481)</f>
        <v/>
      </c>
      <c r="V481" s="13">
        <f>IF(ROWS($V$2:$V481)&lt;=MAX('Per Line'!$AL$2:$AL$1501),MATCH(ROWS($V$2:$V481),'Per Line'!$AL$2:$AL$1501,0),"")</f>
        <v/>
      </c>
    </row>
    <row r="482">
      <c r="A482" s="12" t="n"/>
      <c r="B482">
        <f>IF($V482="","",INDEX('Per Line'!$D$2:$D$1501,$V482)&amp;"")</f>
        <v/>
      </c>
      <c r="C482">
        <f>IF($V482="","",INDEX('Per Line'!$A$2:$A$1501,$V482))</f>
        <v/>
      </c>
      <c r="D482">
        <f>IF($V482="","",INDEX('Per Line'!$Z$2:$Z$1501,$V482)&amp;"")</f>
        <v/>
      </c>
      <c r="E482" s="11">
        <f>IF($V482="","",INDEX('Per Line'!$F$2:$F$1501,$V482))</f>
        <v/>
      </c>
      <c r="F482">
        <f>IF($V482="","",INDEX('Per Line'!$I$2:$I$1501,$V482)&amp;"")</f>
        <v/>
      </c>
      <c r="G482">
        <f>IF($V482="","",INDEX('Per Line'!$J$2:$J$1501,$V482)&amp;"")</f>
        <v/>
      </c>
      <c r="H482">
        <f>IF($V482="","",INDEX('Per Line'!$K$2:$K$1501,$V482)&amp;"")</f>
        <v/>
      </c>
      <c r="I482">
        <f>IF($V482="","",INDEX('Per Line'!$M$2:$M$1501,$V482))</f>
        <v/>
      </c>
      <c r="J482" s="7">
        <f>IF($V482="","",I482*T482/100)</f>
        <v/>
      </c>
      <c r="K482" s="7">
        <f>IF($V482="","",SUMIFS('Per Line'!$V$2:$V$1501,'Per Line'!$D$2:$D$1501,$B482,'Per Line'!$AN$2:$AN$1501,1))</f>
        <v/>
      </c>
      <c r="L482">
        <f>IF($V482="","",Settings!$C$7)</f>
        <v/>
      </c>
      <c r="M482" s="7">
        <f>IF($V482="","",SUMIFS('Per Line'!$V$2:$V$1501,'Per Line'!$D$2:$D$1501,$B482,'Per Line'!$AM$2:$AM$1501,0,'Per Line'!$AN$2:$AN$1501,0))</f>
        <v/>
      </c>
      <c r="N482" s="7">
        <f>IF($V482="","",M482*L482)</f>
        <v/>
      </c>
      <c r="O482">
        <f>IF($V482="","",Settings!$C$6)</f>
        <v/>
      </c>
      <c r="P482" s="7">
        <f>IF($V482="","",SUMIFS('Per Line'!$V$2:$V$1501,'Per Line'!$D$2:$D$1501,$B482,'Per Line'!$AM$2:$AM$1501,1,'Per Line'!$AN$2:$AN$1501,0))</f>
        <v/>
      </c>
      <c r="Q482" s="7">
        <f>IF($V482="","",P482*O482)</f>
        <v/>
      </c>
      <c r="R482" s="7">
        <f>IF($V482="","",Q482+N482)</f>
        <v/>
      </c>
      <c r="S482" s="7">
        <f>IF($V482="","",T482-R482)</f>
        <v/>
      </c>
      <c r="T482" s="7">
        <f>IF($V482="","",M482+P482+K482)</f>
        <v/>
      </c>
      <c r="U482" s="7">
        <f>IF($V482="","",T482-R482-J482)</f>
        <v/>
      </c>
      <c r="V482" s="13">
        <f>IF(ROWS($V$2:$V482)&lt;=MAX('Per Line'!$AL$2:$AL$1501),MATCH(ROWS($V$2:$V482),'Per Line'!$AL$2:$AL$1501,0),"")</f>
        <v/>
      </c>
    </row>
    <row r="483">
      <c r="A483" s="12" t="n"/>
      <c r="B483">
        <f>IF($V483="","",INDEX('Per Line'!$D$2:$D$1501,$V483)&amp;"")</f>
        <v/>
      </c>
      <c r="C483">
        <f>IF($V483="","",INDEX('Per Line'!$A$2:$A$1501,$V483))</f>
        <v/>
      </c>
      <c r="D483">
        <f>IF($V483="","",INDEX('Per Line'!$Z$2:$Z$1501,$V483)&amp;"")</f>
        <v/>
      </c>
      <c r="E483" s="11">
        <f>IF($V483="","",INDEX('Per Line'!$F$2:$F$1501,$V483))</f>
        <v/>
      </c>
      <c r="F483">
        <f>IF($V483="","",INDEX('Per Line'!$I$2:$I$1501,$V483)&amp;"")</f>
        <v/>
      </c>
      <c r="G483">
        <f>IF($V483="","",INDEX('Per Line'!$J$2:$J$1501,$V483)&amp;"")</f>
        <v/>
      </c>
      <c r="H483">
        <f>IF($V483="","",INDEX('Per Line'!$K$2:$K$1501,$V483)&amp;"")</f>
        <v/>
      </c>
      <c r="I483">
        <f>IF($V483="","",INDEX('Per Line'!$M$2:$M$1501,$V483))</f>
        <v/>
      </c>
      <c r="J483" s="7">
        <f>IF($V483="","",I483*T483/100)</f>
        <v/>
      </c>
      <c r="K483" s="7">
        <f>IF($V483="","",SUMIFS('Per Line'!$V$2:$V$1501,'Per Line'!$D$2:$D$1501,$B483,'Per Line'!$AN$2:$AN$1501,1))</f>
        <v/>
      </c>
      <c r="L483">
        <f>IF($V483="","",Settings!$C$7)</f>
        <v/>
      </c>
      <c r="M483" s="7">
        <f>IF($V483="","",SUMIFS('Per Line'!$V$2:$V$1501,'Per Line'!$D$2:$D$1501,$B483,'Per Line'!$AM$2:$AM$1501,0,'Per Line'!$AN$2:$AN$1501,0))</f>
        <v/>
      </c>
      <c r="N483" s="7">
        <f>IF($V483="","",M483*L483)</f>
        <v/>
      </c>
      <c r="O483">
        <f>IF($V483="","",Settings!$C$6)</f>
        <v/>
      </c>
      <c r="P483" s="7">
        <f>IF($V483="","",SUMIFS('Per Line'!$V$2:$V$1501,'Per Line'!$D$2:$D$1501,$B483,'Per Line'!$AM$2:$AM$1501,1,'Per Line'!$AN$2:$AN$1501,0))</f>
        <v/>
      </c>
      <c r="Q483" s="7">
        <f>IF($V483="","",P483*O483)</f>
        <v/>
      </c>
      <c r="R483" s="7">
        <f>IF($V483="","",Q483+N483)</f>
        <v/>
      </c>
      <c r="S483" s="7">
        <f>IF($V483="","",T483-R483)</f>
        <v/>
      </c>
      <c r="T483" s="7">
        <f>IF($V483="","",M483+P483+K483)</f>
        <v/>
      </c>
      <c r="U483" s="7">
        <f>IF($V483="","",T483-R483-J483)</f>
        <v/>
      </c>
      <c r="V483" s="13">
        <f>IF(ROWS($V$2:$V483)&lt;=MAX('Per Line'!$AL$2:$AL$1501),MATCH(ROWS($V$2:$V483),'Per Line'!$AL$2:$AL$1501,0),"")</f>
        <v/>
      </c>
    </row>
    <row r="484">
      <c r="A484" s="12" t="n"/>
      <c r="B484">
        <f>IF($V484="","",INDEX('Per Line'!$D$2:$D$1501,$V484)&amp;"")</f>
        <v/>
      </c>
      <c r="C484">
        <f>IF($V484="","",INDEX('Per Line'!$A$2:$A$1501,$V484))</f>
        <v/>
      </c>
      <c r="D484">
        <f>IF($V484="","",INDEX('Per Line'!$Z$2:$Z$1501,$V484)&amp;"")</f>
        <v/>
      </c>
      <c r="E484" s="11">
        <f>IF($V484="","",INDEX('Per Line'!$F$2:$F$1501,$V484))</f>
        <v/>
      </c>
      <c r="F484">
        <f>IF($V484="","",INDEX('Per Line'!$I$2:$I$1501,$V484)&amp;"")</f>
        <v/>
      </c>
      <c r="G484">
        <f>IF($V484="","",INDEX('Per Line'!$J$2:$J$1501,$V484)&amp;"")</f>
        <v/>
      </c>
      <c r="H484">
        <f>IF($V484="","",INDEX('Per Line'!$K$2:$K$1501,$V484)&amp;"")</f>
        <v/>
      </c>
      <c r="I484">
        <f>IF($V484="","",INDEX('Per Line'!$M$2:$M$1501,$V484))</f>
        <v/>
      </c>
      <c r="J484" s="7">
        <f>IF($V484="","",I484*T484/100)</f>
        <v/>
      </c>
      <c r="K484" s="7">
        <f>IF($V484="","",SUMIFS('Per Line'!$V$2:$V$1501,'Per Line'!$D$2:$D$1501,$B484,'Per Line'!$AN$2:$AN$1501,1))</f>
        <v/>
      </c>
      <c r="L484">
        <f>IF($V484="","",Settings!$C$7)</f>
        <v/>
      </c>
      <c r="M484" s="7">
        <f>IF($V484="","",SUMIFS('Per Line'!$V$2:$V$1501,'Per Line'!$D$2:$D$1501,$B484,'Per Line'!$AM$2:$AM$1501,0,'Per Line'!$AN$2:$AN$1501,0))</f>
        <v/>
      </c>
      <c r="N484" s="7">
        <f>IF($V484="","",M484*L484)</f>
        <v/>
      </c>
      <c r="O484">
        <f>IF($V484="","",Settings!$C$6)</f>
        <v/>
      </c>
      <c r="P484" s="7">
        <f>IF($V484="","",SUMIFS('Per Line'!$V$2:$V$1501,'Per Line'!$D$2:$D$1501,$B484,'Per Line'!$AM$2:$AM$1501,1,'Per Line'!$AN$2:$AN$1501,0))</f>
        <v/>
      </c>
      <c r="Q484" s="7">
        <f>IF($V484="","",P484*O484)</f>
        <v/>
      </c>
      <c r="R484" s="7">
        <f>IF($V484="","",Q484+N484)</f>
        <v/>
      </c>
      <c r="S484" s="7">
        <f>IF($V484="","",T484-R484)</f>
        <v/>
      </c>
      <c r="T484" s="7">
        <f>IF($V484="","",M484+P484+K484)</f>
        <v/>
      </c>
      <c r="U484" s="7">
        <f>IF($V484="","",T484-R484-J484)</f>
        <v/>
      </c>
      <c r="V484" s="13">
        <f>IF(ROWS($V$2:$V484)&lt;=MAX('Per Line'!$AL$2:$AL$1501),MATCH(ROWS($V$2:$V484),'Per Line'!$AL$2:$AL$1501,0),"")</f>
        <v/>
      </c>
    </row>
    <row r="485">
      <c r="A485" s="12" t="n"/>
      <c r="B485">
        <f>IF($V485="","",INDEX('Per Line'!$D$2:$D$1501,$V485)&amp;"")</f>
        <v/>
      </c>
      <c r="C485">
        <f>IF($V485="","",INDEX('Per Line'!$A$2:$A$1501,$V485))</f>
        <v/>
      </c>
      <c r="D485">
        <f>IF($V485="","",INDEX('Per Line'!$Z$2:$Z$1501,$V485)&amp;"")</f>
        <v/>
      </c>
      <c r="E485" s="11">
        <f>IF($V485="","",INDEX('Per Line'!$F$2:$F$1501,$V485))</f>
        <v/>
      </c>
      <c r="F485">
        <f>IF($V485="","",INDEX('Per Line'!$I$2:$I$1501,$V485)&amp;"")</f>
        <v/>
      </c>
      <c r="G485">
        <f>IF($V485="","",INDEX('Per Line'!$J$2:$J$1501,$V485)&amp;"")</f>
        <v/>
      </c>
      <c r="H485">
        <f>IF($V485="","",INDEX('Per Line'!$K$2:$K$1501,$V485)&amp;"")</f>
        <v/>
      </c>
      <c r="I485">
        <f>IF($V485="","",INDEX('Per Line'!$M$2:$M$1501,$V485))</f>
        <v/>
      </c>
      <c r="J485" s="7">
        <f>IF($V485="","",I485*T485/100)</f>
        <v/>
      </c>
      <c r="K485" s="7">
        <f>IF($V485="","",SUMIFS('Per Line'!$V$2:$V$1501,'Per Line'!$D$2:$D$1501,$B485,'Per Line'!$AN$2:$AN$1501,1))</f>
        <v/>
      </c>
      <c r="L485">
        <f>IF($V485="","",Settings!$C$7)</f>
        <v/>
      </c>
      <c r="M485" s="7">
        <f>IF($V485="","",SUMIFS('Per Line'!$V$2:$V$1501,'Per Line'!$D$2:$D$1501,$B485,'Per Line'!$AM$2:$AM$1501,0,'Per Line'!$AN$2:$AN$1501,0))</f>
        <v/>
      </c>
      <c r="N485" s="7">
        <f>IF($V485="","",M485*L485)</f>
        <v/>
      </c>
      <c r="O485">
        <f>IF($V485="","",Settings!$C$6)</f>
        <v/>
      </c>
      <c r="P485" s="7">
        <f>IF($V485="","",SUMIFS('Per Line'!$V$2:$V$1501,'Per Line'!$D$2:$D$1501,$B485,'Per Line'!$AM$2:$AM$1501,1,'Per Line'!$AN$2:$AN$1501,0))</f>
        <v/>
      </c>
      <c r="Q485" s="7">
        <f>IF($V485="","",P485*O485)</f>
        <v/>
      </c>
      <c r="R485" s="7">
        <f>IF($V485="","",Q485+N485)</f>
        <v/>
      </c>
      <c r="S485" s="7">
        <f>IF($V485="","",T485-R485)</f>
        <v/>
      </c>
      <c r="T485" s="7">
        <f>IF($V485="","",M485+P485+K485)</f>
        <v/>
      </c>
      <c r="U485" s="7">
        <f>IF($V485="","",T485-R485-J485)</f>
        <v/>
      </c>
      <c r="V485" s="13">
        <f>IF(ROWS($V$2:$V485)&lt;=MAX('Per Line'!$AL$2:$AL$1501),MATCH(ROWS($V$2:$V485),'Per Line'!$AL$2:$AL$1501,0),"")</f>
        <v/>
      </c>
    </row>
    <row r="486">
      <c r="A486" s="12" t="n"/>
      <c r="B486">
        <f>IF($V486="","",INDEX('Per Line'!$D$2:$D$1501,$V486)&amp;"")</f>
        <v/>
      </c>
      <c r="C486">
        <f>IF($V486="","",INDEX('Per Line'!$A$2:$A$1501,$V486))</f>
        <v/>
      </c>
      <c r="D486">
        <f>IF($V486="","",INDEX('Per Line'!$Z$2:$Z$1501,$V486)&amp;"")</f>
        <v/>
      </c>
      <c r="E486" s="11">
        <f>IF($V486="","",INDEX('Per Line'!$F$2:$F$1501,$V486))</f>
        <v/>
      </c>
      <c r="F486">
        <f>IF($V486="","",INDEX('Per Line'!$I$2:$I$1501,$V486)&amp;"")</f>
        <v/>
      </c>
      <c r="G486">
        <f>IF($V486="","",INDEX('Per Line'!$J$2:$J$1501,$V486)&amp;"")</f>
        <v/>
      </c>
      <c r="H486">
        <f>IF($V486="","",INDEX('Per Line'!$K$2:$K$1501,$V486)&amp;"")</f>
        <v/>
      </c>
      <c r="I486">
        <f>IF($V486="","",INDEX('Per Line'!$M$2:$M$1501,$V486))</f>
        <v/>
      </c>
      <c r="J486" s="7">
        <f>IF($V486="","",I486*T486/100)</f>
        <v/>
      </c>
      <c r="K486" s="7">
        <f>IF($V486="","",SUMIFS('Per Line'!$V$2:$V$1501,'Per Line'!$D$2:$D$1501,$B486,'Per Line'!$AN$2:$AN$1501,1))</f>
        <v/>
      </c>
      <c r="L486">
        <f>IF($V486="","",Settings!$C$7)</f>
        <v/>
      </c>
      <c r="M486" s="7">
        <f>IF($V486="","",SUMIFS('Per Line'!$V$2:$V$1501,'Per Line'!$D$2:$D$1501,$B486,'Per Line'!$AM$2:$AM$1501,0,'Per Line'!$AN$2:$AN$1501,0))</f>
        <v/>
      </c>
      <c r="N486" s="7">
        <f>IF($V486="","",M486*L486)</f>
        <v/>
      </c>
      <c r="O486">
        <f>IF($V486="","",Settings!$C$6)</f>
        <v/>
      </c>
      <c r="P486" s="7">
        <f>IF($V486="","",SUMIFS('Per Line'!$V$2:$V$1501,'Per Line'!$D$2:$D$1501,$B486,'Per Line'!$AM$2:$AM$1501,1,'Per Line'!$AN$2:$AN$1501,0))</f>
        <v/>
      </c>
      <c r="Q486" s="7">
        <f>IF($V486="","",P486*O486)</f>
        <v/>
      </c>
      <c r="R486" s="7">
        <f>IF($V486="","",Q486+N486)</f>
        <v/>
      </c>
      <c r="S486" s="7">
        <f>IF($V486="","",T486-R486)</f>
        <v/>
      </c>
      <c r="T486" s="7">
        <f>IF($V486="","",M486+P486+K486)</f>
        <v/>
      </c>
      <c r="U486" s="7">
        <f>IF($V486="","",T486-R486-J486)</f>
        <v/>
      </c>
      <c r="V486" s="13">
        <f>IF(ROWS($V$2:$V486)&lt;=MAX('Per Line'!$AL$2:$AL$1501),MATCH(ROWS($V$2:$V486),'Per Line'!$AL$2:$AL$1501,0),"")</f>
        <v/>
      </c>
    </row>
    <row r="487">
      <c r="A487" s="12" t="n"/>
      <c r="B487">
        <f>IF($V487="","",INDEX('Per Line'!$D$2:$D$1501,$V487)&amp;"")</f>
        <v/>
      </c>
      <c r="C487">
        <f>IF($V487="","",INDEX('Per Line'!$A$2:$A$1501,$V487))</f>
        <v/>
      </c>
      <c r="D487">
        <f>IF($V487="","",INDEX('Per Line'!$Z$2:$Z$1501,$V487)&amp;"")</f>
        <v/>
      </c>
      <c r="E487" s="11">
        <f>IF($V487="","",INDEX('Per Line'!$F$2:$F$1501,$V487))</f>
        <v/>
      </c>
      <c r="F487">
        <f>IF($V487="","",INDEX('Per Line'!$I$2:$I$1501,$V487)&amp;"")</f>
        <v/>
      </c>
      <c r="G487">
        <f>IF($V487="","",INDEX('Per Line'!$J$2:$J$1501,$V487)&amp;"")</f>
        <v/>
      </c>
      <c r="H487">
        <f>IF($V487="","",INDEX('Per Line'!$K$2:$K$1501,$V487)&amp;"")</f>
        <v/>
      </c>
      <c r="I487">
        <f>IF($V487="","",INDEX('Per Line'!$M$2:$M$1501,$V487))</f>
        <v/>
      </c>
      <c r="J487" s="7">
        <f>IF($V487="","",I487*T487/100)</f>
        <v/>
      </c>
      <c r="K487" s="7">
        <f>IF($V487="","",SUMIFS('Per Line'!$V$2:$V$1501,'Per Line'!$D$2:$D$1501,$B487,'Per Line'!$AN$2:$AN$1501,1))</f>
        <v/>
      </c>
      <c r="L487">
        <f>IF($V487="","",Settings!$C$7)</f>
        <v/>
      </c>
      <c r="M487" s="7">
        <f>IF($V487="","",SUMIFS('Per Line'!$V$2:$V$1501,'Per Line'!$D$2:$D$1501,$B487,'Per Line'!$AM$2:$AM$1501,0,'Per Line'!$AN$2:$AN$1501,0))</f>
        <v/>
      </c>
      <c r="N487" s="7">
        <f>IF($V487="","",M487*L487)</f>
        <v/>
      </c>
      <c r="O487">
        <f>IF($V487="","",Settings!$C$6)</f>
        <v/>
      </c>
      <c r="P487" s="7">
        <f>IF($V487="","",SUMIFS('Per Line'!$V$2:$V$1501,'Per Line'!$D$2:$D$1501,$B487,'Per Line'!$AM$2:$AM$1501,1,'Per Line'!$AN$2:$AN$1501,0))</f>
        <v/>
      </c>
      <c r="Q487" s="7">
        <f>IF($V487="","",P487*O487)</f>
        <v/>
      </c>
      <c r="R487" s="7">
        <f>IF($V487="","",Q487+N487)</f>
        <v/>
      </c>
      <c r="S487" s="7">
        <f>IF($V487="","",T487-R487)</f>
        <v/>
      </c>
      <c r="T487" s="7">
        <f>IF($V487="","",M487+P487+K487)</f>
        <v/>
      </c>
      <c r="U487" s="7">
        <f>IF($V487="","",T487-R487-J487)</f>
        <v/>
      </c>
      <c r="V487" s="13">
        <f>IF(ROWS($V$2:$V487)&lt;=MAX('Per Line'!$AL$2:$AL$1501),MATCH(ROWS($V$2:$V487),'Per Line'!$AL$2:$AL$1501,0),"")</f>
        <v/>
      </c>
    </row>
    <row r="488">
      <c r="A488" s="12" t="n"/>
      <c r="B488">
        <f>IF($V488="","",INDEX('Per Line'!$D$2:$D$1501,$V488)&amp;"")</f>
        <v/>
      </c>
      <c r="C488">
        <f>IF($V488="","",INDEX('Per Line'!$A$2:$A$1501,$V488))</f>
        <v/>
      </c>
      <c r="D488">
        <f>IF($V488="","",INDEX('Per Line'!$Z$2:$Z$1501,$V488)&amp;"")</f>
        <v/>
      </c>
      <c r="E488" s="11">
        <f>IF($V488="","",INDEX('Per Line'!$F$2:$F$1501,$V488))</f>
        <v/>
      </c>
      <c r="F488">
        <f>IF($V488="","",INDEX('Per Line'!$I$2:$I$1501,$V488)&amp;"")</f>
        <v/>
      </c>
      <c r="G488">
        <f>IF($V488="","",INDEX('Per Line'!$J$2:$J$1501,$V488)&amp;"")</f>
        <v/>
      </c>
      <c r="H488">
        <f>IF($V488="","",INDEX('Per Line'!$K$2:$K$1501,$V488)&amp;"")</f>
        <v/>
      </c>
      <c r="I488">
        <f>IF($V488="","",INDEX('Per Line'!$M$2:$M$1501,$V488))</f>
        <v/>
      </c>
      <c r="J488" s="7">
        <f>IF($V488="","",I488*T488/100)</f>
        <v/>
      </c>
      <c r="K488" s="7">
        <f>IF($V488="","",SUMIFS('Per Line'!$V$2:$V$1501,'Per Line'!$D$2:$D$1501,$B488,'Per Line'!$AN$2:$AN$1501,1))</f>
        <v/>
      </c>
      <c r="L488">
        <f>IF($V488="","",Settings!$C$7)</f>
        <v/>
      </c>
      <c r="M488" s="7">
        <f>IF($V488="","",SUMIFS('Per Line'!$V$2:$V$1501,'Per Line'!$D$2:$D$1501,$B488,'Per Line'!$AM$2:$AM$1501,0,'Per Line'!$AN$2:$AN$1501,0))</f>
        <v/>
      </c>
      <c r="N488" s="7">
        <f>IF($V488="","",M488*L488)</f>
        <v/>
      </c>
      <c r="O488">
        <f>IF($V488="","",Settings!$C$6)</f>
        <v/>
      </c>
      <c r="P488" s="7">
        <f>IF($V488="","",SUMIFS('Per Line'!$V$2:$V$1501,'Per Line'!$D$2:$D$1501,$B488,'Per Line'!$AM$2:$AM$1501,1,'Per Line'!$AN$2:$AN$1501,0))</f>
        <v/>
      </c>
      <c r="Q488" s="7">
        <f>IF($V488="","",P488*O488)</f>
        <v/>
      </c>
      <c r="R488" s="7">
        <f>IF($V488="","",Q488+N488)</f>
        <v/>
      </c>
      <c r="S488" s="7">
        <f>IF($V488="","",T488-R488)</f>
        <v/>
      </c>
      <c r="T488" s="7">
        <f>IF($V488="","",M488+P488+K488)</f>
        <v/>
      </c>
      <c r="U488" s="7">
        <f>IF($V488="","",T488-R488-J488)</f>
        <v/>
      </c>
      <c r="V488" s="13">
        <f>IF(ROWS($V$2:$V488)&lt;=MAX('Per Line'!$AL$2:$AL$1501),MATCH(ROWS($V$2:$V488),'Per Line'!$AL$2:$AL$1501,0),"")</f>
        <v/>
      </c>
    </row>
    <row r="489">
      <c r="A489" s="12" t="n"/>
      <c r="B489">
        <f>IF($V489="","",INDEX('Per Line'!$D$2:$D$1501,$V489)&amp;"")</f>
        <v/>
      </c>
      <c r="C489">
        <f>IF($V489="","",INDEX('Per Line'!$A$2:$A$1501,$V489))</f>
        <v/>
      </c>
      <c r="D489">
        <f>IF($V489="","",INDEX('Per Line'!$Z$2:$Z$1501,$V489)&amp;"")</f>
        <v/>
      </c>
      <c r="E489" s="11">
        <f>IF($V489="","",INDEX('Per Line'!$F$2:$F$1501,$V489))</f>
        <v/>
      </c>
      <c r="F489">
        <f>IF($V489="","",INDEX('Per Line'!$I$2:$I$1501,$V489)&amp;"")</f>
        <v/>
      </c>
      <c r="G489">
        <f>IF($V489="","",INDEX('Per Line'!$J$2:$J$1501,$V489)&amp;"")</f>
        <v/>
      </c>
      <c r="H489">
        <f>IF($V489="","",INDEX('Per Line'!$K$2:$K$1501,$V489)&amp;"")</f>
        <v/>
      </c>
      <c r="I489">
        <f>IF($V489="","",INDEX('Per Line'!$M$2:$M$1501,$V489))</f>
        <v/>
      </c>
      <c r="J489" s="7">
        <f>IF($V489="","",I489*T489/100)</f>
        <v/>
      </c>
      <c r="K489" s="7">
        <f>IF($V489="","",SUMIFS('Per Line'!$V$2:$V$1501,'Per Line'!$D$2:$D$1501,$B489,'Per Line'!$AN$2:$AN$1501,1))</f>
        <v/>
      </c>
      <c r="L489">
        <f>IF($V489="","",Settings!$C$7)</f>
        <v/>
      </c>
      <c r="M489" s="7">
        <f>IF($V489="","",SUMIFS('Per Line'!$V$2:$V$1501,'Per Line'!$D$2:$D$1501,$B489,'Per Line'!$AM$2:$AM$1501,0,'Per Line'!$AN$2:$AN$1501,0))</f>
        <v/>
      </c>
      <c r="N489" s="7">
        <f>IF($V489="","",M489*L489)</f>
        <v/>
      </c>
      <c r="O489">
        <f>IF($V489="","",Settings!$C$6)</f>
        <v/>
      </c>
      <c r="P489" s="7">
        <f>IF($V489="","",SUMIFS('Per Line'!$V$2:$V$1501,'Per Line'!$D$2:$D$1501,$B489,'Per Line'!$AM$2:$AM$1501,1,'Per Line'!$AN$2:$AN$1501,0))</f>
        <v/>
      </c>
      <c r="Q489" s="7">
        <f>IF($V489="","",P489*O489)</f>
        <v/>
      </c>
      <c r="R489" s="7">
        <f>IF($V489="","",Q489+N489)</f>
        <v/>
      </c>
      <c r="S489" s="7">
        <f>IF($V489="","",T489-R489)</f>
        <v/>
      </c>
      <c r="T489" s="7">
        <f>IF($V489="","",M489+P489+K489)</f>
        <v/>
      </c>
      <c r="U489" s="7">
        <f>IF($V489="","",T489-R489-J489)</f>
        <v/>
      </c>
      <c r="V489" s="13">
        <f>IF(ROWS($V$2:$V489)&lt;=MAX('Per Line'!$AL$2:$AL$1501),MATCH(ROWS($V$2:$V489),'Per Line'!$AL$2:$AL$1501,0),"")</f>
        <v/>
      </c>
    </row>
    <row r="490">
      <c r="A490" s="12" t="n"/>
      <c r="B490">
        <f>IF($V490="","",INDEX('Per Line'!$D$2:$D$1501,$V490)&amp;"")</f>
        <v/>
      </c>
      <c r="C490">
        <f>IF($V490="","",INDEX('Per Line'!$A$2:$A$1501,$V490))</f>
        <v/>
      </c>
      <c r="D490">
        <f>IF($V490="","",INDEX('Per Line'!$Z$2:$Z$1501,$V490)&amp;"")</f>
        <v/>
      </c>
      <c r="E490" s="11">
        <f>IF($V490="","",INDEX('Per Line'!$F$2:$F$1501,$V490))</f>
        <v/>
      </c>
      <c r="F490">
        <f>IF($V490="","",INDEX('Per Line'!$I$2:$I$1501,$V490)&amp;"")</f>
        <v/>
      </c>
      <c r="G490">
        <f>IF($V490="","",INDEX('Per Line'!$J$2:$J$1501,$V490)&amp;"")</f>
        <v/>
      </c>
      <c r="H490">
        <f>IF($V490="","",INDEX('Per Line'!$K$2:$K$1501,$V490)&amp;"")</f>
        <v/>
      </c>
      <c r="I490">
        <f>IF($V490="","",INDEX('Per Line'!$M$2:$M$1501,$V490))</f>
        <v/>
      </c>
      <c r="J490" s="7">
        <f>IF($V490="","",I490*T490/100)</f>
        <v/>
      </c>
      <c r="K490" s="7">
        <f>IF($V490="","",SUMIFS('Per Line'!$V$2:$V$1501,'Per Line'!$D$2:$D$1501,$B490,'Per Line'!$AN$2:$AN$1501,1))</f>
        <v/>
      </c>
      <c r="L490">
        <f>IF($V490="","",Settings!$C$7)</f>
        <v/>
      </c>
      <c r="M490" s="7">
        <f>IF($V490="","",SUMIFS('Per Line'!$V$2:$V$1501,'Per Line'!$D$2:$D$1501,$B490,'Per Line'!$AM$2:$AM$1501,0,'Per Line'!$AN$2:$AN$1501,0))</f>
        <v/>
      </c>
      <c r="N490" s="7">
        <f>IF($V490="","",M490*L490)</f>
        <v/>
      </c>
      <c r="O490">
        <f>IF($V490="","",Settings!$C$6)</f>
        <v/>
      </c>
      <c r="P490" s="7">
        <f>IF($V490="","",SUMIFS('Per Line'!$V$2:$V$1501,'Per Line'!$D$2:$D$1501,$B490,'Per Line'!$AM$2:$AM$1501,1,'Per Line'!$AN$2:$AN$1501,0))</f>
        <v/>
      </c>
      <c r="Q490" s="7">
        <f>IF($V490="","",P490*O490)</f>
        <v/>
      </c>
      <c r="R490" s="7">
        <f>IF($V490="","",Q490+N490)</f>
        <v/>
      </c>
      <c r="S490" s="7">
        <f>IF($V490="","",T490-R490)</f>
        <v/>
      </c>
      <c r="T490" s="7">
        <f>IF($V490="","",M490+P490+K490)</f>
        <v/>
      </c>
      <c r="U490" s="7">
        <f>IF($V490="","",T490-R490-J490)</f>
        <v/>
      </c>
      <c r="V490" s="13">
        <f>IF(ROWS($V$2:$V490)&lt;=MAX('Per Line'!$AL$2:$AL$1501),MATCH(ROWS($V$2:$V490),'Per Line'!$AL$2:$AL$1501,0),"")</f>
        <v/>
      </c>
    </row>
    <row r="491">
      <c r="A491" s="12" t="n"/>
      <c r="B491">
        <f>IF($V491="","",INDEX('Per Line'!$D$2:$D$1501,$V491)&amp;"")</f>
        <v/>
      </c>
      <c r="C491">
        <f>IF($V491="","",INDEX('Per Line'!$A$2:$A$1501,$V491))</f>
        <v/>
      </c>
      <c r="D491">
        <f>IF($V491="","",INDEX('Per Line'!$Z$2:$Z$1501,$V491)&amp;"")</f>
        <v/>
      </c>
      <c r="E491" s="11">
        <f>IF($V491="","",INDEX('Per Line'!$F$2:$F$1501,$V491))</f>
        <v/>
      </c>
      <c r="F491">
        <f>IF($V491="","",INDEX('Per Line'!$I$2:$I$1501,$V491)&amp;"")</f>
        <v/>
      </c>
      <c r="G491">
        <f>IF($V491="","",INDEX('Per Line'!$J$2:$J$1501,$V491)&amp;"")</f>
        <v/>
      </c>
      <c r="H491">
        <f>IF($V491="","",INDEX('Per Line'!$K$2:$K$1501,$V491)&amp;"")</f>
        <v/>
      </c>
      <c r="I491">
        <f>IF($V491="","",INDEX('Per Line'!$M$2:$M$1501,$V491))</f>
        <v/>
      </c>
      <c r="J491" s="7">
        <f>IF($V491="","",I491*T491/100)</f>
        <v/>
      </c>
      <c r="K491" s="7">
        <f>IF($V491="","",SUMIFS('Per Line'!$V$2:$V$1501,'Per Line'!$D$2:$D$1501,$B491,'Per Line'!$AN$2:$AN$1501,1))</f>
        <v/>
      </c>
      <c r="L491">
        <f>IF($V491="","",Settings!$C$7)</f>
        <v/>
      </c>
      <c r="M491" s="7">
        <f>IF($V491="","",SUMIFS('Per Line'!$V$2:$V$1501,'Per Line'!$D$2:$D$1501,$B491,'Per Line'!$AM$2:$AM$1501,0,'Per Line'!$AN$2:$AN$1501,0))</f>
        <v/>
      </c>
      <c r="N491" s="7">
        <f>IF($V491="","",M491*L491)</f>
        <v/>
      </c>
      <c r="O491">
        <f>IF($V491="","",Settings!$C$6)</f>
        <v/>
      </c>
      <c r="P491" s="7">
        <f>IF($V491="","",SUMIFS('Per Line'!$V$2:$V$1501,'Per Line'!$D$2:$D$1501,$B491,'Per Line'!$AM$2:$AM$1501,1,'Per Line'!$AN$2:$AN$1501,0))</f>
        <v/>
      </c>
      <c r="Q491" s="7">
        <f>IF($V491="","",P491*O491)</f>
        <v/>
      </c>
      <c r="R491" s="7">
        <f>IF($V491="","",Q491+N491)</f>
        <v/>
      </c>
      <c r="S491" s="7">
        <f>IF($V491="","",T491-R491)</f>
        <v/>
      </c>
      <c r="T491" s="7">
        <f>IF($V491="","",M491+P491+K491)</f>
        <v/>
      </c>
      <c r="U491" s="7">
        <f>IF($V491="","",T491-R491-J491)</f>
        <v/>
      </c>
      <c r="V491" s="13">
        <f>IF(ROWS($V$2:$V491)&lt;=MAX('Per Line'!$AL$2:$AL$1501),MATCH(ROWS($V$2:$V491),'Per Line'!$AL$2:$AL$1501,0),"")</f>
        <v/>
      </c>
    </row>
    <row r="492">
      <c r="A492" s="12" t="n"/>
      <c r="B492">
        <f>IF($V492="","",INDEX('Per Line'!$D$2:$D$1501,$V492)&amp;"")</f>
        <v/>
      </c>
      <c r="C492">
        <f>IF($V492="","",INDEX('Per Line'!$A$2:$A$1501,$V492))</f>
        <v/>
      </c>
      <c r="D492">
        <f>IF($V492="","",INDEX('Per Line'!$Z$2:$Z$1501,$V492)&amp;"")</f>
        <v/>
      </c>
      <c r="E492" s="11">
        <f>IF($V492="","",INDEX('Per Line'!$F$2:$F$1501,$V492))</f>
        <v/>
      </c>
      <c r="F492">
        <f>IF($V492="","",INDEX('Per Line'!$I$2:$I$1501,$V492)&amp;"")</f>
        <v/>
      </c>
      <c r="G492">
        <f>IF($V492="","",INDEX('Per Line'!$J$2:$J$1501,$V492)&amp;"")</f>
        <v/>
      </c>
      <c r="H492">
        <f>IF($V492="","",INDEX('Per Line'!$K$2:$K$1501,$V492)&amp;"")</f>
        <v/>
      </c>
      <c r="I492">
        <f>IF($V492="","",INDEX('Per Line'!$M$2:$M$1501,$V492))</f>
        <v/>
      </c>
      <c r="J492" s="7">
        <f>IF($V492="","",I492*T492/100)</f>
        <v/>
      </c>
      <c r="K492" s="7">
        <f>IF($V492="","",SUMIFS('Per Line'!$V$2:$V$1501,'Per Line'!$D$2:$D$1501,$B492,'Per Line'!$AN$2:$AN$1501,1))</f>
        <v/>
      </c>
      <c r="L492">
        <f>IF($V492="","",Settings!$C$7)</f>
        <v/>
      </c>
      <c r="M492" s="7">
        <f>IF($V492="","",SUMIFS('Per Line'!$V$2:$V$1501,'Per Line'!$D$2:$D$1501,$B492,'Per Line'!$AM$2:$AM$1501,0,'Per Line'!$AN$2:$AN$1501,0))</f>
        <v/>
      </c>
      <c r="N492" s="7">
        <f>IF($V492="","",M492*L492)</f>
        <v/>
      </c>
      <c r="O492">
        <f>IF($V492="","",Settings!$C$6)</f>
        <v/>
      </c>
      <c r="P492" s="7">
        <f>IF($V492="","",SUMIFS('Per Line'!$V$2:$V$1501,'Per Line'!$D$2:$D$1501,$B492,'Per Line'!$AM$2:$AM$1501,1,'Per Line'!$AN$2:$AN$1501,0))</f>
        <v/>
      </c>
      <c r="Q492" s="7">
        <f>IF($V492="","",P492*O492)</f>
        <v/>
      </c>
      <c r="R492" s="7">
        <f>IF($V492="","",Q492+N492)</f>
        <v/>
      </c>
      <c r="S492" s="7">
        <f>IF($V492="","",T492-R492)</f>
        <v/>
      </c>
      <c r="T492" s="7">
        <f>IF($V492="","",M492+P492+K492)</f>
        <v/>
      </c>
      <c r="U492" s="7">
        <f>IF($V492="","",T492-R492-J492)</f>
        <v/>
      </c>
      <c r="V492" s="13">
        <f>IF(ROWS($V$2:$V492)&lt;=MAX('Per Line'!$AL$2:$AL$1501),MATCH(ROWS($V$2:$V492),'Per Line'!$AL$2:$AL$1501,0),"")</f>
        <v/>
      </c>
    </row>
    <row r="493">
      <c r="A493" s="12" t="n"/>
      <c r="B493">
        <f>IF($V493="","",INDEX('Per Line'!$D$2:$D$1501,$V493)&amp;"")</f>
        <v/>
      </c>
      <c r="C493">
        <f>IF($V493="","",INDEX('Per Line'!$A$2:$A$1501,$V493))</f>
        <v/>
      </c>
      <c r="D493">
        <f>IF($V493="","",INDEX('Per Line'!$Z$2:$Z$1501,$V493)&amp;"")</f>
        <v/>
      </c>
      <c r="E493" s="11">
        <f>IF($V493="","",INDEX('Per Line'!$F$2:$F$1501,$V493))</f>
        <v/>
      </c>
      <c r="F493">
        <f>IF($V493="","",INDEX('Per Line'!$I$2:$I$1501,$V493)&amp;"")</f>
        <v/>
      </c>
      <c r="G493">
        <f>IF($V493="","",INDEX('Per Line'!$J$2:$J$1501,$V493)&amp;"")</f>
        <v/>
      </c>
      <c r="H493">
        <f>IF($V493="","",INDEX('Per Line'!$K$2:$K$1501,$V493)&amp;"")</f>
        <v/>
      </c>
      <c r="I493">
        <f>IF($V493="","",INDEX('Per Line'!$M$2:$M$1501,$V493))</f>
        <v/>
      </c>
      <c r="J493" s="7">
        <f>IF($V493="","",I493*T493/100)</f>
        <v/>
      </c>
      <c r="K493" s="7">
        <f>IF($V493="","",SUMIFS('Per Line'!$V$2:$V$1501,'Per Line'!$D$2:$D$1501,$B493,'Per Line'!$AN$2:$AN$1501,1))</f>
        <v/>
      </c>
      <c r="L493">
        <f>IF($V493="","",Settings!$C$7)</f>
        <v/>
      </c>
      <c r="M493" s="7">
        <f>IF($V493="","",SUMIFS('Per Line'!$V$2:$V$1501,'Per Line'!$D$2:$D$1501,$B493,'Per Line'!$AM$2:$AM$1501,0,'Per Line'!$AN$2:$AN$1501,0))</f>
        <v/>
      </c>
      <c r="N493" s="7">
        <f>IF($V493="","",M493*L493)</f>
        <v/>
      </c>
      <c r="O493">
        <f>IF($V493="","",Settings!$C$6)</f>
        <v/>
      </c>
      <c r="P493" s="7">
        <f>IF($V493="","",SUMIFS('Per Line'!$V$2:$V$1501,'Per Line'!$D$2:$D$1501,$B493,'Per Line'!$AM$2:$AM$1501,1,'Per Line'!$AN$2:$AN$1501,0))</f>
        <v/>
      </c>
      <c r="Q493" s="7">
        <f>IF($V493="","",P493*O493)</f>
        <v/>
      </c>
      <c r="R493" s="7">
        <f>IF($V493="","",Q493+N493)</f>
        <v/>
      </c>
      <c r="S493" s="7">
        <f>IF($V493="","",T493-R493)</f>
        <v/>
      </c>
      <c r="T493" s="7">
        <f>IF($V493="","",M493+P493+K493)</f>
        <v/>
      </c>
      <c r="U493" s="7">
        <f>IF($V493="","",T493-R493-J493)</f>
        <v/>
      </c>
      <c r="V493" s="13">
        <f>IF(ROWS($V$2:$V493)&lt;=MAX('Per Line'!$AL$2:$AL$1501),MATCH(ROWS($V$2:$V493),'Per Line'!$AL$2:$AL$1501,0),"")</f>
        <v/>
      </c>
    </row>
    <row r="494">
      <c r="A494" s="12" t="n"/>
      <c r="B494">
        <f>IF($V494="","",INDEX('Per Line'!$D$2:$D$1501,$V494)&amp;"")</f>
        <v/>
      </c>
      <c r="C494">
        <f>IF($V494="","",INDEX('Per Line'!$A$2:$A$1501,$V494))</f>
        <v/>
      </c>
      <c r="D494">
        <f>IF($V494="","",INDEX('Per Line'!$Z$2:$Z$1501,$V494)&amp;"")</f>
        <v/>
      </c>
      <c r="E494" s="11">
        <f>IF($V494="","",INDEX('Per Line'!$F$2:$F$1501,$V494))</f>
        <v/>
      </c>
      <c r="F494">
        <f>IF($V494="","",INDEX('Per Line'!$I$2:$I$1501,$V494)&amp;"")</f>
        <v/>
      </c>
      <c r="G494">
        <f>IF($V494="","",INDEX('Per Line'!$J$2:$J$1501,$V494)&amp;"")</f>
        <v/>
      </c>
      <c r="H494">
        <f>IF($V494="","",INDEX('Per Line'!$K$2:$K$1501,$V494)&amp;"")</f>
        <v/>
      </c>
      <c r="I494">
        <f>IF($V494="","",INDEX('Per Line'!$M$2:$M$1501,$V494))</f>
        <v/>
      </c>
      <c r="J494" s="7">
        <f>IF($V494="","",I494*T494/100)</f>
        <v/>
      </c>
      <c r="K494" s="7">
        <f>IF($V494="","",SUMIFS('Per Line'!$V$2:$V$1501,'Per Line'!$D$2:$D$1501,$B494,'Per Line'!$AN$2:$AN$1501,1))</f>
        <v/>
      </c>
      <c r="L494">
        <f>IF($V494="","",Settings!$C$7)</f>
        <v/>
      </c>
      <c r="M494" s="7">
        <f>IF($V494="","",SUMIFS('Per Line'!$V$2:$V$1501,'Per Line'!$D$2:$D$1501,$B494,'Per Line'!$AM$2:$AM$1501,0,'Per Line'!$AN$2:$AN$1501,0))</f>
        <v/>
      </c>
      <c r="N494" s="7">
        <f>IF($V494="","",M494*L494)</f>
        <v/>
      </c>
      <c r="O494">
        <f>IF($V494="","",Settings!$C$6)</f>
        <v/>
      </c>
      <c r="P494" s="7">
        <f>IF($V494="","",SUMIFS('Per Line'!$V$2:$V$1501,'Per Line'!$D$2:$D$1501,$B494,'Per Line'!$AM$2:$AM$1501,1,'Per Line'!$AN$2:$AN$1501,0))</f>
        <v/>
      </c>
      <c r="Q494" s="7">
        <f>IF($V494="","",P494*O494)</f>
        <v/>
      </c>
      <c r="R494" s="7">
        <f>IF($V494="","",Q494+N494)</f>
        <v/>
      </c>
      <c r="S494" s="7">
        <f>IF($V494="","",T494-R494)</f>
        <v/>
      </c>
      <c r="T494" s="7">
        <f>IF($V494="","",M494+P494+K494)</f>
        <v/>
      </c>
      <c r="U494" s="7">
        <f>IF($V494="","",T494-R494-J494)</f>
        <v/>
      </c>
      <c r="V494" s="13">
        <f>IF(ROWS($V$2:$V494)&lt;=MAX('Per Line'!$AL$2:$AL$1501),MATCH(ROWS($V$2:$V494),'Per Line'!$AL$2:$AL$1501,0),"")</f>
        <v/>
      </c>
    </row>
    <row r="495">
      <c r="A495" s="12" t="n"/>
      <c r="B495">
        <f>IF($V495="","",INDEX('Per Line'!$D$2:$D$1501,$V495)&amp;"")</f>
        <v/>
      </c>
      <c r="C495">
        <f>IF($V495="","",INDEX('Per Line'!$A$2:$A$1501,$V495))</f>
        <v/>
      </c>
      <c r="D495">
        <f>IF($V495="","",INDEX('Per Line'!$Z$2:$Z$1501,$V495)&amp;"")</f>
        <v/>
      </c>
      <c r="E495" s="11">
        <f>IF($V495="","",INDEX('Per Line'!$F$2:$F$1501,$V495))</f>
        <v/>
      </c>
      <c r="F495">
        <f>IF($V495="","",INDEX('Per Line'!$I$2:$I$1501,$V495)&amp;"")</f>
        <v/>
      </c>
      <c r="G495">
        <f>IF($V495="","",INDEX('Per Line'!$J$2:$J$1501,$V495)&amp;"")</f>
        <v/>
      </c>
      <c r="H495">
        <f>IF($V495="","",INDEX('Per Line'!$K$2:$K$1501,$V495)&amp;"")</f>
        <v/>
      </c>
      <c r="I495">
        <f>IF($V495="","",INDEX('Per Line'!$M$2:$M$1501,$V495))</f>
        <v/>
      </c>
      <c r="J495" s="7">
        <f>IF($V495="","",I495*T495/100)</f>
        <v/>
      </c>
      <c r="K495" s="7">
        <f>IF($V495="","",SUMIFS('Per Line'!$V$2:$V$1501,'Per Line'!$D$2:$D$1501,$B495,'Per Line'!$AN$2:$AN$1501,1))</f>
        <v/>
      </c>
      <c r="L495">
        <f>IF($V495="","",Settings!$C$7)</f>
        <v/>
      </c>
      <c r="M495" s="7">
        <f>IF($V495="","",SUMIFS('Per Line'!$V$2:$V$1501,'Per Line'!$D$2:$D$1501,$B495,'Per Line'!$AM$2:$AM$1501,0,'Per Line'!$AN$2:$AN$1501,0))</f>
        <v/>
      </c>
      <c r="N495" s="7">
        <f>IF($V495="","",M495*L495)</f>
        <v/>
      </c>
      <c r="O495">
        <f>IF($V495="","",Settings!$C$6)</f>
        <v/>
      </c>
      <c r="P495" s="7">
        <f>IF($V495="","",SUMIFS('Per Line'!$V$2:$V$1501,'Per Line'!$D$2:$D$1501,$B495,'Per Line'!$AM$2:$AM$1501,1,'Per Line'!$AN$2:$AN$1501,0))</f>
        <v/>
      </c>
      <c r="Q495" s="7">
        <f>IF($V495="","",P495*O495)</f>
        <v/>
      </c>
      <c r="R495" s="7">
        <f>IF($V495="","",Q495+N495)</f>
        <v/>
      </c>
      <c r="S495" s="7">
        <f>IF($V495="","",T495-R495)</f>
        <v/>
      </c>
      <c r="T495" s="7">
        <f>IF($V495="","",M495+P495+K495)</f>
        <v/>
      </c>
      <c r="U495" s="7">
        <f>IF($V495="","",T495-R495-J495)</f>
        <v/>
      </c>
      <c r="V495" s="13">
        <f>IF(ROWS($V$2:$V495)&lt;=MAX('Per Line'!$AL$2:$AL$1501),MATCH(ROWS($V$2:$V495),'Per Line'!$AL$2:$AL$1501,0),"")</f>
        <v/>
      </c>
    </row>
    <row r="496">
      <c r="A496" s="12" t="n"/>
      <c r="B496">
        <f>IF($V496="","",INDEX('Per Line'!$D$2:$D$1501,$V496)&amp;"")</f>
        <v/>
      </c>
      <c r="C496">
        <f>IF($V496="","",INDEX('Per Line'!$A$2:$A$1501,$V496))</f>
        <v/>
      </c>
      <c r="D496">
        <f>IF($V496="","",INDEX('Per Line'!$Z$2:$Z$1501,$V496)&amp;"")</f>
        <v/>
      </c>
      <c r="E496" s="11">
        <f>IF($V496="","",INDEX('Per Line'!$F$2:$F$1501,$V496))</f>
        <v/>
      </c>
      <c r="F496">
        <f>IF($V496="","",INDEX('Per Line'!$I$2:$I$1501,$V496)&amp;"")</f>
        <v/>
      </c>
      <c r="G496">
        <f>IF($V496="","",INDEX('Per Line'!$J$2:$J$1501,$V496)&amp;"")</f>
        <v/>
      </c>
      <c r="H496">
        <f>IF($V496="","",INDEX('Per Line'!$K$2:$K$1501,$V496)&amp;"")</f>
        <v/>
      </c>
      <c r="I496">
        <f>IF($V496="","",INDEX('Per Line'!$M$2:$M$1501,$V496))</f>
        <v/>
      </c>
      <c r="J496" s="7">
        <f>IF($V496="","",I496*T496/100)</f>
        <v/>
      </c>
      <c r="K496" s="7">
        <f>IF($V496="","",SUMIFS('Per Line'!$V$2:$V$1501,'Per Line'!$D$2:$D$1501,$B496,'Per Line'!$AN$2:$AN$1501,1))</f>
        <v/>
      </c>
      <c r="L496">
        <f>IF($V496="","",Settings!$C$7)</f>
        <v/>
      </c>
      <c r="M496" s="7">
        <f>IF($V496="","",SUMIFS('Per Line'!$V$2:$V$1501,'Per Line'!$D$2:$D$1501,$B496,'Per Line'!$AM$2:$AM$1501,0,'Per Line'!$AN$2:$AN$1501,0))</f>
        <v/>
      </c>
      <c r="N496" s="7">
        <f>IF($V496="","",M496*L496)</f>
        <v/>
      </c>
      <c r="O496">
        <f>IF($V496="","",Settings!$C$6)</f>
        <v/>
      </c>
      <c r="P496" s="7">
        <f>IF($V496="","",SUMIFS('Per Line'!$V$2:$V$1501,'Per Line'!$D$2:$D$1501,$B496,'Per Line'!$AM$2:$AM$1501,1,'Per Line'!$AN$2:$AN$1501,0))</f>
        <v/>
      </c>
      <c r="Q496" s="7">
        <f>IF($V496="","",P496*O496)</f>
        <v/>
      </c>
      <c r="R496" s="7">
        <f>IF($V496="","",Q496+N496)</f>
        <v/>
      </c>
      <c r="S496" s="7">
        <f>IF($V496="","",T496-R496)</f>
        <v/>
      </c>
      <c r="T496" s="7">
        <f>IF($V496="","",M496+P496+K496)</f>
        <v/>
      </c>
      <c r="U496" s="7">
        <f>IF($V496="","",T496-R496-J496)</f>
        <v/>
      </c>
      <c r="V496" s="13">
        <f>IF(ROWS($V$2:$V496)&lt;=MAX('Per Line'!$AL$2:$AL$1501),MATCH(ROWS($V$2:$V496),'Per Line'!$AL$2:$AL$1501,0),"")</f>
        <v/>
      </c>
    </row>
    <row r="497">
      <c r="A497" s="12" t="n"/>
      <c r="B497">
        <f>IF($V497="","",INDEX('Per Line'!$D$2:$D$1501,$V497)&amp;"")</f>
        <v/>
      </c>
      <c r="C497">
        <f>IF($V497="","",INDEX('Per Line'!$A$2:$A$1501,$V497))</f>
        <v/>
      </c>
      <c r="D497">
        <f>IF($V497="","",INDEX('Per Line'!$Z$2:$Z$1501,$V497)&amp;"")</f>
        <v/>
      </c>
      <c r="E497" s="11">
        <f>IF($V497="","",INDEX('Per Line'!$F$2:$F$1501,$V497))</f>
        <v/>
      </c>
      <c r="F497">
        <f>IF($V497="","",INDEX('Per Line'!$I$2:$I$1501,$V497)&amp;"")</f>
        <v/>
      </c>
      <c r="G497">
        <f>IF($V497="","",INDEX('Per Line'!$J$2:$J$1501,$V497)&amp;"")</f>
        <v/>
      </c>
      <c r="H497">
        <f>IF($V497="","",INDEX('Per Line'!$K$2:$K$1501,$V497)&amp;"")</f>
        <v/>
      </c>
      <c r="I497">
        <f>IF($V497="","",INDEX('Per Line'!$M$2:$M$1501,$V497))</f>
        <v/>
      </c>
      <c r="J497" s="7">
        <f>IF($V497="","",I497*T497/100)</f>
        <v/>
      </c>
      <c r="K497" s="7">
        <f>IF($V497="","",SUMIFS('Per Line'!$V$2:$V$1501,'Per Line'!$D$2:$D$1501,$B497,'Per Line'!$AN$2:$AN$1501,1))</f>
        <v/>
      </c>
      <c r="L497">
        <f>IF($V497="","",Settings!$C$7)</f>
        <v/>
      </c>
      <c r="M497" s="7">
        <f>IF($V497="","",SUMIFS('Per Line'!$V$2:$V$1501,'Per Line'!$D$2:$D$1501,$B497,'Per Line'!$AM$2:$AM$1501,0,'Per Line'!$AN$2:$AN$1501,0))</f>
        <v/>
      </c>
      <c r="N497" s="7">
        <f>IF($V497="","",M497*L497)</f>
        <v/>
      </c>
      <c r="O497">
        <f>IF($V497="","",Settings!$C$6)</f>
        <v/>
      </c>
      <c r="P497" s="7">
        <f>IF($V497="","",SUMIFS('Per Line'!$V$2:$V$1501,'Per Line'!$D$2:$D$1501,$B497,'Per Line'!$AM$2:$AM$1501,1,'Per Line'!$AN$2:$AN$1501,0))</f>
        <v/>
      </c>
      <c r="Q497" s="7">
        <f>IF($V497="","",P497*O497)</f>
        <v/>
      </c>
      <c r="R497" s="7">
        <f>IF($V497="","",Q497+N497)</f>
        <v/>
      </c>
      <c r="S497" s="7">
        <f>IF($V497="","",T497-R497)</f>
        <v/>
      </c>
      <c r="T497" s="7">
        <f>IF($V497="","",M497+P497+K497)</f>
        <v/>
      </c>
      <c r="U497" s="7">
        <f>IF($V497="","",T497-R497-J497)</f>
        <v/>
      </c>
      <c r="V497" s="13">
        <f>IF(ROWS($V$2:$V497)&lt;=MAX('Per Line'!$AL$2:$AL$1501),MATCH(ROWS($V$2:$V497),'Per Line'!$AL$2:$AL$1501,0),"")</f>
        <v/>
      </c>
    </row>
    <row r="498">
      <c r="A498" s="12" t="n"/>
      <c r="B498">
        <f>IF($V498="","",INDEX('Per Line'!$D$2:$D$1501,$V498)&amp;"")</f>
        <v/>
      </c>
      <c r="C498">
        <f>IF($V498="","",INDEX('Per Line'!$A$2:$A$1501,$V498))</f>
        <v/>
      </c>
      <c r="D498">
        <f>IF($V498="","",INDEX('Per Line'!$Z$2:$Z$1501,$V498)&amp;"")</f>
        <v/>
      </c>
      <c r="E498" s="11">
        <f>IF($V498="","",INDEX('Per Line'!$F$2:$F$1501,$V498))</f>
        <v/>
      </c>
      <c r="F498">
        <f>IF($V498="","",INDEX('Per Line'!$I$2:$I$1501,$V498)&amp;"")</f>
        <v/>
      </c>
      <c r="G498">
        <f>IF($V498="","",INDEX('Per Line'!$J$2:$J$1501,$V498)&amp;"")</f>
        <v/>
      </c>
      <c r="H498">
        <f>IF($V498="","",INDEX('Per Line'!$K$2:$K$1501,$V498)&amp;"")</f>
        <v/>
      </c>
      <c r="I498">
        <f>IF($V498="","",INDEX('Per Line'!$M$2:$M$1501,$V498))</f>
        <v/>
      </c>
      <c r="J498" s="7">
        <f>IF($V498="","",I498*T498/100)</f>
        <v/>
      </c>
      <c r="K498" s="7">
        <f>IF($V498="","",SUMIFS('Per Line'!$V$2:$V$1501,'Per Line'!$D$2:$D$1501,$B498,'Per Line'!$AN$2:$AN$1501,1))</f>
        <v/>
      </c>
      <c r="L498">
        <f>IF($V498="","",Settings!$C$7)</f>
        <v/>
      </c>
      <c r="M498" s="7">
        <f>IF($V498="","",SUMIFS('Per Line'!$V$2:$V$1501,'Per Line'!$D$2:$D$1501,$B498,'Per Line'!$AM$2:$AM$1501,0,'Per Line'!$AN$2:$AN$1501,0))</f>
        <v/>
      </c>
      <c r="N498" s="7">
        <f>IF($V498="","",M498*L498)</f>
        <v/>
      </c>
      <c r="O498">
        <f>IF($V498="","",Settings!$C$6)</f>
        <v/>
      </c>
      <c r="P498" s="7">
        <f>IF($V498="","",SUMIFS('Per Line'!$V$2:$V$1501,'Per Line'!$D$2:$D$1501,$B498,'Per Line'!$AM$2:$AM$1501,1,'Per Line'!$AN$2:$AN$1501,0))</f>
        <v/>
      </c>
      <c r="Q498" s="7">
        <f>IF($V498="","",P498*O498)</f>
        <v/>
      </c>
      <c r="R498" s="7">
        <f>IF($V498="","",Q498+N498)</f>
        <v/>
      </c>
      <c r="S498" s="7">
        <f>IF($V498="","",T498-R498)</f>
        <v/>
      </c>
      <c r="T498" s="7">
        <f>IF($V498="","",M498+P498+K498)</f>
        <v/>
      </c>
      <c r="U498" s="7">
        <f>IF($V498="","",T498-R498-J498)</f>
        <v/>
      </c>
      <c r="V498" s="13">
        <f>IF(ROWS($V$2:$V498)&lt;=MAX('Per Line'!$AL$2:$AL$1501),MATCH(ROWS($V$2:$V498),'Per Line'!$AL$2:$AL$1501,0),"")</f>
        <v/>
      </c>
    </row>
    <row r="499">
      <c r="A499" s="12" t="n"/>
      <c r="B499">
        <f>IF($V499="","",INDEX('Per Line'!$D$2:$D$1501,$V499)&amp;"")</f>
        <v/>
      </c>
      <c r="C499">
        <f>IF($V499="","",INDEX('Per Line'!$A$2:$A$1501,$V499))</f>
        <v/>
      </c>
      <c r="D499">
        <f>IF($V499="","",INDEX('Per Line'!$Z$2:$Z$1501,$V499)&amp;"")</f>
        <v/>
      </c>
      <c r="E499" s="11">
        <f>IF($V499="","",INDEX('Per Line'!$F$2:$F$1501,$V499))</f>
        <v/>
      </c>
      <c r="F499">
        <f>IF($V499="","",INDEX('Per Line'!$I$2:$I$1501,$V499)&amp;"")</f>
        <v/>
      </c>
      <c r="G499">
        <f>IF($V499="","",INDEX('Per Line'!$J$2:$J$1501,$V499)&amp;"")</f>
        <v/>
      </c>
      <c r="H499">
        <f>IF($V499="","",INDEX('Per Line'!$K$2:$K$1501,$V499)&amp;"")</f>
        <v/>
      </c>
      <c r="I499">
        <f>IF($V499="","",INDEX('Per Line'!$M$2:$M$1501,$V499))</f>
        <v/>
      </c>
      <c r="J499" s="7">
        <f>IF($V499="","",I499*T499/100)</f>
        <v/>
      </c>
      <c r="K499" s="7">
        <f>IF($V499="","",SUMIFS('Per Line'!$V$2:$V$1501,'Per Line'!$D$2:$D$1501,$B499,'Per Line'!$AN$2:$AN$1501,1))</f>
        <v/>
      </c>
      <c r="L499">
        <f>IF($V499="","",Settings!$C$7)</f>
        <v/>
      </c>
      <c r="M499" s="7">
        <f>IF($V499="","",SUMIFS('Per Line'!$V$2:$V$1501,'Per Line'!$D$2:$D$1501,$B499,'Per Line'!$AM$2:$AM$1501,0,'Per Line'!$AN$2:$AN$1501,0))</f>
        <v/>
      </c>
      <c r="N499" s="7">
        <f>IF($V499="","",M499*L499)</f>
        <v/>
      </c>
      <c r="O499">
        <f>IF($V499="","",Settings!$C$6)</f>
        <v/>
      </c>
      <c r="P499" s="7">
        <f>IF($V499="","",SUMIFS('Per Line'!$V$2:$V$1501,'Per Line'!$D$2:$D$1501,$B499,'Per Line'!$AM$2:$AM$1501,1,'Per Line'!$AN$2:$AN$1501,0))</f>
        <v/>
      </c>
      <c r="Q499" s="7">
        <f>IF($V499="","",P499*O499)</f>
        <v/>
      </c>
      <c r="R499" s="7">
        <f>IF($V499="","",Q499+N499)</f>
        <v/>
      </c>
      <c r="S499" s="7">
        <f>IF($V499="","",T499-R499)</f>
        <v/>
      </c>
      <c r="T499" s="7">
        <f>IF($V499="","",M499+P499+K499)</f>
        <v/>
      </c>
      <c r="U499" s="7">
        <f>IF($V499="","",T499-R499-J499)</f>
        <v/>
      </c>
      <c r="V499" s="13">
        <f>IF(ROWS($V$2:$V499)&lt;=MAX('Per Line'!$AL$2:$AL$1501),MATCH(ROWS($V$2:$V499),'Per Line'!$AL$2:$AL$1501,0),"")</f>
        <v/>
      </c>
    </row>
    <row r="500">
      <c r="A500" s="12" t="n"/>
      <c r="B500">
        <f>IF($V500="","",INDEX('Per Line'!$D$2:$D$1501,$V500)&amp;"")</f>
        <v/>
      </c>
      <c r="C500">
        <f>IF($V500="","",INDEX('Per Line'!$A$2:$A$1501,$V500))</f>
        <v/>
      </c>
      <c r="D500">
        <f>IF($V500="","",INDEX('Per Line'!$Z$2:$Z$1501,$V500)&amp;"")</f>
        <v/>
      </c>
      <c r="E500" s="11">
        <f>IF($V500="","",INDEX('Per Line'!$F$2:$F$1501,$V500))</f>
        <v/>
      </c>
      <c r="F500">
        <f>IF($V500="","",INDEX('Per Line'!$I$2:$I$1501,$V500)&amp;"")</f>
        <v/>
      </c>
      <c r="G500">
        <f>IF($V500="","",INDEX('Per Line'!$J$2:$J$1501,$V500)&amp;"")</f>
        <v/>
      </c>
      <c r="H500">
        <f>IF($V500="","",INDEX('Per Line'!$K$2:$K$1501,$V500)&amp;"")</f>
        <v/>
      </c>
      <c r="I500">
        <f>IF($V500="","",INDEX('Per Line'!$M$2:$M$1501,$V500))</f>
        <v/>
      </c>
      <c r="J500" s="7">
        <f>IF($V500="","",I500*T500/100)</f>
        <v/>
      </c>
      <c r="K500" s="7">
        <f>IF($V500="","",SUMIFS('Per Line'!$V$2:$V$1501,'Per Line'!$D$2:$D$1501,$B500,'Per Line'!$AN$2:$AN$1501,1))</f>
        <v/>
      </c>
      <c r="L500">
        <f>IF($V500="","",Settings!$C$7)</f>
        <v/>
      </c>
      <c r="M500" s="7">
        <f>IF($V500="","",SUMIFS('Per Line'!$V$2:$V$1501,'Per Line'!$D$2:$D$1501,$B500,'Per Line'!$AM$2:$AM$1501,0,'Per Line'!$AN$2:$AN$1501,0))</f>
        <v/>
      </c>
      <c r="N500" s="7">
        <f>IF($V500="","",M500*L500)</f>
        <v/>
      </c>
      <c r="O500">
        <f>IF($V500="","",Settings!$C$6)</f>
        <v/>
      </c>
      <c r="P500" s="7">
        <f>IF($V500="","",SUMIFS('Per Line'!$V$2:$V$1501,'Per Line'!$D$2:$D$1501,$B500,'Per Line'!$AM$2:$AM$1501,1,'Per Line'!$AN$2:$AN$1501,0))</f>
        <v/>
      </c>
      <c r="Q500" s="7">
        <f>IF($V500="","",P500*O500)</f>
        <v/>
      </c>
      <c r="R500" s="7">
        <f>IF($V500="","",Q500+N500)</f>
        <v/>
      </c>
      <c r="S500" s="7">
        <f>IF($V500="","",T500-R500)</f>
        <v/>
      </c>
      <c r="T500" s="7">
        <f>IF($V500="","",M500+P500+K500)</f>
        <v/>
      </c>
      <c r="U500" s="7">
        <f>IF($V500="","",T500-R500-J500)</f>
        <v/>
      </c>
      <c r="V500" s="13">
        <f>IF(ROWS($V$2:$V500)&lt;=MAX('Per Line'!$AL$2:$AL$1501),MATCH(ROWS($V$2:$V500),'Per Line'!$AL$2:$AL$1501,0),"")</f>
        <v/>
      </c>
    </row>
    <row r="501">
      <c r="A501" s="12" t="n"/>
      <c r="B501">
        <f>IF($V501="","",INDEX('Per Line'!$D$2:$D$1501,$V501)&amp;"")</f>
        <v/>
      </c>
      <c r="C501">
        <f>IF($V501="","",INDEX('Per Line'!$A$2:$A$1501,$V501))</f>
        <v/>
      </c>
      <c r="D501">
        <f>IF($V501="","",INDEX('Per Line'!$Z$2:$Z$1501,$V501)&amp;"")</f>
        <v/>
      </c>
      <c r="E501" s="11">
        <f>IF($V501="","",INDEX('Per Line'!$F$2:$F$1501,$V501))</f>
        <v/>
      </c>
      <c r="F501">
        <f>IF($V501="","",INDEX('Per Line'!$I$2:$I$1501,$V501)&amp;"")</f>
        <v/>
      </c>
      <c r="G501">
        <f>IF($V501="","",INDEX('Per Line'!$J$2:$J$1501,$V501)&amp;"")</f>
        <v/>
      </c>
      <c r="H501">
        <f>IF($V501="","",INDEX('Per Line'!$K$2:$K$1501,$V501)&amp;"")</f>
        <v/>
      </c>
      <c r="I501">
        <f>IF($V501="","",INDEX('Per Line'!$M$2:$M$1501,$V501))</f>
        <v/>
      </c>
      <c r="J501" s="7">
        <f>IF($V501="","",I501*T501/100)</f>
        <v/>
      </c>
      <c r="K501" s="7">
        <f>IF($V501="","",SUMIFS('Per Line'!$V$2:$V$1501,'Per Line'!$D$2:$D$1501,$B501,'Per Line'!$AN$2:$AN$1501,1))</f>
        <v/>
      </c>
      <c r="L501">
        <f>IF($V501="","",Settings!$C$7)</f>
        <v/>
      </c>
      <c r="M501" s="7">
        <f>IF($V501="","",SUMIFS('Per Line'!$V$2:$V$1501,'Per Line'!$D$2:$D$1501,$B501,'Per Line'!$AM$2:$AM$1501,0,'Per Line'!$AN$2:$AN$1501,0))</f>
        <v/>
      </c>
      <c r="N501" s="7">
        <f>IF($V501="","",M501*L501)</f>
        <v/>
      </c>
      <c r="O501">
        <f>IF($V501="","",Settings!$C$6)</f>
        <v/>
      </c>
      <c r="P501" s="7">
        <f>IF($V501="","",SUMIFS('Per Line'!$V$2:$V$1501,'Per Line'!$D$2:$D$1501,$B501,'Per Line'!$AM$2:$AM$1501,1,'Per Line'!$AN$2:$AN$1501,0))</f>
        <v/>
      </c>
      <c r="Q501" s="7">
        <f>IF($V501="","",P501*O501)</f>
        <v/>
      </c>
      <c r="R501" s="7">
        <f>IF($V501="","",Q501+N501)</f>
        <v/>
      </c>
      <c r="S501" s="7">
        <f>IF($V501="","",T501-R501)</f>
        <v/>
      </c>
      <c r="T501" s="7">
        <f>IF($V501="","",M501+P501+K501)</f>
        <v/>
      </c>
      <c r="U501" s="7">
        <f>IF($V501="","",T501-R501-J501)</f>
        <v/>
      </c>
      <c r="V501" s="13">
        <f>IF(ROWS($V$2:$V501)&lt;=MAX('Per Line'!$AL$2:$AL$1501),MATCH(ROWS($V$2:$V501),'Per Line'!$AL$2:$AL$1501,0),"")</f>
        <v/>
      </c>
    </row>
  </sheetData>
  <autoFilter ref="A1:V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2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2" customHeight="1">
      <c r="A1" s="9" t="inlineStr">
        <is>
          <t>م</t>
        </is>
      </c>
      <c r="B1" s="9" t="inlineStr">
        <is>
          <t>التاريخ</t>
        </is>
      </c>
      <c r="C1" s="9" t="inlineStr">
        <is>
          <t>كود الموظف</t>
        </is>
      </c>
      <c r="D1" s="9" t="inlineStr">
        <is>
          <t>الاسم</t>
        </is>
      </c>
      <c r="E1" s="9" t="inlineStr">
        <is>
          <t>الفرع</t>
        </is>
      </c>
      <c r="F1" s="9" t="inlineStr">
        <is>
          <t>محلي</t>
        </is>
      </c>
      <c r="G1" s="9" t="inlineStr">
        <is>
          <t>خصم محلي</t>
        </is>
      </c>
      <c r="H1" s="9" t="inlineStr">
        <is>
          <t>مستورد</t>
        </is>
      </c>
      <c r="I1" s="9" t="inlineStr">
        <is>
          <t>خصم مستورد</t>
        </is>
      </c>
      <c r="J1" s="9" t="inlineStr">
        <is>
          <t>بدون خصم</t>
        </is>
      </c>
      <c r="K1" s="9" t="inlineStr">
        <is>
          <t>اجمالي الفاتورة</t>
        </is>
      </c>
      <c r="L1" s="9" t="inlineStr">
        <is>
          <t>الاجمالي بعد الخصم</t>
        </is>
      </c>
      <c r="M1" s="8" t="inlineStr">
        <is>
          <t>ضريبة</t>
        </is>
      </c>
      <c r="N1" s="8" t="inlineStr">
        <is>
          <t>القيمه بعد الخصم</t>
        </is>
      </c>
      <c r="O1" s="8" t="inlineStr">
        <is>
          <t>القسم</t>
        </is>
      </c>
      <c r="P1" s="8" t="inlineStr">
        <is>
          <t>خصم 20%</t>
        </is>
      </c>
      <c r="Q1" s="8" t="inlineStr">
        <is>
          <t>بعد خصم 20%</t>
        </is>
      </c>
    </row>
    <row r="2">
      <c r="A2" s="6" t="inlineStr">
        <is>
          <t>Total</t>
        </is>
      </c>
      <c r="F2" s="14">
        <f>SUM(F3:F502)</f>
        <v/>
      </c>
      <c r="G2" s="14">
        <f>SUM(G3:G502)</f>
        <v/>
      </c>
      <c r="H2" s="14">
        <f>SUM(H3:H502)</f>
        <v/>
      </c>
      <c r="I2" s="14">
        <f>SUM(I3:I502)</f>
        <v/>
      </c>
      <c r="J2" s="14">
        <f>SUM(J3:J502)</f>
        <v/>
      </c>
      <c r="K2" s="14">
        <f>SUM(K3:K502)</f>
        <v/>
      </c>
      <c r="L2" s="14">
        <f>SUM(L3:L502)</f>
        <v/>
      </c>
    </row>
    <row r="3">
      <c r="A3">
        <f>IF('Per Invoice'!$V2="","",ROWS($A$3:A3))</f>
        <v/>
      </c>
      <c r="B3" s="11">
        <f>IF('Per Invoice'!$V2="","",'Per Invoice'!E2)</f>
        <v/>
      </c>
      <c r="C3">
        <f>IF('Per Invoice'!$V2="","",'Per Invoice'!G2)</f>
        <v/>
      </c>
      <c r="D3">
        <f>IF('Per Invoice'!$V2="","",'Per Invoice'!H2)</f>
        <v/>
      </c>
      <c r="E3">
        <f>IF('Per Invoice'!$V2="","",'Per Invoice'!F2)</f>
        <v/>
      </c>
      <c r="F3" s="7">
        <f>IF('Per Invoice'!$V2="","",'Per Invoice'!P2)</f>
        <v/>
      </c>
      <c r="G3" s="7">
        <f>IF('Per Invoice'!$V2="","",'Per Invoice'!Q2)</f>
        <v/>
      </c>
      <c r="H3" s="7">
        <f>IF('Per Invoice'!$V2="","",'Per Invoice'!M2)</f>
        <v/>
      </c>
      <c r="I3" s="7">
        <f>IF('Per Invoice'!$V2="","",'Per Invoice'!N2)</f>
        <v/>
      </c>
      <c r="J3" s="7">
        <f>IF('Per Invoice'!$V2="","",'Per Invoice'!K2)</f>
        <v/>
      </c>
      <c r="K3" s="7">
        <f>IF('Per Invoice'!$V2="","",'Per Invoice'!T2)</f>
        <v/>
      </c>
      <c r="L3" s="7">
        <f>IF('Per Invoice'!$V2="","",'Per Invoice'!S2)</f>
        <v/>
      </c>
    </row>
    <row r="4">
      <c r="A4">
        <f>IF('Per Invoice'!$V3="","",ROWS($A$3:A4))</f>
        <v/>
      </c>
      <c r="B4" s="11">
        <f>IF('Per Invoice'!$V3="","",'Per Invoice'!E3)</f>
        <v/>
      </c>
      <c r="C4">
        <f>IF('Per Invoice'!$V3="","",'Per Invoice'!G3)</f>
        <v/>
      </c>
      <c r="D4">
        <f>IF('Per Invoice'!$V3="","",'Per Invoice'!H3)</f>
        <v/>
      </c>
      <c r="E4">
        <f>IF('Per Invoice'!$V3="","",'Per Invoice'!F3)</f>
        <v/>
      </c>
      <c r="F4" s="7">
        <f>IF('Per Invoice'!$V3="","",'Per Invoice'!P3)</f>
        <v/>
      </c>
      <c r="G4" s="7">
        <f>IF('Per Invoice'!$V3="","",'Per Invoice'!Q3)</f>
        <v/>
      </c>
      <c r="H4" s="7">
        <f>IF('Per Invoice'!$V3="","",'Per Invoice'!M3)</f>
        <v/>
      </c>
      <c r="I4" s="7">
        <f>IF('Per Invoice'!$V3="","",'Per Invoice'!N3)</f>
        <v/>
      </c>
      <c r="J4" s="7">
        <f>IF('Per Invoice'!$V3="","",'Per Invoice'!K3)</f>
        <v/>
      </c>
      <c r="K4" s="7">
        <f>IF('Per Invoice'!$V3="","",'Per Invoice'!T3)</f>
        <v/>
      </c>
      <c r="L4" s="7">
        <f>IF('Per Invoice'!$V3="","",'Per Invoice'!S3)</f>
        <v/>
      </c>
    </row>
    <row r="5">
      <c r="A5">
        <f>IF('Per Invoice'!$V4="","",ROWS($A$3:A5))</f>
        <v/>
      </c>
      <c r="B5" s="11">
        <f>IF('Per Invoice'!$V4="","",'Per Invoice'!E4)</f>
        <v/>
      </c>
      <c r="C5">
        <f>IF('Per Invoice'!$V4="","",'Per Invoice'!G4)</f>
        <v/>
      </c>
      <c r="D5">
        <f>IF('Per Invoice'!$V4="","",'Per Invoice'!H4)</f>
        <v/>
      </c>
      <c r="E5">
        <f>IF('Per Invoice'!$V4="","",'Per Invoice'!F4)</f>
        <v/>
      </c>
      <c r="F5" s="7">
        <f>IF('Per Invoice'!$V4="","",'Per Invoice'!P4)</f>
        <v/>
      </c>
      <c r="G5" s="7">
        <f>IF('Per Invoice'!$V4="","",'Per Invoice'!Q4)</f>
        <v/>
      </c>
      <c r="H5" s="7">
        <f>IF('Per Invoice'!$V4="","",'Per Invoice'!M4)</f>
        <v/>
      </c>
      <c r="I5" s="7">
        <f>IF('Per Invoice'!$V4="","",'Per Invoice'!N4)</f>
        <v/>
      </c>
      <c r="J5" s="7">
        <f>IF('Per Invoice'!$V4="","",'Per Invoice'!K4)</f>
        <v/>
      </c>
      <c r="K5" s="7">
        <f>IF('Per Invoice'!$V4="","",'Per Invoice'!T4)</f>
        <v/>
      </c>
      <c r="L5" s="7">
        <f>IF('Per Invoice'!$V4="","",'Per Invoice'!S4)</f>
        <v/>
      </c>
    </row>
    <row r="6">
      <c r="A6">
        <f>IF('Per Invoice'!$V5="","",ROWS($A$3:A6))</f>
        <v/>
      </c>
      <c r="B6" s="11">
        <f>IF('Per Invoice'!$V5="","",'Per Invoice'!E5)</f>
        <v/>
      </c>
      <c r="C6">
        <f>IF('Per Invoice'!$V5="","",'Per Invoice'!G5)</f>
        <v/>
      </c>
      <c r="D6">
        <f>IF('Per Invoice'!$V5="","",'Per Invoice'!H5)</f>
        <v/>
      </c>
      <c r="E6">
        <f>IF('Per Invoice'!$V5="","",'Per Invoice'!F5)</f>
        <v/>
      </c>
      <c r="F6" s="7">
        <f>IF('Per Invoice'!$V5="","",'Per Invoice'!P5)</f>
        <v/>
      </c>
      <c r="G6" s="7">
        <f>IF('Per Invoice'!$V5="","",'Per Invoice'!Q5)</f>
        <v/>
      </c>
      <c r="H6" s="7">
        <f>IF('Per Invoice'!$V5="","",'Per Invoice'!M5)</f>
        <v/>
      </c>
      <c r="I6" s="7">
        <f>IF('Per Invoice'!$V5="","",'Per Invoice'!N5)</f>
        <v/>
      </c>
      <c r="J6" s="7">
        <f>IF('Per Invoice'!$V5="","",'Per Invoice'!K5)</f>
        <v/>
      </c>
      <c r="K6" s="7">
        <f>IF('Per Invoice'!$V5="","",'Per Invoice'!T5)</f>
        <v/>
      </c>
      <c r="L6" s="7">
        <f>IF('Per Invoice'!$V5="","",'Per Invoice'!S5)</f>
        <v/>
      </c>
    </row>
    <row r="7">
      <c r="A7">
        <f>IF('Per Invoice'!$V6="","",ROWS($A$3:A7))</f>
        <v/>
      </c>
      <c r="B7" s="11">
        <f>IF('Per Invoice'!$V6="","",'Per Invoice'!E6)</f>
        <v/>
      </c>
      <c r="C7">
        <f>IF('Per Invoice'!$V6="","",'Per Invoice'!G6)</f>
        <v/>
      </c>
      <c r="D7">
        <f>IF('Per Invoice'!$V6="","",'Per Invoice'!H6)</f>
        <v/>
      </c>
      <c r="E7">
        <f>IF('Per Invoice'!$V6="","",'Per Invoice'!F6)</f>
        <v/>
      </c>
      <c r="F7" s="7">
        <f>IF('Per Invoice'!$V6="","",'Per Invoice'!P6)</f>
        <v/>
      </c>
      <c r="G7" s="7">
        <f>IF('Per Invoice'!$V6="","",'Per Invoice'!Q6)</f>
        <v/>
      </c>
      <c r="H7" s="7">
        <f>IF('Per Invoice'!$V6="","",'Per Invoice'!M6)</f>
        <v/>
      </c>
      <c r="I7" s="7">
        <f>IF('Per Invoice'!$V6="","",'Per Invoice'!N6)</f>
        <v/>
      </c>
      <c r="J7" s="7">
        <f>IF('Per Invoice'!$V6="","",'Per Invoice'!K6)</f>
        <v/>
      </c>
      <c r="K7" s="7">
        <f>IF('Per Invoice'!$V6="","",'Per Invoice'!T6)</f>
        <v/>
      </c>
      <c r="L7" s="7">
        <f>IF('Per Invoice'!$V6="","",'Per Invoice'!S6)</f>
        <v/>
      </c>
    </row>
    <row r="8">
      <c r="A8">
        <f>IF('Per Invoice'!$V7="","",ROWS($A$3:A8))</f>
        <v/>
      </c>
      <c r="B8" s="11">
        <f>IF('Per Invoice'!$V7="","",'Per Invoice'!E7)</f>
        <v/>
      </c>
      <c r="C8">
        <f>IF('Per Invoice'!$V7="","",'Per Invoice'!G7)</f>
        <v/>
      </c>
      <c r="D8">
        <f>IF('Per Invoice'!$V7="","",'Per Invoice'!H7)</f>
        <v/>
      </c>
      <c r="E8">
        <f>IF('Per Invoice'!$V7="","",'Per Invoice'!F7)</f>
        <v/>
      </c>
      <c r="F8" s="7">
        <f>IF('Per Invoice'!$V7="","",'Per Invoice'!P7)</f>
        <v/>
      </c>
      <c r="G8" s="7">
        <f>IF('Per Invoice'!$V7="","",'Per Invoice'!Q7)</f>
        <v/>
      </c>
      <c r="H8" s="7">
        <f>IF('Per Invoice'!$V7="","",'Per Invoice'!M7)</f>
        <v/>
      </c>
      <c r="I8" s="7">
        <f>IF('Per Invoice'!$V7="","",'Per Invoice'!N7)</f>
        <v/>
      </c>
      <c r="J8" s="7">
        <f>IF('Per Invoice'!$V7="","",'Per Invoice'!K7)</f>
        <v/>
      </c>
      <c r="K8" s="7">
        <f>IF('Per Invoice'!$V7="","",'Per Invoice'!T7)</f>
        <v/>
      </c>
      <c r="L8" s="7">
        <f>IF('Per Invoice'!$V7="","",'Per Invoice'!S7)</f>
        <v/>
      </c>
    </row>
    <row r="9">
      <c r="A9">
        <f>IF('Per Invoice'!$V8="","",ROWS($A$3:A9))</f>
        <v/>
      </c>
      <c r="B9" s="11">
        <f>IF('Per Invoice'!$V8="","",'Per Invoice'!E8)</f>
        <v/>
      </c>
      <c r="C9">
        <f>IF('Per Invoice'!$V8="","",'Per Invoice'!G8)</f>
        <v/>
      </c>
      <c r="D9">
        <f>IF('Per Invoice'!$V8="","",'Per Invoice'!H8)</f>
        <v/>
      </c>
      <c r="E9">
        <f>IF('Per Invoice'!$V8="","",'Per Invoice'!F8)</f>
        <v/>
      </c>
      <c r="F9" s="7">
        <f>IF('Per Invoice'!$V8="","",'Per Invoice'!P8)</f>
        <v/>
      </c>
      <c r="G9" s="7">
        <f>IF('Per Invoice'!$V8="","",'Per Invoice'!Q8)</f>
        <v/>
      </c>
      <c r="H9" s="7">
        <f>IF('Per Invoice'!$V8="","",'Per Invoice'!M8)</f>
        <v/>
      </c>
      <c r="I9" s="7">
        <f>IF('Per Invoice'!$V8="","",'Per Invoice'!N8)</f>
        <v/>
      </c>
      <c r="J9" s="7">
        <f>IF('Per Invoice'!$V8="","",'Per Invoice'!K8)</f>
        <v/>
      </c>
      <c r="K9" s="7">
        <f>IF('Per Invoice'!$V8="","",'Per Invoice'!T8)</f>
        <v/>
      </c>
      <c r="L9" s="7">
        <f>IF('Per Invoice'!$V8="","",'Per Invoice'!S8)</f>
        <v/>
      </c>
    </row>
    <row r="10">
      <c r="A10">
        <f>IF('Per Invoice'!$V9="","",ROWS($A$3:A10))</f>
        <v/>
      </c>
      <c r="B10" s="11">
        <f>IF('Per Invoice'!$V9="","",'Per Invoice'!E9)</f>
        <v/>
      </c>
      <c r="C10">
        <f>IF('Per Invoice'!$V9="","",'Per Invoice'!G9)</f>
        <v/>
      </c>
      <c r="D10">
        <f>IF('Per Invoice'!$V9="","",'Per Invoice'!H9)</f>
        <v/>
      </c>
      <c r="E10">
        <f>IF('Per Invoice'!$V9="","",'Per Invoice'!F9)</f>
        <v/>
      </c>
      <c r="F10" s="7">
        <f>IF('Per Invoice'!$V9="","",'Per Invoice'!P9)</f>
        <v/>
      </c>
      <c r="G10" s="7">
        <f>IF('Per Invoice'!$V9="","",'Per Invoice'!Q9)</f>
        <v/>
      </c>
      <c r="H10" s="7">
        <f>IF('Per Invoice'!$V9="","",'Per Invoice'!M9)</f>
        <v/>
      </c>
      <c r="I10" s="7">
        <f>IF('Per Invoice'!$V9="","",'Per Invoice'!N9)</f>
        <v/>
      </c>
      <c r="J10" s="7">
        <f>IF('Per Invoice'!$V9="","",'Per Invoice'!K9)</f>
        <v/>
      </c>
      <c r="K10" s="7">
        <f>IF('Per Invoice'!$V9="","",'Per Invoice'!T9)</f>
        <v/>
      </c>
      <c r="L10" s="7">
        <f>IF('Per Invoice'!$V9="","",'Per Invoice'!S9)</f>
        <v/>
      </c>
    </row>
    <row r="11">
      <c r="A11">
        <f>IF('Per Invoice'!$V10="","",ROWS($A$3:A11))</f>
        <v/>
      </c>
      <c r="B11" s="11">
        <f>IF('Per Invoice'!$V10="","",'Per Invoice'!E10)</f>
        <v/>
      </c>
      <c r="C11">
        <f>IF('Per Invoice'!$V10="","",'Per Invoice'!G10)</f>
        <v/>
      </c>
      <c r="D11">
        <f>IF('Per Invoice'!$V10="","",'Per Invoice'!H10)</f>
        <v/>
      </c>
      <c r="E11">
        <f>IF('Per Invoice'!$V10="","",'Per Invoice'!F10)</f>
        <v/>
      </c>
      <c r="F11" s="7">
        <f>IF('Per Invoice'!$V10="","",'Per Invoice'!P10)</f>
        <v/>
      </c>
      <c r="G11" s="7">
        <f>IF('Per Invoice'!$V10="","",'Per Invoice'!Q10)</f>
        <v/>
      </c>
      <c r="H11" s="7">
        <f>IF('Per Invoice'!$V10="","",'Per Invoice'!M10)</f>
        <v/>
      </c>
      <c r="I11" s="7">
        <f>IF('Per Invoice'!$V10="","",'Per Invoice'!N10)</f>
        <v/>
      </c>
      <c r="J11" s="7">
        <f>IF('Per Invoice'!$V10="","",'Per Invoice'!K10)</f>
        <v/>
      </c>
      <c r="K11" s="7">
        <f>IF('Per Invoice'!$V10="","",'Per Invoice'!T10)</f>
        <v/>
      </c>
      <c r="L11" s="7">
        <f>IF('Per Invoice'!$V10="","",'Per Invoice'!S10)</f>
        <v/>
      </c>
    </row>
    <row r="12">
      <c r="A12">
        <f>IF('Per Invoice'!$V11="","",ROWS($A$3:A12))</f>
        <v/>
      </c>
      <c r="B12" s="11">
        <f>IF('Per Invoice'!$V11="","",'Per Invoice'!E11)</f>
        <v/>
      </c>
      <c r="C12">
        <f>IF('Per Invoice'!$V11="","",'Per Invoice'!G11)</f>
        <v/>
      </c>
      <c r="D12">
        <f>IF('Per Invoice'!$V11="","",'Per Invoice'!H11)</f>
        <v/>
      </c>
      <c r="E12">
        <f>IF('Per Invoice'!$V11="","",'Per Invoice'!F11)</f>
        <v/>
      </c>
      <c r="F12" s="7">
        <f>IF('Per Invoice'!$V11="","",'Per Invoice'!P11)</f>
        <v/>
      </c>
      <c r="G12" s="7">
        <f>IF('Per Invoice'!$V11="","",'Per Invoice'!Q11)</f>
        <v/>
      </c>
      <c r="H12" s="7">
        <f>IF('Per Invoice'!$V11="","",'Per Invoice'!M11)</f>
        <v/>
      </c>
      <c r="I12" s="7">
        <f>IF('Per Invoice'!$V11="","",'Per Invoice'!N11)</f>
        <v/>
      </c>
      <c r="J12" s="7">
        <f>IF('Per Invoice'!$V11="","",'Per Invoice'!K11)</f>
        <v/>
      </c>
      <c r="K12" s="7">
        <f>IF('Per Invoice'!$V11="","",'Per Invoice'!T11)</f>
        <v/>
      </c>
      <c r="L12" s="7">
        <f>IF('Per Invoice'!$V11="","",'Per Invoice'!S11)</f>
        <v/>
      </c>
    </row>
    <row r="13">
      <c r="A13">
        <f>IF('Per Invoice'!$V12="","",ROWS($A$3:A13))</f>
        <v/>
      </c>
      <c r="B13" s="11">
        <f>IF('Per Invoice'!$V12="","",'Per Invoice'!E12)</f>
        <v/>
      </c>
      <c r="C13">
        <f>IF('Per Invoice'!$V12="","",'Per Invoice'!G12)</f>
        <v/>
      </c>
      <c r="D13">
        <f>IF('Per Invoice'!$V12="","",'Per Invoice'!H12)</f>
        <v/>
      </c>
      <c r="E13">
        <f>IF('Per Invoice'!$V12="","",'Per Invoice'!F12)</f>
        <v/>
      </c>
      <c r="F13" s="7">
        <f>IF('Per Invoice'!$V12="","",'Per Invoice'!P12)</f>
        <v/>
      </c>
      <c r="G13" s="7">
        <f>IF('Per Invoice'!$V12="","",'Per Invoice'!Q12)</f>
        <v/>
      </c>
      <c r="H13" s="7">
        <f>IF('Per Invoice'!$V12="","",'Per Invoice'!M12)</f>
        <v/>
      </c>
      <c r="I13" s="7">
        <f>IF('Per Invoice'!$V12="","",'Per Invoice'!N12)</f>
        <v/>
      </c>
      <c r="J13" s="7">
        <f>IF('Per Invoice'!$V12="","",'Per Invoice'!K12)</f>
        <v/>
      </c>
      <c r="K13" s="7">
        <f>IF('Per Invoice'!$V12="","",'Per Invoice'!T12)</f>
        <v/>
      </c>
      <c r="L13" s="7">
        <f>IF('Per Invoice'!$V12="","",'Per Invoice'!S12)</f>
        <v/>
      </c>
    </row>
    <row r="14">
      <c r="A14">
        <f>IF('Per Invoice'!$V13="","",ROWS($A$3:A14))</f>
        <v/>
      </c>
      <c r="B14" s="11">
        <f>IF('Per Invoice'!$V13="","",'Per Invoice'!E13)</f>
        <v/>
      </c>
      <c r="C14">
        <f>IF('Per Invoice'!$V13="","",'Per Invoice'!G13)</f>
        <v/>
      </c>
      <c r="D14">
        <f>IF('Per Invoice'!$V13="","",'Per Invoice'!H13)</f>
        <v/>
      </c>
      <c r="E14">
        <f>IF('Per Invoice'!$V13="","",'Per Invoice'!F13)</f>
        <v/>
      </c>
      <c r="F14" s="7">
        <f>IF('Per Invoice'!$V13="","",'Per Invoice'!P13)</f>
        <v/>
      </c>
      <c r="G14" s="7">
        <f>IF('Per Invoice'!$V13="","",'Per Invoice'!Q13)</f>
        <v/>
      </c>
      <c r="H14" s="7">
        <f>IF('Per Invoice'!$V13="","",'Per Invoice'!M13)</f>
        <v/>
      </c>
      <c r="I14" s="7">
        <f>IF('Per Invoice'!$V13="","",'Per Invoice'!N13)</f>
        <v/>
      </c>
      <c r="J14" s="7">
        <f>IF('Per Invoice'!$V13="","",'Per Invoice'!K13)</f>
        <v/>
      </c>
      <c r="K14" s="7">
        <f>IF('Per Invoice'!$V13="","",'Per Invoice'!T13)</f>
        <v/>
      </c>
      <c r="L14" s="7">
        <f>IF('Per Invoice'!$V13="","",'Per Invoice'!S13)</f>
        <v/>
      </c>
    </row>
    <row r="15">
      <c r="A15">
        <f>IF('Per Invoice'!$V14="","",ROWS($A$3:A15))</f>
        <v/>
      </c>
      <c r="B15" s="11">
        <f>IF('Per Invoice'!$V14="","",'Per Invoice'!E14)</f>
        <v/>
      </c>
      <c r="C15">
        <f>IF('Per Invoice'!$V14="","",'Per Invoice'!G14)</f>
        <v/>
      </c>
      <c r="D15">
        <f>IF('Per Invoice'!$V14="","",'Per Invoice'!H14)</f>
        <v/>
      </c>
      <c r="E15">
        <f>IF('Per Invoice'!$V14="","",'Per Invoice'!F14)</f>
        <v/>
      </c>
      <c r="F15" s="7">
        <f>IF('Per Invoice'!$V14="","",'Per Invoice'!P14)</f>
        <v/>
      </c>
      <c r="G15" s="7">
        <f>IF('Per Invoice'!$V14="","",'Per Invoice'!Q14)</f>
        <v/>
      </c>
      <c r="H15" s="7">
        <f>IF('Per Invoice'!$V14="","",'Per Invoice'!M14)</f>
        <v/>
      </c>
      <c r="I15" s="7">
        <f>IF('Per Invoice'!$V14="","",'Per Invoice'!N14)</f>
        <v/>
      </c>
      <c r="J15" s="7">
        <f>IF('Per Invoice'!$V14="","",'Per Invoice'!K14)</f>
        <v/>
      </c>
      <c r="K15" s="7">
        <f>IF('Per Invoice'!$V14="","",'Per Invoice'!T14)</f>
        <v/>
      </c>
      <c r="L15" s="7">
        <f>IF('Per Invoice'!$V14="","",'Per Invoice'!S14)</f>
        <v/>
      </c>
    </row>
    <row r="16">
      <c r="A16">
        <f>IF('Per Invoice'!$V15="","",ROWS($A$3:A16))</f>
        <v/>
      </c>
      <c r="B16" s="11">
        <f>IF('Per Invoice'!$V15="","",'Per Invoice'!E15)</f>
        <v/>
      </c>
      <c r="C16">
        <f>IF('Per Invoice'!$V15="","",'Per Invoice'!G15)</f>
        <v/>
      </c>
      <c r="D16">
        <f>IF('Per Invoice'!$V15="","",'Per Invoice'!H15)</f>
        <v/>
      </c>
      <c r="E16">
        <f>IF('Per Invoice'!$V15="","",'Per Invoice'!F15)</f>
        <v/>
      </c>
      <c r="F16" s="7">
        <f>IF('Per Invoice'!$V15="","",'Per Invoice'!P15)</f>
        <v/>
      </c>
      <c r="G16" s="7">
        <f>IF('Per Invoice'!$V15="","",'Per Invoice'!Q15)</f>
        <v/>
      </c>
      <c r="H16" s="7">
        <f>IF('Per Invoice'!$V15="","",'Per Invoice'!M15)</f>
        <v/>
      </c>
      <c r="I16" s="7">
        <f>IF('Per Invoice'!$V15="","",'Per Invoice'!N15)</f>
        <v/>
      </c>
      <c r="J16" s="7">
        <f>IF('Per Invoice'!$V15="","",'Per Invoice'!K15)</f>
        <v/>
      </c>
      <c r="K16" s="7">
        <f>IF('Per Invoice'!$V15="","",'Per Invoice'!T15)</f>
        <v/>
      </c>
      <c r="L16" s="7">
        <f>IF('Per Invoice'!$V15="","",'Per Invoice'!S15)</f>
        <v/>
      </c>
    </row>
    <row r="17">
      <c r="A17">
        <f>IF('Per Invoice'!$V16="","",ROWS($A$3:A17))</f>
        <v/>
      </c>
      <c r="B17" s="11">
        <f>IF('Per Invoice'!$V16="","",'Per Invoice'!E16)</f>
        <v/>
      </c>
      <c r="C17">
        <f>IF('Per Invoice'!$V16="","",'Per Invoice'!G16)</f>
        <v/>
      </c>
      <c r="D17">
        <f>IF('Per Invoice'!$V16="","",'Per Invoice'!H16)</f>
        <v/>
      </c>
      <c r="E17">
        <f>IF('Per Invoice'!$V16="","",'Per Invoice'!F16)</f>
        <v/>
      </c>
      <c r="F17" s="7">
        <f>IF('Per Invoice'!$V16="","",'Per Invoice'!P16)</f>
        <v/>
      </c>
      <c r="G17" s="7">
        <f>IF('Per Invoice'!$V16="","",'Per Invoice'!Q16)</f>
        <v/>
      </c>
      <c r="H17" s="7">
        <f>IF('Per Invoice'!$V16="","",'Per Invoice'!M16)</f>
        <v/>
      </c>
      <c r="I17" s="7">
        <f>IF('Per Invoice'!$V16="","",'Per Invoice'!N16)</f>
        <v/>
      </c>
      <c r="J17" s="7">
        <f>IF('Per Invoice'!$V16="","",'Per Invoice'!K16)</f>
        <v/>
      </c>
      <c r="K17" s="7">
        <f>IF('Per Invoice'!$V16="","",'Per Invoice'!T16)</f>
        <v/>
      </c>
      <c r="L17" s="7">
        <f>IF('Per Invoice'!$V16="","",'Per Invoice'!S16)</f>
        <v/>
      </c>
    </row>
    <row r="18">
      <c r="A18">
        <f>IF('Per Invoice'!$V17="","",ROWS($A$3:A18))</f>
        <v/>
      </c>
      <c r="B18" s="11">
        <f>IF('Per Invoice'!$V17="","",'Per Invoice'!E17)</f>
        <v/>
      </c>
      <c r="C18">
        <f>IF('Per Invoice'!$V17="","",'Per Invoice'!G17)</f>
        <v/>
      </c>
      <c r="D18">
        <f>IF('Per Invoice'!$V17="","",'Per Invoice'!H17)</f>
        <v/>
      </c>
      <c r="E18">
        <f>IF('Per Invoice'!$V17="","",'Per Invoice'!F17)</f>
        <v/>
      </c>
      <c r="F18" s="7">
        <f>IF('Per Invoice'!$V17="","",'Per Invoice'!P17)</f>
        <v/>
      </c>
      <c r="G18" s="7">
        <f>IF('Per Invoice'!$V17="","",'Per Invoice'!Q17)</f>
        <v/>
      </c>
      <c r="H18" s="7">
        <f>IF('Per Invoice'!$V17="","",'Per Invoice'!M17)</f>
        <v/>
      </c>
      <c r="I18" s="7">
        <f>IF('Per Invoice'!$V17="","",'Per Invoice'!N17)</f>
        <v/>
      </c>
      <c r="J18" s="7">
        <f>IF('Per Invoice'!$V17="","",'Per Invoice'!K17)</f>
        <v/>
      </c>
      <c r="K18" s="7">
        <f>IF('Per Invoice'!$V17="","",'Per Invoice'!T17)</f>
        <v/>
      </c>
      <c r="L18" s="7">
        <f>IF('Per Invoice'!$V17="","",'Per Invoice'!S17)</f>
        <v/>
      </c>
    </row>
    <row r="19">
      <c r="A19">
        <f>IF('Per Invoice'!$V18="","",ROWS($A$3:A19))</f>
        <v/>
      </c>
      <c r="B19" s="11">
        <f>IF('Per Invoice'!$V18="","",'Per Invoice'!E18)</f>
        <v/>
      </c>
      <c r="C19">
        <f>IF('Per Invoice'!$V18="","",'Per Invoice'!G18)</f>
        <v/>
      </c>
      <c r="D19">
        <f>IF('Per Invoice'!$V18="","",'Per Invoice'!H18)</f>
        <v/>
      </c>
      <c r="E19">
        <f>IF('Per Invoice'!$V18="","",'Per Invoice'!F18)</f>
        <v/>
      </c>
      <c r="F19" s="7">
        <f>IF('Per Invoice'!$V18="","",'Per Invoice'!P18)</f>
        <v/>
      </c>
      <c r="G19" s="7">
        <f>IF('Per Invoice'!$V18="","",'Per Invoice'!Q18)</f>
        <v/>
      </c>
      <c r="H19" s="7">
        <f>IF('Per Invoice'!$V18="","",'Per Invoice'!M18)</f>
        <v/>
      </c>
      <c r="I19" s="7">
        <f>IF('Per Invoice'!$V18="","",'Per Invoice'!N18)</f>
        <v/>
      </c>
      <c r="J19" s="7">
        <f>IF('Per Invoice'!$V18="","",'Per Invoice'!K18)</f>
        <v/>
      </c>
      <c r="K19" s="7">
        <f>IF('Per Invoice'!$V18="","",'Per Invoice'!T18)</f>
        <v/>
      </c>
      <c r="L19" s="7">
        <f>IF('Per Invoice'!$V18="","",'Per Invoice'!S18)</f>
        <v/>
      </c>
    </row>
    <row r="20">
      <c r="A20">
        <f>IF('Per Invoice'!$V19="","",ROWS($A$3:A20))</f>
        <v/>
      </c>
      <c r="B20" s="11">
        <f>IF('Per Invoice'!$V19="","",'Per Invoice'!E19)</f>
        <v/>
      </c>
      <c r="C20">
        <f>IF('Per Invoice'!$V19="","",'Per Invoice'!G19)</f>
        <v/>
      </c>
      <c r="D20">
        <f>IF('Per Invoice'!$V19="","",'Per Invoice'!H19)</f>
        <v/>
      </c>
      <c r="E20">
        <f>IF('Per Invoice'!$V19="","",'Per Invoice'!F19)</f>
        <v/>
      </c>
      <c r="F20" s="7">
        <f>IF('Per Invoice'!$V19="","",'Per Invoice'!P19)</f>
        <v/>
      </c>
      <c r="G20" s="7">
        <f>IF('Per Invoice'!$V19="","",'Per Invoice'!Q19)</f>
        <v/>
      </c>
      <c r="H20" s="7">
        <f>IF('Per Invoice'!$V19="","",'Per Invoice'!M19)</f>
        <v/>
      </c>
      <c r="I20" s="7">
        <f>IF('Per Invoice'!$V19="","",'Per Invoice'!N19)</f>
        <v/>
      </c>
      <c r="J20" s="7">
        <f>IF('Per Invoice'!$V19="","",'Per Invoice'!K19)</f>
        <v/>
      </c>
      <c r="K20" s="7">
        <f>IF('Per Invoice'!$V19="","",'Per Invoice'!T19)</f>
        <v/>
      </c>
      <c r="L20" s="7">
        <f>IF('Per Invoice'!$V19="","",'Per Invoice'!S19)</f>
        <v/>
      </c>
    </row>
    <row r="21">
      <c r="A21">
        <f>IF('Per Invoice'!$V20="","",ROWS($A$3:A21))</f>
        <v/>
      </c>
      <c r="B21" s="11">
        <f>IF('Per Invoice'!$V20="","",'Per Invoice'!E20)</f>
        <v/>
      </c>
      <c r="C21">
        <f>IF('Per Invoice'!$V20="","",'Per Invoice'!G20)</f>
        <v/>
      </c>
      <c r="D21">
        <f>IF('Per Invoice'!$V20="","",'Per Invoice'!H20)</f>
        <v/>
      </c>
      <c r="E21">
        <f>IF('Per Invoice'!$V20="","",'Per Invoice'!F20)</f>
        <v/>
      </c>
      <c r="F21" s="7">
        <f>IF('Per Invoice'!$V20="","",'Per Invoice'!P20)</f>
        <v/>
      </c>
      <c r="G21" s="7">
        <f>IF('Per Invoice'!$V20="","",'Per Invoice'!Q20)</f>
        <v/>
      </c>
      <c r="H21" s="7">
        <f>IF('Per Invoice'!$V20="","",'Per Invoice'!M20)</f>
        <v/>
      </c>
      <c r="I21" s="7">
        <f>IF('Per Invoice'!$V20="","",'Per Invoice'!N20)</f>
        <v/>
      </c>
      <c r="J21" s="7">
        <f>IF('Per Invoice'!$V20="","",'Per Invoice'!K20)</f>
        <v/>
      </c>
      <c r="K21" s="7">
        <f>IF('Per Invoice'!$V20="","",'Per Invoice'!T20)</f>
        <v/>
      </c>
      <c r="L21" s="7">
        <f>IF('Per Invoice'!$V20="","",'Per Invoice'!S20)</f>
        <v/>
      </c>
    </row>
    <row r="22">
      <c r="A22">
        <f>IF('Per Invoice'!$V21="","",ROWS($A$3:A22))</f>
        <v/>
      </c>
      <c r="B22" s="11">
        <f>IF('Per Invoice'!$V21="","",'Per Invoice'!E21)</f>
        <v/>
      </c>
      <c r="C22">
        <f>IF('Per Invoice'!$V21="","",'Per Invoice'!G21)</f>
        <v/>
      </c>
      <c r="D22">
        <f>IF('Per Invoice'!$V21="","",'Per Invoice'!H21)</f>
        <v/>
      </c>
      <c r="E22">
        <f>IF('Per Invoice'!$V21="","",'Per Invoice'!F21)</f>
        <v/>
      </c>
      <c r="F22" s="7">
        <f>IF('Per Invoice'!$V21="","",'Per Invoice'!P21)</f>
        <v/>
      </c>
      <c r="G22" s="7">
        <f>IF('Per Invoice'!$V21="","",'Per Invoice'!Q21)</f>
        <v/>
      </c>
      <c r="H22" s="7">
        <f>IF('Per Invoice'!$V21="","",'Per Invoice'!M21)</f>
        <v/>
      </c>
      <c r="I22" s="7">
        <f>IF('Per Invoice'!$V21="","",'Per Invoice'!N21)</f>
        <v/>
      </c>
      <c r="J22" s="7">
        <f>IF('Per Invoice'!$V21="","",'Per Invoice'!K21)</f>
        <v/>
      </c>
      <c r="K22" s="7">
        <f>IF('Per Invoice'!$V21="","",'Per Invoice'!T21)</f>
        <v/>
      </c>
      <c r="L22" s="7">
        <f>IF('Per Invoice'!$V21="","",'Per Invoice'!S21)</f>
        <v/>
      </c>
    </row>
    <row r="23">
      <c r="A23">
        <f>IF('Per Invoice'!$V22="","",ROWS($A$3:A23))</f>
        <v/>
      </c>
      <c r="B23" s="11">
        <f>IF('Per Invoice'!$V22="","",'Per Invoice'!E22)</f>
        <v/>
      </c>
      <c r="C23">
        <f>IF('Per Invoice'!$V22="","",'Per Invoice'!G22)</f>
        <v/>
      </c>
      <c r="D23">
        <f>IF('Per Invoice'!$V22="","",'Per Invoice'!H22)</f>
        <v/>
      </c>
      <c r="E23">
        <f>IF('Per Invoice'!$V22="","",'Per Invoice'!F22)</f>
        <v/>
      </c>
      <c r="F23" s="7">
        <f>IF('Per Invoice'!$V22="","",'Per Invoice'!P22)</f>
        <v/>
      </c>
      <c r="G23" s="7">
        <f>IF('Per Invoice'!$V22="","",'Per Invoice'!Q22)</f>
        <v/>
      </c>
      <c r="H23" s="7">
        <f>IF('Per Invoice'!$V22="","",'Per Invoice'!M22)</f>
        <v/>
      </c>
      <c r="I23" s="7">
        <f>IF('Per Invoice'!$V22="","",'Per Invoice'!N22)</f>
        <v/>
      </c>
      <c r="J23" s="7">
        <f>IF('Per Invoice'!$V22="","",'Per Invoice'!K22)</f>
        <v/>
      </c>
      <c r="K23" s="7">
        <f>IF('Per Invoice'!$V22="","",'Per Invoice'!T22)</f>
        <v/>
      </c>
      <c r="L23" s="7">
        <f>IF('Per Invoice'!$V22="","",'Per Invoice'!S22)</f>
        <v/>
      </c>
    </row>
    <row r="24">
      <c r="A24">
        <f>IF('Per Invoice'!$V23="","",ROWS($A$3:A24))</f>
        <v/>
      </c>
      <c r="B24" s="11">
        <f>IF('Per Invoice'!$V23="","",'Per Invoice'!E23)</f>
        <v/>
      </c>
      <c r="C24">
        <f>IF('Per Invoice'!$V23="","",'Per Invoice'!G23)</f>
        <v/>
      </c>
      <c r="D24">
        <f>IF('Per Invoice'!$V23="","",'Per Invoice'!H23)</f>
        <v/>
      </c>
      <c r="E24">
        <f>IF('Per Invoice'!$V23="","",'Per Invoice'!F23)</f>
        <v/>
      </c>
      <c r="F24" s="7">
        <f>IF('Per Invoice'!$V23="","",'Per Invoice'!P23)</f>
        <v/>
      </c>
      <c r="G24" s="7">
        <f>IF('Per Invoice'!$V23="","",'Per Invoice'!Q23)</f>
        <v/>
      </c>
      <c r="H24" s="7">
        <f>IF('Per Invoice'!$V23="","",'Per Invoice'!M23)</f>
        <v/>
      </c>
      <c r="I24" s="7">
        <f>IF('Per Invoice'!$V23="","",'Per Invoice'!N23)</f>
        <v/>
      </c>
      <c r="J24" s="7">
        <f>IF('Per Invoice'!$V23="","",'Per Invoice'!K23)</f>
        <v/>
      </c>
      <c r="K24" s="7">
        <f>IF('Per Invoice'!$V23="","",'Per Invoice'!T23)</f>
        <v/>
      </c>
      <c r="L24" s="7">
        <f>IF('Per Invoice'!$V23="","",'Per Invoice'!S23)</f>
        <v/>
      </c>
    </row>
    <row r="25">
      <c r="A25">
        <f>IF('Per Invoice'!$V24="","",ROWS($A$3:A25))</f>
        <v/>
      </c>
      <c r="B25" s="11">
        <f>IF('Per Invoice'!$V24="","",'Per Invoice'!E24)</f>
        <v/>
      </c>
      <c r="C25">
        <f>IF('Per Invoice'!$V24="","",'Per Invoice'!G24)</f>
        <v/>
      </c>
      <c r="D25">
        <f>IF('Per Invoice'!$V24="","",'Per Invoice'!H24)</f>
        <v/>
      </c>
      <c r="E25">
        <f>IF('Per Invoice'!$V24="","",'Per Invoice'!F24)</f>
        <v/>
      </c>
      <c r="F25" s="7">
        <f>IF('Per Invoice'!$V24="","",'Per Invoice'!P24)</f>
        <v/>
      </c>
      <c r="G25" s="7">
        <f>IF('Per Invoice'!$V24="","",'Per Invoice'!Q24)</f>
        <v/>
      </c>
      <c r="H25" s="7">
        <f>IF('Per Invoice'!$V24="","",'Per Invoice'!M24)</f>
        <v/>
      </c>
      <c r="I25" s="7">
        <f>IF('Per Invoice'!$V24="","",'Per Invoice'!N24)</f>
        <v/>
      </c>
      <c r="J25" s="7">
        <f>IF('Per Invoice'!$V24="","",'Per Invoice'!K24)</f>
        <v/>
      </c>
      <c r="K25" s="7">
        <f>IF('Per Invoice'!$V24="","",'Per Invoice'!T24)</f>
        <v/>
      </c>
      <c r="L25" s="7">
        <f>IF('Per Invoice'!$V24="","",'Per Invoice'!S24)</f>
        <v/>
      </c>
    </row>
    <row r="26">
      <c r="A26">
        <f>IF('Per Invoice'!$V25="","",ROWS($A$3:A26))</f>
        <v/>
      </c>
      <c r="B26" s="11">
        <f>IF('Per Invoice'!$V25="","",'Per Invoice'!E25)</f>
        <v/>
      </c>
      <c r="C26">
        <f>IF('Per Invoice'!$V25="","",'Per Invoice'!G25)</f>
        <v/>
      </c>
      <c r="D26">
        <f>IF('Per Invoice'!$V25="","",'Per Invoice'!H25)</f>
        <v/>
      </c>
      <c r="E26">
        <f>IF('Per Invoice'!$V25="","",'Per Invoice'!F25)</f>
        <v/>
      </c>
      <c r="F26" s="7">
        <f>IF('Per Invoice'!$V25="","",'Per Invoice'!P25)</f>
        <v/>
      </c>
      <c r="G26" s="7">
        <f>IF('Per Invoice'!$V25="","",'Per Invoice'!Q25)</f>
        <v/>
      </c>
      <c r="H26" s="7">
        <f>IF('Per Invoice'!$V25="","",'Per Invoice'!M25)</f>
        <v/>
      </c>
      <c r="I26" s="7">
        <f>IF('Per Invoice'!$V25="","",'Per Invoice'!N25)</f>
        <v/>
      </c>
      <c r="J26" s="7">
        <f>IF('Per Invoice'!$V25="","",'Per Invoice'!K25)</f>
        <v/>
      </c>
      <c r="K26" s="7">
        <f>IF('Per Invoice'!$V25="","",'Per Invoice'!T25)</f>
        <v/>
      </c>
      <c r="L26" s="7">
        <f>IF('Per Invoice'!$V25="","",'Per Invoice'!S25)</f>
        <v/>
      </c>
    </row>
    <row r="27">
      <c r="A27">
        <f>IF('Per Invoice'!$V26="","",ROWS($A$3:A27))</f>
        <v/>
      </c>
      <c r="B27" s="11">
        <f>IF('Per Invoice'!$V26="","",'Per Invoice'!E26)</f>
        <v/>
      </c>
      <c r="C27">
        <f>IF('Per Invoice'!$V26="","",'Per Invoice'!G26)</f>
        <v/>
      </c>
      <c r="D27">
        <f>IF('Per Invoice'!$V26="","",'Per Invoice'!H26)</f>
        <v/>
      </c>
      <c r="E27">
        <f>IF('Per Invoice'!$V26="","",'Per Invoice'!F26)</f>
        <v/>
      </c>
      <c r="F27" s="7">
        <f>IF('Per Invoice'!$V26="","",'Per Invoice'!P26)</f>
        <v/>
      </c>
      <c r="G27" s="7">
        <f>IF('Per Invoice'!$V26="","",'Per Invoice'!Q26)</f>
        <v/>
      </c>
      <c r="H27" s="7">
        <f>IF('Per Invoice'!$V26="","",'Per Invoice'!M26)</f>
        <v/>
      </c>
      <c r="I27" s="7">
        <f>IF('Per Invoice'!$V26="","",'Per Invoice'!N26)</f>
        <v/>
      </c>
      <c r="J27" s="7">
        <f>IF('Per Invoice'!$V26="","",'Per Invoice'!K26)</f>
        <v/>
      </c>
      <c r="K27" s="7">
        <f>IF('Per Invoice'!$V26="","",'Per Invoice'!T26)</f>
        <v/>
      </c>
      <c r="L27" s="7">
        <f>IF('Per Invoice'!$V26="","",'Per Invoice'!S26)</f>
        <v/>
      </c>
    </row>
    <row r="28">
      <c r="A28">
        <f>IF('Per Invoice'!$V27="","",ROWS($A$3:A28))</f>
        <v/>
      </c>
      <c r="B28" s="11">
        <f>IF('Per Invoice'!$V27="","",'Per Invoice'!E27)</f>
        <v/>
      </c>
      <c r="C28">
        <f>IF('Per Invoice'!$V27="","",'Per Invoice'!G27)</f>
        <v/>
      </c>
      <c r="D28">
        <f>IF('Per Invoice'!$V27="","",'Per Invoice'!H27)</f>
        <v/>
      </c>
      <c r="E28">
        <f>IF('Per Invoice'!$V27="","",'Per Invoice'!F27)</f>
        <v/>
      </c>
      <c r="F28" s="7">
        <f>IF('Per Invoice'!$V27="","",'Per Invoice'!P27)</f>
        <v/>
      </c>
      <c r="G28" s="7">
        <f>IF('Per Invoice'!$V27="","",'Per Invoice'!Q27)</f>
        <v/>
      </c>
      <c r="H28" s="7">
        <f>IF('Per Invoice'!$V27="","",'Per Invoice'!M27)</f>
        <v/>
      </c>
      <c r="I28" s="7">
        <f>IF('Per Invoice'!$V27="","",'Per Invoice'!N27)</f>
        <v/>
      </c>
      <c r="J28" s="7">
        <f>IF('Per Invoice'!$V27="","",'Per Invoice'!K27)</f>
        <v/>
      </c>
      <c r="K28" s="7">
        <f>IF('Per Invoice'!$V27="","",'Per Invoice'!T27)</f>
        <v/>
      </c>
      <c r="L28" s="7">
        <f>IF('Per Invoice'!$V27="","",'Per Invoice'!S27)</f>
        <v/>
      </c>
    </row>
    <row r="29">
      <c r="A29">
        <f>IF('Per Invoice'!$V28="","",ROWS($A$3:A29))</f>
        <v/>
      </c>
      <c r="B29" s="11">
        <f>IF('Per Invoice'!$V28="","",'Per Invoice'!E28)</f>
        <v/>
      </c>
      <c r="C29">
        <f>IF('Per Invoice'!$V28="","",'Per Invoice'!G28)</f>
        <v/>
      </c>
      <c r="D29">
        <f>IF('Per Invoice'!$V28="","",'Per Invoice'!H28)</f>
        <v/>
      </c>
      <c r="E29">
        <f>IF('Per Invoice'!$V28="","",'Per Invoice'!F28)</f>
        <v/>
      </c>
      <c r="F29" s="7">
        <f>IF('Per Invoice'!$V28="","",'Per Invoice'!P28)</f>
        <v/>
      </c>
      <c r="G29" s="7">
        <f>IF('Per Invoice'!$V28="","",'Per Invoice'!Q28)</f>
        <v/>
      </c>
      <c r="H29" s="7">
        <f>IF('Per Invoice'!$V28="","",'Per Invoice'!M28)</f>
        <v/>
      </c>
      <c r="I29" s="7">
        <f>IF('Per Invoice'!$V28="","",'Per Invoice'!N28)</f>
        <v/>
      </c>
      <c r="J29" s="7">
        <f>IF('Per Invoice'!$V28="","",'Per Invoice'!K28)</f>
        <v/>
      </c>
      <c r="K29" s="7">
        <f>IF('Per Invoice'!$V28="","",'Per Invoice'!T28)</f>
        <v/>
      </c>
      <c r="L29" s="7">
        <f>IF('Per Invoice'!$V28="","",'Per Invoice'!S28)</f>
        <v/>
      </c>
    </row>
    <row r="30">
      <c r="A30">
        <f>IF('Per Invoice'!$V29="","",ROWS($A$3:A30))</f>
        <v/>
      </c>
      <c r="B30" s="11">
        <f>IF('Per Invoice'!$V29="","",'Per Invoice'!E29)</f>
        <v/>
      </c>
      <c r="C30">
        <f>IF('Per Invoice'!$V29="","",'Per Invoice'!G29)</f>
        <v/>
      </c>
      <c r="D30">
        <f>IF('Per Invoice'!$V29="","",'Per Invoice'!H29)</f>
        <v/>
      </c>
      <c r="E30">
        <f>IF('Per Invoice'!$V29="","",'Per Invoice'!F29)</f>
        <v/>
      </c>
      <c r="F30" s="7">
        <f>IF('Per Invoice'!$V29="","",'Per Invoice'!P29)</f>
        <v/>
      </c>
      <c r="G30" s="7">
        <f>IF('Per Invoice'!$V29="","",'Per Invoice'!Q29)</f>
        <v/>
      </c>
      <c r="H30" s="7">
        <f>IF('Per Invoice'!$V29="","",'Per Invoice'!M29)</f>
        <v/>
      </c>
      <c r="I30" s="7">
        <f>IF('Per Invoice'!$V29="","",'Per Invoice'!N29)</f>
        <v/>
      </c>
      <c r="J30" s="7">
        <f>IF('Per Invoice'!$V29="","",'Per Invoice'!K29)</f>
        <v/>
      </c>
      <c r="K30" s="7">
        <f>IF('Per Invoice'!$V29="","",'Per Invoice'!T29)</f>
        <v/>
      </c>
      <c r="L30" s="7">
        <f>IF('Per Invoice'!$V29="","",'Per Invoice'!S29)</f>
        <v/>
      </c>
    </row>
    <row r="31">
      <c r="A31">
        <f>IF('Per Invoice'!$V30="","",ROWS($A$3:A31))</f>
        <v/>
      </c>
      <c r="B31" s="11">
        <f>IF('Per Invoice'!$V30="","",'Per Invoice'!E30)</f>
        <v/>
      </c>
      <c r="C31">
        <f>IF('Per Invoice'!$V30="","",'Per Invoice'!G30)</f>
        <v/>
      </c>
      <c r="D31">
        <f>IF('Per Invoice'!$V30="","",'Per Invoice'!H30)</f>
        <v/>
      </c>
      <c r="E31">
        <f>IF('Per Invoice'!$V30="","",'Per Invoice'!F30)</f>
        <v/>
      </c>
      <c r="F31" s="7">
        <f>IF('Per Invoice'!$V30="","",'Per Invoice'!P30)</f>
        <v/>
      </c>
      <c r="G31" s="7">
        <f>IF('Per Invoice'!$V30="","",'Per Invoice'!Q30)</f>
        <v/>
      </c>
      <c r="H31" s="7">
        <f>IF('Per Invoice'!$V30="","",'Per Invoice'!M30)</f>
        <v/>
      </c>
      <c r="I31" s="7">
        <f>IF('Per Invoice'!$V30="","",'Per Invoice'!N30)</f>
        <v/>
      </c>
      <c r="J31" s="7">
        <f>IF('Per Invoice'!$V30="","",'Per Invoice'!K30)</f>
        <v/>
      </c>
      <c r="K31" s="7">
        <f>IF('Per Invoice'!$V30="","",'Per Invoice'!T30)</f>
        <v/>
      </c>
      <c r="L31" s="7">
        <f>IF('Per Invoice'!$V30="","",'Per Invoice'!S30)</f>
        <v/>
      </c>
    </row>
    <row r="32">
      <c r="A32">
        <f>IF('Per Invoice'!$V31="","",ROWS($A$3:A32))</f>
        <v/>
      </c>
      <c r="B32" s="11">
        <f>IF('Per Invoice'!$V31="","",'Per Invoice'!E31)</f>
        <v/>
      </c>
      <c r="C32">
        <f>IF('Per Invoice'!$V31="","",'Per Invoice'!G31)</f>
        <v/>
      </c>
      <c r="D32">
        <f>IF('Per Invoice'!$V31="","",'Per Invoice'!H31)</f>
        <v/>
      </c>
      <c r="E32">
        <f>IF('Per Invoice'!$V31="","",'Per Invoice'!F31)</f>
        <v/>
      </c>
      <c r="F32" s="7">
        <f>IF('Per Invoice'!$V31="","",'Per Invoice'!P31)</f>
        <v/>
      </c>
      <c r="G32" s="7">
        <f>IF('Per Invoice'!$V31="","",'Per Invoice'!Q31)</f>
        <v/>
      </c>
      <c r="H32" s="7">
        <f>IF('Per Invoice'!$V31="","",'Per Invoice'!M31)</f>
        <v/>
      </c>
      <c r="I32" s="7">
        <f>IF('Per Invoice'!$V31="","",'Per Invoice'!N31)</f>
        <v/>
      </c>
      <c r="J32" s="7">
        <f>IF('Per Invoice'!$V31="","",'Per Invoice'!K31)</f>
        <v/>
      </c>
      <c r="K32" s="7">
        <f>IF('Per Invoice'!$V31="","",'Per Invoice'!T31)</f>
        <v/>
      </c>
      <c r="L32" s="7">
        <f>IF('Per Invoice'!$V31="","",'Per Invoice'!S31)</f>
        <v/>
      </c>
    </row>
    <row r="33">
      <c r="A33">
        <f>IF('Per Invoice'!$V32="","",ROWS($A$3:A33))</f>
        <v/>
      </c>
      <c r="B33" s="11">
        <f>IF('Per Invoice'!$V32="","",'Per Invoice'!E32)</f>
        <v/>
      </c>
      <c r="C33">
        <f>IF('Per Invoice'!$V32="","",'Per Invoice'!G32)</f>
        <v/>
      </c>
      <c r="D33">
        <f>IF('Per Invoice'!$V32="","",'Per Invoice'!H32)</f>
        <v/>
      </c>
      <c r="E33">
        <f>IF('Per Invoice'!$V32="","",'Per Invoice'!F32)</f>
        <v/>
      </c>
      <c r="F33" s="7">
        <f>IF('Per Invoice'!$V32="","",'Per Invoice'!P32)</f>
        <v/>
      </c>
      <c r="G33" s="7">
        <f>IF('Per Invoice'!$V32="","",'Per Invoice'!Q32)</f>
        <v/>
      </c>
      <c r="H33" s="7">
        <f>IF('Per Invoice'!$V32="","",'Per Invoice'!M32)</f>
        <v/>
      </c>
      <c r="I33" s="7">
        <f>IF('Per Invoice'!$V32="","",'Per Invoice'!N32)</f>
        <v/>
      </c>
      <c r="J33" s="7">
        <f>IF('Per Invoice'!$V32="","",'Per Invoice'!K32)</f>
        <v/>
      </c>
      <c r="K33" s="7">
        <f>IF('Per Invoice'!$V32="","",'Per Invoice'!T32)</f>
        <v/>
      </c>
      <c r="L33" s="7">
        <f>IF('Per Invoice'!$V32="","",'Per Invoice'!S32)</f>
        <v/>
      </c>
    </row>
    <row r="34">
      <c r="A34">
        <f>IF('Per Invoice'!$V33="","",ROWS($A$3:A34))</f>
        <v/>
      </c>
      <c r="B34" s="11">
        <f>IF('Per Invoice'!$V33="","",'Per Invoice'!E33)</f>
        <v/>
      </c>
      <c r="C34">
        <f>IF('Per Invoice'!$V33="","",'Per Invoice'!G33)</f>
        <v/>
      </c>
      <c r="D34">
        <f>IF('Per Invoice'!$V33="","",'Per Invoice'!H33)</f>
        <v/>
      </c>
      <c r="E34">
        <f>IF('Per Invoice'!$V33="","",'Per Invoice'!F33)</f>
        <v/>
      </c>
      <c r="F34" s="7">
        <f>IF('Per Invoice'!$V33="","",'Per Invoice'!P33)</f>
        <v/>
      </c>
      <c r="G34" s="7">
        <f>IF('Per Invoice'!$V33="","",'Per Invoice'!Q33)</f>
        <v/>
      </c>
      <c r="H34" s="7">
        <f>IF('Per Invoice'!$V33="","",'Per Invoice'!M33)</f>
        <v/>
      </c>
      <c r="I34" s="7">
        <f>IF('Per Invoice'!$V33="","",'Per Invoice'!N33)</f>
        <v/>
      </c>
      <c r="J34" s="7">
        <f>IF('Per Invoice'!$V33="","",'Per Invoice'!K33)</f>
        <v/>
      </c>
      <c r="K34" s="7">
        <f>IF('Per Invoice'!$V33="","",'Per Invoice'!T33)</f>
        <v/>
      </c>
      <c r="L34" s="7">
        <f>IF('Per Invoice'!$V33="","",'Per Invoice'!S33)</f>
        <v/>
      </c>
    </row>
    <row r="35">
      <c r="A35">
        <f>IF('Per Invoice'!$V34="","",ROWS($A$3:A35))</f>
        <v/>
      </c>
      <c r="B35" s="11">
        <f>IF('Per Invoice'!$V34="","",'Per Invoice'!E34)</f>
        <v/>
      </c>
      <c r="C35">
        <f>IF('Per Invoice'!$V34="","",'Per Invoice'!G34)</f>
        <v/>
      </c>
      <c r="D35">
        <f>IF('Per Invoice'!$V34="","",'Per Invoice'!H34)</f>
        <v/>
      </c>
      <c r="E35">
        <f>IF('Per Invoice'!$V34="","",'Per Invoice'!F34)</f>
        <v/>
      </c>
      <c r="F35" s="7">
        <f>IF('Per Invoice'!$V34="","",'Per Invoice'!P34)</f>
        <v/>
      </c>
      <c r="G35" s="7">
        <f>IF('Per Invoice'!$V34="","",'Per Invoice'!Q34)</f>
        <v/>
      </c>
      <c r="H35" s="7">
        <f>IF('Per Invoice'!$V34="","",'Per Invoice'!M34)</f>
        <v/>
      </c>
      <c r="I35" s="7">
        <f>IF('Per Invoice'!$V34="","",'Per Invoice'!N34)</f>
        <v/>
      </c>
      <c r="J35" s="7">
        <f>IF('Per Invoice'!$V34="","",'Per Invoice'!K34)</f>
        <v/>
      </c>
      <c r="K35" s="7">
        <f>IF('Per Invoice'!$V34="","",'Per Invoice'!T34)</f>
        <v/>
      </c>
      <c r="L35" s="7">
        <f>IF('Per Invoice'!$V34="","",'Per Invoice'!S34)</f>
        <v/>
      </c>
    </row>
    <row r="36">
      <c r="A36">
        <f>IF('Per Invoice'!$V35="","",ROWS($A$3:A36))</f>
        <v/>
      </c>
      <c r="B36" s="11">
        <f>IF('Per Invoice'!$V35="","",'Per Invoice'!E35)</f>
        <v/>
      </c>
      <c r="C36">
        <f>IF('Per Invoice'!$V35="","",'Per Invoice'!G35)</f>
        <v/>
      </c>
      <c r="D36">
        <f>IF('Per Invoice'!$V35="","",'Per Invoice'!H35)</f>
        <v/>
      </c>
      <c r="E36">
        <f>IF('Per Invoice'!$V35="","",'Per Invoice'!F35)</f>
        <v/>
      </c>
      <c r="F36" s="7">
        <f>IF('Per Invoice'!$V35="","",'Per Invoice'!P35)</f>
        <v/>
      </c>
      <c r="G36" s="7">
        <f>IF('Per Invoice'!$V35="","",'Per Invoice'!Q35)</f>
        <v/>
      </c>
      <c r="H36" s="7">
        <f>IF('Per Invoice'!$V35="","",'Per Invoice'!M35)</f>
        <v/>
      </c>
      <c r="I36" s="7">
        <f>IF('Per Invoice'!$V35="","",'Per Invoice'!N35)</f>
        <v/>
      </c>
      <c r="J36" s="7">
        <f>IF('Per Invoice'!$V35="","",'Per Invoice'!K35)</f>
        <v/>
      </c>
      <c r="K36" s="7">
        <f>IF('Per Invoice'!$V35="","",'Per Invoice'!T35)</f>
        <v/>
      </c>
      <c r="L36" s="7">
        <f>IF('Per Invoice'!$V35="","",'Per Invoice'!S35)</f>
        <v/>
      </c>
    </row>
    <row r="37">
      <c r="A37">
        <f>IF('Per Invoice'!$V36="","",ROWS($A$3:A37))</f>
        <v/>
      </c>
      <c r="B37" s="11">
        <f>IF('Per Invoice'!$V36="","",'Per Invoice'!E36)</f>
        <v/>
      </c>
      <c r="C37">
        <f>IF('Per Invoice'!$V36="","",'Per Invoice'!G36)</f>
        <v/>
      </c>
      <c r="D37">
        <f>IF('Per Invoice'!$V36="","",'Per Invoice'!H36)</f>
        <v/>
      </c>
      <c r="E37">
        <f>IF('Per Invoice'!$V36="","",'Per Invoice'!F36)</f>
        <v/>
      </c>
      <c r="F37" s="7">
        <f>IF('Per Invoice'!$V36="","",'Per Invoice'!P36)</f>
        <v/>
      </c>
      <c r="G37" s="7">
        <f>IF('Per Invoice'!$V36="","",'Per Invoice'!Q36)</f>
        <v/>
      </c>
      <c r="H37" s="7">
        <f>IF('Per Invoice'!$V36="","",'Per Invoice'!M36)</f>
        <v/>
      </c>
      <c r="I37" s="7">
        <f>IF('Per Invoice'!$V36="","",'Per Invoice'!N36)</f>
        <v/>
      </c>
      <c r="J37" s="7">
        <f>IF('Per Invoice'!$V36="","",'Per Invoice'!K36)</f>
        <v/>
      </c>
      <c r="K37" s="7">
        <f>IF('Per Invoice'!$V36="","",'Per Invoice'!T36)</f>
        <v/>
      </c>
      <c r="L37" s="7">
        <f>IF('Per Invoice'!$V36="","",'Per Invoice'!S36)</f>
        <v/>
      </c>
    </row>
    <row r="38">
      <c r="A38">
        <f>IF('Per Invoice'!$V37="","",ROWS($A$3:A38))</f>
        <v/>
      </c>
      <c r="B38" s="11">
        <f>IF('Per Invoice'!$V37="","",'Per Invoice'!E37)</f>
        <v/>
      </c>
      <c r="C38">
        <f>IF('Per Invoice'!$V37="","",'Per Invoice'!G37)</f>
        <v/>
      </c>
      <c r="D38">
        <f>IF('Per Invoice'!$V37="","",'Per Invoice'!H37)</f>
        <v/>
      </c>
      <c r="E38">
        <f>IF('Per Invoice'!$V37="","",'Per Invoice'!F37)</f>
        <v/>
      </c>
      <c r="F38" s="7">
        <f>IF('Per Invoice'!$V37="","",'Per Invoice'!P37)</f>
        <v/>
      </c>
      <c r="G38" s="7">
        <f>IF('Per Invoice'!$V37="","",'Per Invoice'!Q37)</f>
        <v/>
      </c>
      <c r="H38" s="7">
        <f>IF('Per Invoice'!$V37="","",'Per Invoice'!M37)</f>
        <v/>
      </c>
      <c r="I38" s="7">
        <f>IF('Per Invoice'!$V37="","",'Per Invoice'!N37)</f>
        <v/>
      </c>
      <c r="J38" s="7">
        <f>IF('Per Invoice'!$V37="","",'Per Invoice'!K37)</f>
        <v/>
      </c>
      <c r="K38" s="7">
        <f>IF('Per Invoice'!$V37="","",'Per Invoice'!T37)</f>
        <v/>
      </c>
      <c r="L38" s="7">
        <f>IF('Per Invoice'!$V37="","",'Per Invoice'!S37)</f>
        <v/>
      </c>
    </row>
    <row r="39">
      <c r="A39">
        <f>IF('Per Invoice'!$V38="","",ROWS($A$3:A39))</f>
        <v/>
      </c>
      <c r="B39" s="11">
        <f>IF('Per Invoice'!$V38="","",'Per Invoice'!E38)</f>
        <v/>
      </c>
      <c r="C39">
        <f>IF('Per Invoice'!$V38="","",'Per Invoice'!G38)</f>
        <v/>
      </c>
      <c r="D39">
        <f>IF('Per Invoice'!$V38="","",'Per Invoice'!H38)</f>
        <v/>
      </c>
      <c r="E39">
        <f>IF('Per Invoice'!$V38="","",'Per Invoice'!F38)</f>
        <v/>
      </c>
      <c r="F39" s="7">
        <f>IF('Per Invoice'!$V38="","",'Per Invoice'!P38)</f>
        <v/>
      </c>
      <c r="G39" s="7">
        <f>IF('Per Invoice'!$V38="","",'Per Invoice'!Q38)</f>
        <v/>
      </c>
      <c r="H39" s="7">
        <f>IF('Per Invoice'!$V38="","",'Per Invoice'!M38)</f>
        <v/>
      </c>
      <c r="I39" s="7">
        <f>IF('Per Invoice'!$V38="","",'Per Invoice'!N38)</f>
        <v/>
      </c>
      <c r="J39" s="7">
        <f>IF('Per Invoice'!$V38="","",'Per Invoice'!K38)</f>
        <v/>
      </c>
      <c r="K39" s="7">
        <f>IF('Per Invoice'!$V38="","",'Per Invoice'!T38)</f>
        <v/>
      </c>
      <c r="L39" s="7">
        <f>IF('Per Invoice'!$V38="","",'Per Invoice'!S38)</f>
        <v/>
      </c>
    </row>
    <row r="40">
      <c r="A40">
        <f>IF('Per Invoice'!$V39="","",ROWS($A$3:A40))</f>
        <v/>
      </c>
      <c r="B40" s="11">
        <f>IF('Per Invoice'!$V39="","",'Per Invoice'!E39)</f>
        <v/>
      </c>
      <c r="C40">
        <f>IF('Per Invoice'!$V39="","",'Per Invoice'!G39)</f>
        <v/>
      </c>
      <c r="D40">
        <f>IF('Per Invoice'!$V39="","",'Per Invoice'!H39)</f>
        <v/>
      </c>
      <c r="E40">
        <f>IF('Per Invoice'!$V39="","",'Per Invoice'!F39)</f>
        <v/>
      </c>
      <c r="F40" s="7">
        <f>IF('Per Invoice'!$V39="","",'Per Invoice'!P39)</f>
        <v/>
      </c>
      <c r="G40" s="7">
        <f>IF('Per Invoice'!$V39="","",'Per Invoice'!Q39)</f>
        <v/>
      </c>
      <c r="H40" s="7">
        <f>IF('Per Invoice'!$V39="","",'Per Invoice'!M39)</f>
        <v/>
      </c>
      <c r="I40" s="7">
        <f>IF('Per Invoice'!$V39="","",'Per Invoice'!N39)</f>
        <v/>
      </c>
      <c r="J40" s="7">
        <f>IF('Per Invoice'!$V39="","",'Per Invoice'!K39)</f>
        <v/>
      </c>
      <c r="K40" s="7">
        <f>IF('Per Invoice'!$V39="","",'Per Invoice'!T39)</f>
        <v/>
      </c>
      <c r="L40" s="7">
        <f>IF('Per Invoice'!$V39="","",'Per Invoice'!S39)</f>
        <v/>
      </c>
    </row>
    <row r="41">
      <c r="A41">
        <f>IF('Per Invoice'!$V40="","",ROWS($A$3:A41))</f>
        <v/>
      </c>
      <c r="B41" s="11">
        <f>IF('Per Invoice'!$V40="","",'Per Invoice'!E40)</f>
        <v/>
      </c>
      <c r="C41">
        <f>IF('Per Invoice'!$V40="","",'Per Invoice'!G40)</f>
        <v/>
      </c>
      <c r="D41">
        <f>IF('Per Invoice'!$V40="","",'Per Invoice'!H40)</f>
        <v/>
      </c>
      <c r="E41">
        <f>IF('Per Invoice'!$V40="","",'Per Invoice'!F40)</f>
        <v/>
      </c>
      <c r="F41" s="7">
        <f>IF('Per Invoice'!$V40="","",'Per Invoice'!P40)</f>
        <v/>
      </c>
      <c r="G41" s="7">
        <f>IF('Per Invoice'!$V40="","",'Per Invoice'!Q40)</f>
        <v/>
      </c>
      <c r="H41" s="7">
        <f>IF('Per Invoice'!$V40="","",'Per Invoice'!M40)</f>
        <v/>
      </c>
      <c r="I41" s="7">
        <f>IF('Per Invoice'!$V40="","",'Per Invoice'!N40)</f>
        <v/>
      </c>
      <c r="J41" s="7">
        <f>IF('Per Invoice'!$V40="","",'Per Invoice'!K40)</f>
        <v/>
      </c>
      <c r="K41" s="7">
        <f>IF('Per Invoice'!$V40="","",'Per Invoice'!T40)</f>
        <v/>
      </c>
      <c r="L41" s="7">
        <f>IF('Per Invoice'!$V40="","",'Per Invoice'!S40)</f>
        <v/>
      </c>
    </row>
    <row r="42">
      <c r="A42">
        <f>IF('Per Invoice'!$V41="","",ROWS($A$3:A42))</f>
        <v/>
      </c>
      <c r="B42" s="11">
        <f>IF('Per Invoice'!$V41="","",'Per Invoice'!E41)</f>
        <v/>
      </c>
      <c r="C42">
        <f>IF('Per Invoice'!$V41="","",'Per Invoice'!G41)</f>
        <v/>
      </c>
      <c r="D42">
        <f>IF('Per Invoice'!$V41="","",'Per Invoice'!H41)</f>
        <v/>
      </c>
      <c r="E42">
        <f>IF('Per Invoice'!$V41="","",'Per Invoice'!F41)</f>
        <v/>
      </c>
      <c r="F42" s="7">
        <f>IF('Per Invoice'!$V41="","",'Per Invoice'!P41)</f>
        <v/>
      </c>
      <c r="G42" s="7">
        <f>IF('Per Invoice'!$V41="","",'Per Invoice'!Q41)</f>
        <v/>
      </c>
      <c r="H42" s="7">
        <f>IF('Per Invoice'!$V41="","",'Per Invoice'!M41)</f>
        <v/>
      </c>
      <c r="I42" s="7">
        <f>IF('Per Invoice'!$V41="","",'Per Invoice'!N41)</f>
        <v/>
      </c>
      <c r="J42" s="7">
        <f>IF('Per Invoice'!$V41="","",'Per Invoice'!K41)</f>
        <v/>
      </c>
      <c r="K42" s="7">
        <f>IF('Per Invoice'!$V41="","",'Per Invoice'!T41)</f>
        <v/>
      </c>
      <c r="L42" s="7">
        <f>IF('Per Invoice'!$V41="","",'Per Invoice'!S41)</f>
        <v/>
      </c>
    </row>
    <row r="43">
      <c r="A43">
        <f>IF('Per Invoice'!$V42="","",ROWS($A$3:A43))</f>
        <v/>
      </c>
      <c r="B43" s="11">
        <f>IF('Per Invoice'!$V42="","",'Per Invoice'!E42)</f>
        <v/>
      </c>
      <c r="C43">
        <f>IF('Per Invoice'!$V42="","",'Per Invoice'!G42)</f>
        <v/>
      </c>
      <c r="D43">
        <f>IF('Per Invoice'!$V42="","",'Per Invoice'!H42)</f>
        <v/>
      </c>
      <c r="E43">
        <f>IF('Per Invoice'!$V42="","",'Per Invoice'!F42)</f>
        <v/>
      </c>
      <c r="F43" s="7">
        <f>IF('Per Invoice'!$V42="","",'Per Invoice'!P42)</f>
        <v/>
      </c>
      <c r="G43" s="7">
        <f>IF('Per Invoice'!$V42="","",'Per Invoice'!Q42)</f>
        <v/>
      </c>
      <c r="H43" s="7">
        <f>IF('Per Invoice'!$V42="","",'Per Invoice'!M42)</f>
        <v/>
      </c>
      <c r="I43" s="7">
        <f>IF('Per Invoice'!$V42="","",'Per Invoice'!N42)</f>
        <v/>
      </c>
      <c r="J43" s="7">
        <f>IF('Per Invoice'!$V42="","",'Per Invoice'!K42)</f>
        <v/>
      </c>
      <c r="K43" s="7">
        <f>IF('Per Invoice'!$V42="","",'Per Invoice'!T42)</f>
        <v/>
      </c>
      <c r="L43" s="7">
        <f>IF('Per Invoice'!$V42="","",'Per Invoice'!S42)</f>
        <v/>
      </c>
    </row>
    <row r="44">
      <c r="A44">
        <f>IF('Per Invoice'!$V43="","",ROWS($A$3:A44))</f>
        <v/>
      </c>
      <c r="B44" s="11">
        <f>IF('Per Invoice'!$V43="","",'Per Invoice'!E43)</f>
        <v/>
      </c>
      <c r="C44">
        <f>IF('Per Invoice'!$V43="","",'Per Invoice'!G43)</f>
        <v/>
      </c>
      <c r="D44">
        <f>IF('Per Invoice'!$V43="","",'Per Invoice'!H43)</f>
        <v/>
      </c>
      <c r="E44">
        <f>IF('Per Invoice'!$V43="","",'Per Invoice'!F43)</f>
        <v/>
      </c>
      <c r="F44" s="7">
        <f>IF('Per Invoice'!$V43="","",'Per Invoice'!P43)</f>
        <v/>
      </c>
      <c r="G44" s="7">
        <f>IF('Per Invoice'!$V43="","",'Per Invoice'!Q43)</f>
        <v/>
      </c>
      <c r="H44" s="7">
        <f>IF('Per Invoice'!$V43="","",'Per Invoice'!M43)</f>
        <v/>
      </c>
      <c r="I44" s="7">
        <f>IF('Per Invoice'!$V43="","",'Per Invoice'!N43)</f>
        <v/>
      </c>
      <c r="J44" s="7">
        <f>IF('Per Invoice'!$V43="","",'Per Invoice'!K43)</f>
        <v/>
      </c>
      <c r="K44" s="7">
        <f>IF('Per Invoice'!$V43="","",'Per Invoice'!T43)</f>
        <v/>
      </c>
      <c r="L44" s="7">
        <f>IF('Per Invoice'!$V43="","",'Per Invoice'!S43)</f>
        <v/>
      </c>
    </row>
    <row r="45">
      <c r="A45">
        <f>IF('Per Invoice'!$V44="","",ROWS($A$3:A45))</f>
        <v/>
      </c>
      <c r="B45" s="11">
        <f>IF('Per Invoice'!$V44="","",'Per Invoice'!E44)</f>
        <v/>
      </c>
      <c r="C45">
        <f>IF('Per Invoice'!$V44="","",'Per Invoice'!G44)</f>
        <v/>
      </c>
      <c r="D45">
        <f>IF('Per Invoice'!$V44="","",'Per Invoice'!H44)</f>
        <v/>
      </c>
      <c r="E45">
        <f>IF('Per Invoice'!$V44="","",'Per Invoice'!F44)</f>
        <v/>
      </c>
      <c r="F45" s="7">
        <f>IF('Per Invoice'!$V44="","",'Per Invoice'!P44)</f>
        <v/>
      </c>
      <c r="G45" s="7">
        <f>IF('Per Invoice'!$V44="","",'Per Invoice'!Q44)</f>
        <v/>
      </c>
      <c r="H45" s="7">
        <f>IF('Per Invoice'!$V44="","",'Per Invoice'!M44)</f>
        <v/>
      </c>
      <c r="I45" s="7">
        <f>IF('Per Invoice'!$V44="","",'Per Invoice'!N44)</f>
        <v/>
      </c>
      <c r="J45" s="7">
        <f>IF('Per Invoice'!$V44="","",'Per Invoice'!K44)</f>
        <v/>
      </c>
      <c r="K45" s="7">
        <f>IF('Per Invoice'!$V44="","",'Per Invoice'!T44)</f>
        <v/>
      </c>
      <c r="L45" s="7">
        <f>IF('Per Invoice'!$V44="","",'Per Invoice'!S44)</f>
        <v/>
      </c>
    </row>
    <row r="46">
      <c r="A46">
        <f>IF('Per Invoice'!$V45="","",ROWS($A$3:A46))</f>
        <v/>
      </c>
      <c r="B46" s="11">
        <f>IF('Per Invoice'!$V45="","",'Per Invoice'!E45)</f>
        <v/>
      </c>
      <c r="C46">
        <f>IF('Per Invoice'!$V45="","",'Per Invoice'!G45)</f>
        <v/>
      </c>
      <c r="D46">
        <f>IF('Per Invoice'!$V45="","",'Per Invoice'!H45)</f>
        <v/>
      </c>
      <c r="E46">
        <f>IF('Per Invoice'!$V45="","",'Per Invoice'!F45)</f>
        <v/>
      </c>
      <c r="F46" s="7">
        <f>IF('Per Invoice'!$V45="","",'Per Invoice'!P45)</f>
        <v/>
      </c>
      <c r="G46" s="7">
        <f>IF('Per Invoice'!$V45="","",'Per Invoice'!Q45)</f>
        <v/>
      </c>
      <c r="H46" s="7">
        <f>IF('Per Invoice'!$V45="","",'Per Invoice'!M45)</f>
        <v/>
      </c>
      <c r="I46" s="7">
        <f>IF('Per Invoice'!$V45="","",'Per Invoice'!N45)</f>
        <v/>
      </c>
      <c r="J46" s="7">
        <f>IF('Per Invoice'!$V45="","",'Per Invoice'!K45)</f>
        <v/>
      </c>
      <c r="K46" s="7">
        <f>IF('Per Invoice'!$V45="","",'Per Invoice'!T45)</f>
        <v/>
      </c>
      <c r="L46" s="7">
        <f>IF('Per Invoice'!$V45="","",'Per Invoice'!S45)</f>
        <v/>
      </c>
    </row>
    <row r="47">
      <c r="A47">
        <f>IF('Per Invoice'!$V46="","",ROWS($A$3:A47))</f>
        <v/>
      </c>
      <c r="B47" s="11">
        <f>IF('Per Invoice'!$V46="","",'Per Invoice'!E46)</f>
        <v/>
      </c>
      <c r="C47">
        <f>IF('Per Invoice'!$V46="","",'Per Invoice'!G46)</f>
        <v/>
      </c>
      <c r="D47">
        <f>IF('Per Invoice'!$V46="","",'Per Invoice'!H46)</f>
        <v/>
      </c>
      <c r="E47">
        <f>IF('Per Invoice'!$V46="","",'Per Invoice'!F46)</f>
        <v/>
      </c>
      <c r="F47" s="7">
        <f>IF('Per Invoice'!$V46="","",'Per Invoice'!P46)</f>
        <v/>
      </c>
      <c r="G47" s="7">
        <f>IF('Per Invoice'!$V46="","",'Per Invoice'!Q46)</f>
        <v/>
      </c>
      <c r="H47" s="7">
        <f>IF('Per Invoice'!$V46="","",'Per Invoice'!M46)</f>
        <v/>
      </c>
      <c r="I47" s="7">
        <f>IF('Per Invoice'!$V46="","",'Per Invoice'!N46)</f>
        <v/>
      </c>
      <c r="J47" s="7">
        <f>IF('Per Invoice'!$V46="","",'Per Invoice'!K46)</f>
        <v/>
      </c>
      <c r="K47" s="7">
        <f>IF('Per Invoice'!$V46="","",'Per Invoice'!T46)</f>
        <v/>
      </c>
      <c r="L47" s="7">
        <f>IF('Per Invoice'!$V46="","",'Per Invoice'!S46)</f>
        <v/>
      </c>
    </row>
    <row r="48">
      <c r="A48">
        <f>IF('Per Invoice'!$V47="","",ROWS($A$3:A48))</f>
        <v/>
      </c>
      <c r="B48" s="11">
        <f>IF('Per Invoice'!$V47="","",'Per Invoice'!E47)</f>
        <v/>
      </c>
      <c r="C48">
        <f>IF('Per Invoice'!$V47="","",'Per Invoice'!G47)</f>
        <v/>
      </c>
      <c r="D48">
        <f>IF('Per Invoice'!$V47="","",'Per Invoice'!H47)</f>
        <v/>
      </c>
      <c r="E48">
        <f>IF('Per Invoice'!$V47="","",'Per Invoice'!F47)</f>
        <v/>
      </c>
      <c r="F48" s="7">
        <f>IF('Per Invoice'!$V47="","",'Per Invoice'!P47)</f>
        <v/>
      </c>
      <c r="G48" s="7">
        <f>IF('Per Invoice'!$V47="","",'Per Invoice'!Q47)</f>
        <v/>
      </c>
      <c r="H48" s="7">
        <f>IF('Per Invoice'!$V47="","",'Per Invoice'!M47)</f>
        <v/>
      </c>
      <c r="I48" s="7">
        <f>IF('Per Invoice'!$V47="","",'Per Invoice'!N47)</f>
        <v/>
      </c>
      <c r="J48" s="7">
        <f>IF('Per Invoice'!$V47="","",'Per Invoice'!K47)</f>
        <v/>
      </c>
      <c r="K48" s="7">
        <f>IF('Per Invoice'!$V47="","",'Per Invoice'!T47)</f>
        <v/>
      </c>
      <c r="L48" s="7">
        <f>IF('Per Invoice'!$V47="","",'Per Invoice'!S47)</f>
        <v/>
      </c>
    </row>
    <row r="49">
      <c r="A49">
        <f>IF('Per Invoice'!$V48="","",ROWS($A$3:A49))</f>
        <v/>
      </c>
      <c r="B49" s="11">
        <f>IF('Per Invoice'!$V48="","",'Per Invoice'!E48)</f>
        <v/>
      </c>
      <c r="C49">
        <f>IF('Per Invoice'!$V48="","",'Per Invoice'!G48)</f>
        <v/>
      </c>
      <c r="D49">
        <f>IF('Per Invoice'!$V48="","",'Per Invoice'!H48)</f>
        <v/>
      </c>
      <c r="E49">
        <f>IF('Per Invoice'!$V48="","",'Per Invoice'!F48)</f>
        <v/>
      </c>
      <c r="F49" s="7">
        <f>IF('Per Invoice'!$V48="","",'Per Invoice'!P48)</f>
        <v/>
      </c>
      <c r="G49" s="7">
        <f>IF('Per Invoice'!$V48="","",'Per Invoice'!Q48)</f>
        <v/>
      </c>
      <c r="H49" s="7">
        <f>IF('Per Invoice'!$V48="","",'Per Invoice'!M48)</f>
        <v/>
      </c>
      <c r="I49" s="7">
        <f>IF('Per Invoice'!$V48="","",'Per Invoice'!N48)</f>
        <v/>
      </c>
      <c r="J49" s="7">
        <f>IF('Per Invoice'!$V48="","",'Per Invoice'!K48)</f>
        <v/>
      </c>
      <c r="K49" s="7">
        <f>IF('Per Invoice'!$V48="","",'Per Invoice'!T48)</f>
        <v/>
      </c>
      <c r="L49" s="7">
        <f>IF('Per Invoice'!$V48="","",'Per Invoice'!S48)</f>
        <v/>
      </c>
    </row>
    <row r="50">
      <c r="A50">
        <f>IF('Per Invoice'!$V49="","",ROWS($A$3:A50))</f>
        <v/>
      </c>
      <c r="B50" s="11">
        <f>IF('Per Invoice'!$V49="","",'Per Invoice'!E49)</f>
        <v/>
      </c>
      <c r="C50">
        <f>IF('Per Invoice'!$V49="","",'Per Invoice'!G49)</f>
        <v/>
      </c>
      <c r="D50">
        <f>IF('Per Invoice'!$V49="","",'Per Invoice'!H49)</f>
        <v/>
      </c>
      <c r="E50">
        <f>IF('Per Invoice'!$V49="","",'Per Invoice'!F49)</f>
        <v/>
      </c>
      <c r="F50" s="7">
        <f>IF('Per Invoice'!$V49="","",'Per Invoice'!P49)</f>
        <v/>
      </c>
      <c r="G50" s="7">
        <f>IF('Per Invoice'!$V49="","",'Per Invoice'!Q49)</f>
        <v/>
      </c>
      <c r="H50" s="7">
        <f>IF('Per Invoice'!$V49="","",'Per Invoice'!M49)</f>
        <v/>
      </c>
      <c r="I50" s="7">
        <f>IF('Per Invoice'!$V49="","",'Per Invoice'!N49)</f>
        <v/>
      </c>
      <c r="J50" s="7">
        <f>IF('Per Invoice'!$V49="","",'Per Invoice'!K49)</f>
        <v/>
      </c>
      <c r="K50" s="7">
        <f>IF('Per Invoice'!$V49="","",'Per Invoice'!T49)</f>
        <v/>
      </c>
      <c r="L50" s="7">
        <f>IF('Per Invoice'!$V49="","",'Per Invoice'!S49)</f>
        <v/>
      </c>
    </row>
    <row r="51">
      <c r="A51">
        <f>IF('Per Invoice'!$V50="","",ROWS($A$3:A51))</f>
        <v/>
      </c>
      <c r="B51" s="11">
        <f>IF('Per Invoice'!$V50="","",'Per Invoice'!E50)</f>
        <v/>
      </c>
      <c r="C51">
        <f>IF('Per Invoice'!$V50="","",'Per Invoice'!G50)</f>
        <v/>
      </c>
      <c r="D51">
        <f>IF('Per Invoice'!$V50="","",'Per Invoice'!H50)</f>
        <v/>
      </c>
      <c r="E51">
        <f>IF('Per Invoice'!$V50="","",'Per Invoice'!F50)</f>
        <v/>
      </c>
      <c r="F51" s="7">
        <f>IF('Per Invoice'!$V50="","",'Per Invoice'!P50)</f>
        <v/>
      </c>
      <c r="G51" s="7">
        <f>IF('Per Invoice'!$V50="","",'Per Invoice'!Q50)</f>
        <v/>
      </c>
      <c r="H51" s="7">
        <f>IF('Per Invoice'!$V50="","",'Per Invoice'!M50)</f>
        <v/>
      </c>
      <c r="I51" s="7">
        <f>IF('Per Invoice'!$V50="","",'Per Invoice'!N50)</f>
        <v/>
      </c>
      <c r="J51" s="7">
        <f>IF('Per Invoice'!$V50="","",'Per Invoice'!K50)</f>
        <v/>
      </c>
      <c r="K51" s="7">
        <f>IF('Per Invoice'!$V50="","",'Per Invoice'!T50)</f>
        <v/>
      </c>
      <c r="L51" s="7">
        <f>IF('Per Invoice'!$V50="","",'Per Invoice'!S50)</f>
        <v/>
      </c>
    </row>
    <row r="52">
      <c r="A52">
        <f>IF('Per Invoice'!$V51="","",ROWS($A$3:A52))</f>
        <v/>
      </c>
      <c r="B52" s="11">
        <f>IF('Per Invoice'!$V51="","",'Per Invoice'!E51)</f>
        <v/>
      </c>
      <c r="C52">
        <f>IF('Per Invoice'!$V51="","",'Per Invoice'!G51)</f>
        <v/>
      </c>
      <c r="D52">
        <f>IF('Per Invoice'!$V51="","",'Per Invoice'!H51)</f>
        <v/>
      </c>
      <c r="E52">
        <f>IF('Per Invoice'!$V51="","",'Per Invoice'!F51)</f>
        <v/>
      </c>
      <c r="F52" s="7">
        <f>IF('Per Invoice'!$V51="","",'Per Invoice'!P51)</f>
        <v/>
      </c>
      <c r="G52" s="7">
        <f>IF('Per Invoice'!$V51="","",'Per Invoice'!Q51)</f>
        <v/>
      </c>
      <c r="H52" s="7">
        <f>IF('Per Invoice'!$V51="","",'Per Invoice'!M51)</f>
        <v/>
      </c>
      <c r="I52" s="7">
        <f>IF('Per Invoice'!$V51="","",'Per Invoice'!N51)</f>
        <v/>
      </c>
      <c r="J52" s="7">
        <f>IF('Per Invoice'!$V51="","",'Per Invoice'!K51)</f>
        <v/>
      </c>
      <c r="K52" s="7">
        <f>IF('Per Invoice'!$V51="","",'Per Invoice'!T51)</f>
        <v/>
      </c>
      <c r="L52" s="7">
        <f>IF('Per Invoice'!$V51="","",'Per Invoice'!S51)</f>
        <v/>
      </c>
    </row>
    <row r="53">
      <c r="A53">
        <f>IF('Per Invoice'!$V52="","",ROWS($A$3:A53))</f>
        <v/>
      </c>
      <c r="B53" s="11">
        <f>IF('Per Invoice'!$V52="","",'Per Invoice'!E52)</f>
        <v/>
      </c>
      <c r="C53">
        <f>IF('Per Invoice'!$V52="","",'Per Invoice'!G52)</f>
        <v/>
      </c>
      <c r="D53">
        <f>IF('Per Invoice'!$V52="","",'Per Invoice'!H52)</f>
        <v/>
      </c>
      <c r="E53">
        <f>IF('Per Invoice'!$V52="","",'Per Invoice'!F52)</f>
        <v/>
      </c>
      <c r="F53" s="7">
        <f>IF('Per Invoice'!$V52="","",'Per Invoice'!P52)</f>
        <v/>
      </c>
      <c r="G53" s="7">
        <f>IF('Per Invoice'!$V52="","",'Per Invoice'!Q52)</f>
        <v/>
      </c>
      <c r="H53" s="7">
        <f>IF('Per Invoice'!$V52="","",'Per Invoice'!M52)</f>
        <v/>
      </c>
      <c r="I53" s="7">
        <f>IF('Per Invoice'!$V52="","",'Per Invoice'!N52)</f>
        <v/>
      </c>
      <c r="J53" s="7">
        <f>IF('Per Invoice'!$V52="","",'Per Invoice'!K52)</f>
        <v/>
      </c>
      <c r="K53" s="7">
        <f>IF('Per Invoice'!$V52="","",'Per Invoice'!T52)</f>
        <v/>
      </c>
      <c r="L53" s="7">
        <f>IF('Per Invoice'!$V52="","",'Per Invoice'!S52)</f>
        <v/>
      </c>
    </row>
    <row r="54">
      <c r="A54">
        <f>IF('Per Invoice'!$V53="","",ROWS($A$3:A54))</f>
        <v/>
      </c>
      <c r="B54" s="11">
        <f>IF('Per Invoice'!$V53="","",'Per Invoice'!E53)</f>
        <v/>
      </c>
      <c r="C54">
        <f>IF('Per Invoice'!$V53="","",'Per Invoice'!G53)</f>
        <v/>
      </c>
      <c r="D54">
        <f>IF('Per Invoice'!$V53="","",'Per Invoice'!H53)</f>
        <v/>
      </c>
      <c r="E54">
        <f>IF('Per Invoice'!$V53="","",'Per Invoice'!F53)</f>
        <v/>
      </c>
      <c r="F54" s="7">
        <f>IF('Per Invoice'!$V53="","",'Per Invoice'!P53)</f>
        <v/>
      </c>
      <c r="G54" s="7">
        <f>IF('Per Invoice'!$V53="","",'Per Invoice'!Q53)</f>
        <v/>
      </c>
      <c r="H54" s="7">
        <f>IF('Per Invoice'!$V53="","",'Per Invoice'!M53)</f>
        <v/>
      </c>
      <c r="I54" s="7">
        <f>IF('Per Invoice'!$V53="","",'Per Invoice'!N53)</f>
        <v/>
      </c>
      <c r="J54" s="7">
        <f>IF('Per Invoice'!$V53="","",'Per Invoice'!K53)</f>
        <v/>
      </c>
      <c r="K54" s="7">
        <f>IF('Per Invoice'!$V53="","",'Per Invoice'!T53)</f>
        <v/>
      </c>
      <c r="L54" s="7">
        <f>IF('Per Invoice'!$V53="","",'Per Invoice'!S53)</f>
        <v/>
      </c>
    </row>
    <row r="55">
      <c r="A55">
        <f>IF('Per Invoice'!$V54="","",ROWS($A$3:A55))</f>
        <v/>
      </c>
      <c r="B55" s="11">
        <f>IF('Per Invoice'!$V54="","",'Per Invoice'!E54)</f>
        <v/>
      </c>
      <c r="C55">
        <f>IF('Per Invoice'!$V54="","",'Per Invoice'!G54)</f>
        <v/>
      </c>
      <c r="D55">
        <f>IF('Per Invoice'!$V54="","",'Per Invoice'!H54)</f>
        <v/>
      </c>
      <c r="E55">
        <f>IF('Per Invoice'!$V54="","",'Per Invoice'!F54)</f>
        <v/>
      </c>
      <c r="F55" s="7">
        <f>IF('Per Invoice'!$V54="","",'Per Invoice'!P54)</f>
        <v/>
      </c>
      <c r="G55" s="7">
        <f>IF('Per Invoice'!$V54="","",'Per Invoice'!Q54)</f>
        <v/>
      </c>
      <c r="H55" s="7">
        <f>IF('Per Invoice'!$V54="","",'Per Invoice'!M54)</f>
        <v/>
      </c>
      <c r="I55" s="7">
        <f>IF('Per Invoice'!$V54="","",'Per Invoice'!N54)</f>
        <v/>
      </c>
      <c r="J55" s="7">
        <f>IF('Per Invoice'!$V54="","",'Per Invoice'!K54)</f>
        <v/>
      </c>
      <c r="K55" s="7">
        <f>IF('Per Invoice'!$V54="","",'Per Invoice'!T54)</f>
        <v/>
      </c>
      <c r="L55" s="7">
        <f>IF('Per Invoice'!$V54="","",'Per Invoice'!S54)</f>
        <v/>
      </c>
    </row>
    <row r="56">
      <c r="A56">
        <f>IF('Per Invoice'!$V55="","",ROWS($A$3:A56))</f>
        <v/>
      </c>
      <c r="B56" s="11">
        <f>IF('Per Invoice'!$V55="","",'Per Invoice'!E55)</f>
        <v/>
      </c>
      <c r="C56">
        <f>IF('Per Invoice'!$V55="","",'Per Invoice'!G55)</f>
        <v/>
      </c>
      <c r="D56">
        <f>IF('Per Invoice'!$V55="","",'Per Invoice'!H55)</f>
        <v/>
      </c>
      <c r="E56">
        <f>IF('Per Invoice'!$V55="","",'Per Invoice'!F55)</f>
        <v/>
      </c>
      <c r="F56" s="7">
        <f>IF('Per Invoice'!$V55="","",'Per Invoice'!P55)</f>
        <v/>
      </c>
      <c r="G56" s="7">
        <f>IF('Per Invoice'!$V55="","",'Per Invoice'!Q55)</f>
        <v/>
      </c>
      <c r="H56" s="7">
        <f>IF('Per Invoice'!$V55="","",'Per Invoice'!M55)</f>
        <v/>
      </c>
      <c r="I56" s="7">
        <f>IF('Per Invoice'!$V55="","",'Per Invoice'!N55)</f>
        <v/>
      </c>
      <c r="J56" s="7">
        <f>IF('Per Invoice'!$V55="","",'Per Invoice'!K55)</f>
        <v/>
      </c>
      <c r="K56" s="7">
        <f>IF('Per Invoice'!$V55="","",'Per Invoice'!T55)</f>
        <v/>
      </c>
      <c r="L56" s="7">
        <f>IF('Per Invoice'!$V55="","",'Per Invoice'!S55)</f>
        <v/>
      </c>
    </row>
    <row r="57">
      <c r="A57">
        <f>IF('Per Invoice'!$V56="","",ROWS($A$3:A57))</f>
        <v/>
      </c>
      <c r="B57" s="11">
        <f>IF('Per Invoice'!$V56="","",'Per Invoice'!E56)</f>
        <v/>
      </c>
      <c r="C57">
        <f>IF('Per Invoice'!$V56="","",'Per Invoice'!G56)</f>
        <v/>
      </c>
      <c r="D57">
        <f>IF('Per Invoice'!$V56="","",'Per Invoice'!H56)</f>
        <v/>
      </c>
      <c r="E57">
        <f>IF('Per Invoice'!$V56="","",'Per Invoice'!F56)</f>
        <v/>
      </c>
      <c r="F57" s="7">
        <f>IF('Per Invoice'!$V56="","",'Per Invoice'!P56)</f>
        <v/>
      </c>
      <c r="G57" s="7">
        <f>IF('Per Invoice'!$V56="","",'Per Invoice'!Q56)</f>
        <v/>
      </c>
      <c r="H57" s="7">
        <f>IF('Per Invoice'!$V56="","",'Per Invoice'!M56)</f>
        <v/>
      </c>
      <c r="I57" s="7">
        <f>IF('Per Invoice'!$V56="","",'Per Invoice'!N56)</f>
        <v/>
      </c>
      <c r="J57" s="7">
        <f>IF('Per Invoice'!$V56="","",'Per Invoice'!K56)</f>
        <v/>
      </c>
      <c r="K57" s="7">
        <f>IF('Per Invoice'!$V56="","",'Per Invoice'!T56)</f>
        <v/>
      </c>
      <c r="L57" s="7">
        <f>IF('Per Invoice'!$V56="","",'Per Invoice'!S56)</f>
        <v/>
      </c>
    </row>
    <row r="58">
      <c r="A58">
        <f>IF('Per Invoice'!$V57="","",ROWS($A$3:A58))</f>
        <v/>
      </c>
      <c r="B58" s="11">
        <f>IF('Per Invoice'!$V57="","",'Per Invoice'!E57)</f>
        <v/>
      </c>
      <c r="C58">
        <f>IF('Per Invoice'!$V57="","",'Per Invoice'!G57)</f>
        <v/>
      </c>
      <c r="D58">
        <f>IF('Per Invoice'!$V57="","",'Per Invoice'!H57)</f>
        <v/>
      </c>
      <c r="E58">
        <f>IF('Per Invoice'!$V57="","",'Per Invoice'!F57)</f>
        <v/>
      </c>
      <c r="F58" s="7">
        <f>IF('Per Invoice'!$V57="","",'Per Invoice'!P57)</f>
        <v/>
      </c>
      <c r="G58" s="7">
        <f>IF('Per Invoice'!$V57="","",'Per Invoice'!Q57)</f>
        <v/>
      </c>
      <c r="H58" s="7">
        <f>IF('Per Invoice'!$V57="","",'Per Invoice'!M57)</f>
        <v/>
      </c>
      <c r="I58" s="7">
        <f>IF('Per Invoice'!$V57="","",'Per Invoice'!N57)</f>
        <v/>
      </c>
      <c r="J58" s="7">
        <f>IF('Per Invoice'!$V57="","",'Per Invoice'!K57)</f>
        <v/>
      </c>
      <c r="K58" s="7">
        <f>IF('Per Invoice'!$V57="","",'Per Invoice'!T57)</f>
        <v/>
      </c>
      <c r="L58" s="7">
        <f>IF('Per Invoice'!$V57="","",'Per Invoice'!S57)</f>
        <v/>
      </c>
    </row>
    <row r="59">
      <c r="A59">
        <f>IF('Per Invoice'!$V58="","",ROWS($A$3:A59))</f>
        <v/>
      </c>
      <c r="B59" s="11">
        <f>IF('Per Invoice'!$V58="","",'Per Invoice'!E58)</f>
        <v/>
      </c>
      <c r="C59">
        <f>IF('Per Invoice'!$V58="","",'Per Invoice'!G58)</f>
        <v/>
      </c>
      <c r="D59">
        <f>IF('Per Invoice'!$V58="","",'Per Invoice'!H58)</f>
        <v/>
      </c>
      <c r="E59">
        <f>IF('Per Invoice'!$V58="","",'Per Invoice'!F58)</f>
        <v/>
      </c>
      <c r="F59" s="7">
        <f>IF('Per Invoice'!$V58="","",'Per Invoice'!P58)</f>
        <v/>
      </c>
      <c r="G59" s="7">
        <f>IF('Per Invoice'!$V58="","",'Per Invoice'!Q58)</f>
        <v/>
      </c>
      <c r="H59" s="7">
        <f>IF('Per Invoice'!$V58="","",'Per Invoice'!M58)</f>
        <v/>
      </c>
      <c r="I59" s="7">
        <f>IF('Per Invoice'!$V58="","",'Per Invoice'!N58)</f>
        <v/>
      </c>
      <c r="J59" s="7">
        <f>IF('Per Invoice'!$V58="","",'Per Invoice'!K58)</f>
        <v/>
      </c>
      <c r="K59" s="7">
        <f>IF('Per Invoice'!$V58="","",'Per Invoice'!T58)</f>
        <v/>
      </c>
      <c r="L59" s="7">
        <f>IF('Per Invoice'!$V58="","",'Per Invoice'!S58)</f>
        <v/>
      </c>
    </row>
    <row r="60">
      <c r="A60">
        <f>IF('Per Invoice'!$V59="","",ROWS($A$3:A60))</f>
        <v/>
      </c>
      <c r="B60" s="11">
        <f>IF('Per Invoice'!$V59="","",'Per Invoice'!E59)</f>
        <v/>
      </c>
      <c r="C60">
        <f>IF('Per Invoice'!$V59="","",'Per Invoice'!G59)</f>
        <v/>
      </c>
      <c r="D60">
        <f>IF('Per Invoice'!$V59="","",'Per Invoice'!H59)</f>
        <v/>
      </c>
      <c r="E60">
        <f>IF('Per Invoice'!$V59="","",'Per Invoice'!F59)</f>
        <v/>
      </c>
      <c r="F60" s="7">
        <f>IF('Per Invoice'!$V59="","",'Per Invoice'!P59)</f>
        <v/>
      </c>
      <c r="G60" s="7">
        <f>IF('Per Invoice'!$V59="","",'Per Invoice'!Q59)</f>
        <v/>
      </c>
      <c r="H60" s="7">
        <f>IF('Per Invoice'!$V59="","",'Per Invoice'!M59)</f>
        <v/>
      </c>
      <c r="I60" s="7">
        <f>IF('Per Invoice'!$V59="","",'Per Invoice'!N59)</f>
        <v/>
      </c>
      <c r="J60" s="7">
        <f>IF('Per Invoice'!$V59="","",'Per Invoice'!K59)</f>
        <v/>
      </c>
      <c r="K60" s="7">
        <f>IF('Per Invoice'!$V59="","",'Per Invoice'!T59)</f>
        <v/>
      </c>
      <c r="L60" s="7">
        <f>IF('Per Invoice'!$V59="","",'Per Invoice'!S59)</f>
        <v/>
      </c>
    </row>
    <row r="61">
      <c r="A61">
        <f>IF('Per Invoice'!$V60="","",ROWS($A$3:A61))</f>
        <v/>
      </c>
      <c r="B61" s="11">
        <f>IF('Per Invoice'!$V60="","",'Per Invoice'!E60)</f>
        <v/>
      </c>
      <c r="C61">
        <f>IF('Per Invoice'!$V60="","",'Per Invoice'!G60)</f>
        <v/>
      </c>
      <c r="D61">
        <f>IF('Per Invoice'!$V60="","",'Per Invoice'!H60)</f>
        <v/>
      </c>
      <c r="E61">
        <f>IF('Per Invoice'!$V60="","",'Per Invoice'!F60)</f>
        <v/>
      </c>
      <c r="F61" s="7">
        <f>IF('Per Invoice'!$V60="","",'Per Invoice'!P60)</f>
        <v/>
      </c>
      <c r="G61" s="7">
        <f>IF('Per Invoice'!$V60="","",'Per Invoice'!Q60)</f>
        <v/>
      </c>
      <c r="H61" s="7">
        <f>IF('Per Invoice'!$V60="","",'Per Invoice'!M60)</f>
        <v/>
      </c>
      <c r="I61" s="7">
        <f>IF('Per Invoice'!$V60="","",'Per Invoice'!N60)</f>
        <v/>
      </c>
      <c r="J61" s="7">
        <f>IF('Per Invoice'!$V60="","",'Per Invoice'!K60)</f>
        <v/>
      </c>
      <c r="K61" s="7">
        <f>IF('Per Invoice'!$V60="","",'Per Invoice'!T60)</f>
        <v/>
      </c>
      <c r="L61" s="7">
        <f>IF('Per Invoice'!$V60="","",'Per Invoice'!S60)</f>
        <v/>
      </c>
    </row>
    <row r="62">
      <c r="A62">
        <f>IF('Per Invoice'!$V61="","",ROWS($A$3:A62))</f>
        <v/>
      </c>
      <c r="B62" s="11">
        <f>IF('Per Invoice'!$V61="","",'Per Invoice'!E61)</f>
        <v/>
      </c>
      <c r="C62">
        <f>IF('Per Invoice'!$V61="","",'Per Invoice'!G61)</f>
        <v/>
      </c>
      <c r="D62">
        <f>IF('Per Invoice'!$V61="","",'Per Invoice'!H61)</f>
        <v/>
      </c>
      <c r="E62">
        <f>IF('Per Invoice'!$V61="","",'Per Invoice'!F61)</f>
        <v/>
      </c>
      <c r="F62" s="7">
        <f>IF('Per Invoice'!$V61="","",'Per Invoice'!P61)</f>
        <v/>
      </c>
      <c r="G62" s="7">
        <f>IF('Per Invoice'!$V61="","",'Per Invoice'!Q61)</f>
        <v/>
      </c>
      <c r="H62" s="7">
        <f>IF('Per Invoice'!$V61="","",'Per Invoice'!M61)</f>
        <v/>
      </c>
      <c r="I62" s="7">
        <f>IF('Per Invoice'!$V61="","",'Per Invoice'!N61)</f>
        <v/>
      </c>
      <c r="J62" s="7">
        <f>IF('Per Invoice'!$V61="","",'Per Invoice'!K61)</f>
        <v/>
      </c>
      <c r="K62" s="7">
        <f>IF('Per Invoice'!$V61="","",'Per Invoice'!T61)</f>
        <v/>
      </c>
      <c r="L62" s="7">
        <f>IF('Per Invoice'!$V61="","",'Per Invoice'!S61)</f>
        <v/>
      </c>
    </row>
    <row r="63">
      <c r="A63">
        <f>IF('Per Invoice'!$V62="","",ROWS($A$3:A63))</f>
        <v/>
      </c>
      <c r="B63" s="11">
        <f>IF('Per Invoice'!$V62="","",'Per Invoice'!E62)</f>
        <v/>
      </c>
      <c r="C63">
        <f>IF('Per Invoice'!$V62="","",'Per Invoice'!G62)</f>
        <v/>
      </c>
      <c r="D63">
        <f>IF('Per Invoice'!$V62="","",'Per Invoice'!H62)</f>
        <v/>
      </c>
      <c r="E63">
        <f>IF('Per Invoice'!$V62="","",'Per Invoice'!F62)</f>
        <v/>
      </c>
      <c r="F63" s="7">
        <f>IF('Per Invoice'!$V62="","",'Per Invoice'!P62)</f>
        <v/>
      </c>
      <c r="G63" s="7">
        <f>IF('Per Invoice'!$V62="","",'Per Invoice'!Q62)</f>
        <v/>
      </c>
      <c r="H63" s="7">
        <f>IF('Per Invoice'!$V62="","",'Per Invoice'!M62)</f>
        <v/>
      </c>
      <c r="I63" s="7">
        <f>IF('Per Invoice'!$V62="","",'Per Invoice'!N62)</f>
        <v/>
      </c>
      <c r="J63" s="7">
        <f>IF('Per Invoice'!$V62="","",'Per Invoice'!K62)</f>
        <v/>
      </c>
      <c r="K63" s="7">
        <f>IF('Per Invoice'!$V62="","",'Per Invoice'!T62)</f>
        <v/>
      </c>
      <c r="L63" s="7">
        <f>IF('Per Invoice'!$V62="","",'Per Invoice'!S62)</f>
        <v/>
      </c>
    </row>
    <row r="64">
      <c r="A64">
        <f>IF('Per Invoice'!$V63="","",ROWS($A$3:A64))</f>
        <v/>
      </c>
      <c r="B64" s="11">
        <f>IF('Per Invoice'!$V63="","",'Per Invoice'!E63)</f>
        <v/>
      </c>
      <c r="C64">
        <f>IF('Per Invoice'!$V63="","",'Per Invoice'!G63)</f>
        <v/>
      </c>
      <c r="D64">
        <f>IF('Per Invoice'!$V63="","",'Per Invoice'!H63)</f>
        <v/>
      </c>
      <c r="E64">
        <f>IF('Per Invoice'!$V63="","",'Per Invoice'!F63)</f>
        <v/>
      </c>
      <c r="F64" s="7">
        <f>IF('Per Invoice'!$V63="","",'Per Invoice'!P63)</f>
        <v/>
      </c>
      <c r="G64" s="7">
        <f>IF('Per Invoice'!$V63="","",'Per Invoice'!Q63)</f>
        <v/>
      </c>
      <c r="H64" s="7">
        <f>IF('Per Invoice'!$V63="","",'Per Invoice'!M63)</f>
        <v/>
      </c>
      <c r="I64" s="7">
        <f>IF('Per Invoice'!$V63="","",'Per Invoice'!N63)</f>
        <v/>
      </c>
      <c r="J64" s="7">
        <f>IF('Per Invoice'!$V63="","",'Per Invoice'!K63)</f>
        <v/>
      </c>
      <c r="K64" s="7">
        <f>IF('Per Invoice'!$V63="","",'Per Invoice'!T63)</f>
        <v/>
      </c>
      <c r="L64" s="7">
        <f>IF('Per Invoice'!$V63="","",'Per Invoice'!S63)</f>
        <v/>
      </c>
    </row>
    <row r="65">
      <c r="A65">
        <f>IF('Per Invoice'!$V64="","",ROWS($A$3:A65))</f>
        <v/>
      </c>
      <c r="B65" s="11">
        <f>IF('Per Invoice'!$V64="","",'Per Invoice'!E64)</f>
        <v/>
      </c>
      <c r="C65">
        <f>IF('Per Invoice'!$V64="","",'Per Invoice'!G64)</f>
        <v/>
      </c>
      <c r="D65">
        <f>IF('Per Invoice'!$V64="","",'Per Invoice'!H64)</f>
        <v/>
      </c>
      <c r="E65">
        <f>IF('Per Invoice'!$V64="","",'Per Invoice'!F64)</f>
        <v/>
      </c>
      <c r="F65" s="7">
        <f>IF('Per Invoice'!$V64="","",'Per Invoice'!P64)</f>
        <v/>
      </c>
      <c r="G65" s="7">
        <f>IF('Per Invoice'!$V64="","",'Per Invoice'!Q64)</f>
        <v/>
      </c>
      <c r="H65" s="7">
        <f>IF('Per Invoice'!$V64="","",'Per Invoice'!M64)</f>
        <v/>
      </c>
      <c r="I65" s="7">
        <f>IF('Per Invoice'!$V64="","",'Per Invoice'!N64)</f>
        <v/>
      </c>
      <c r="J65" s="7">
        <f>IF('Per Invoice'!$V64="","",'Per Invoice'!K64)</f>
        <v/>
      </c>
      <c r="K65" s="7">
        <f>IF('Per Invoice'!$V64="","",'Per Invoice'!T64)</f>
        <v/>
      </c>
      <c r="L65" s="7">
        <f>IF('Per Invoice'!$V64="","",'Per Invoice'!S64)</f>
        <v/>
      </c>
    </row>
    <row r="66">
      <c r="A66">
        <f>IF('Per Invoice'!$V65="","",ROWS($A$3:A66))</f>
        <v/>
      </c>
      <c r="B66" s="11">
        <f>IF('Per Invoice'!$V65="","",'Per Invoice'!E65)</f>
        <v/>
      </c>
      <c r="C66">
        <f>IF('Per Invoice'!$V65="","",'Per Invoice'!G65)</f>
        <v/>
      </c>
      <c r="D66">
        <f>IF('Per Invoice'!$V65="","",'Per Invoice'!H65)</f>
        <v/>
      </c>
      <c r="E66">
        <f>IF('Per Invoice'!$V65="","",'Per Invoice'!F65)</f>
        <v/>
      </c>
      <c r="F66" s="7">
        <f>IF('Per Invoice'!$V65="","",'Per Invoice'!P65)</f>
        <v/>
      </c>
      <c r="G66" s="7">
        <f>IF('Per Invoice'!$V65="","",'Per Invoice'!Q65)</f>
        <v/>
      </c>
      <c r="H66" s="7">
        <f>IF('Per Invoice'!$V65="","",'Per Invoice'!M65)</f>
        <v/>
      </c>
      <c r="I66" s="7">
        <f>IF('Per Invoice'!$V65="","",'Per Invoice'!N65)</f>
        <v/>
      </c>
      <c r="J66" s="7">
        <f>IF('Per Invoice'!$V65="","",'Per Invoice'!K65)</f>
        <v/>
      </c>
      <c r="K66" s="7">
        <f>IF('Per Invoice'!$V65="","",'Per Invoice'!T65)</f>
        <v/>
      </c>
      <c r="L66" s="7">
        <f>IF('Per Invoice'!$V65="","",'Per Invoice'!S65)</f>
        <v/>
      </c>
    </row>
    <row r="67">
      <c r="A67">
        <f>IF('Per Invoice'!$V66="","",ROWS($A$3:A67))</f>
        <v/>
      </c>
      <c r="B67" s="11">
        <f>IF('Per Invoice'!$V66="","",'Per Invoice'!E66)</f>
        <v/>
      </c>
      <c r="C67">
        <f>IF('Per Invoice'!$V66="","",'Per Invoice'!G66)</f>
        <v/>
      </c>
      <c r="D67">
        <f>IF('Per Invoice'!$V66="","",'Per Invoice'!H66)</f>
        <v/>
      </c>
      <c r="E67">
        <f>IF('Per Invoice'!$V66="","",'Per Invoice'!F66)</f>
        <v/>
      </c>
      <c r="F67" s="7">
        <f>IF('Per Invoice'!$V66="","",'Per Invoice'!P66)</f>
        <v/>
      </c>
      <c r="G67" s="7">
        <f>IF('Per Invoice'!$V66="","",'Per Invoice'!Q66)</f>
        <v/>
      </c>
      <c r="H67" s="7">
        <f>IF('Per Invoice'!$V66="","",'Per Invoice'!M66)</f>
        <v/>
      </c>
      <c r="I67" s="7">
        <f>IF('Per Invoice'!$V66="","",'Per Invoice'!N66)</f>
        <v/>
      </c>
      <c r="J67" s="7">
        <f>IF('Per Invoice'!$V66="","",'Per Invoice'!K66)</f>
        <v/>
      </c>
      <c r="K67" s="7">
        <f>IF('Per Invoice'!$V66="","",'Per Invoice'!T66)</f>
        <v/>
      </c>
      <c r="L67" s="7">
        <f>IF('Per Invoice'!$V66="","",'Per Invoice'!S66)</f>
        <v/>
      </c>
    </row>
    <row r="68">
      <c r="A68">
        <f>IF('Per Invoice'!$V67="","",ROWS($A$3:A68))</f>
        <v/>
      </c>
      <c r="B68" s="11">
        <f>IF('Per Invoice'!$V67="","",'Per Invoice'!E67)</f>
        <v/>
      </c>
      <c r="C68">
        <f>IF('Per Invoice'!$V67="","",'Per Invoice'!G67)</f>
        <v/>
      </c>
      <c r="D68">
        <f>IF('Per Invoice'!$V67="","",'Per Invoice'!H67)</f>
        <v/>
      </c>
      <c r="E68">
        <f>IF('Per Invoice'!$V67="","",'Per Invoice'!F67)</f>
        <v/>
      </c>
      <c r="F68" s="7">
        <f>IF('Per Invoice'!$V67="","",'Per Invoice'!P67)</f>
        <v/>
      </c>
      <c r="G68" s="7">
        <f>IF('Per Invoice'!$V67="","",'Per Invoice'!Q67)</f>
        <v/>
      </c>
      <c r="H68" s="7">
        <f>IF('Per Invoice'!$V67="","",'Per Invoice'!M67)</f>
        <v/>
      </c>
      <c r="I68" s="7">
        <f>IF('Per Invoice'!$V67="","",'Per Invoice'!N67)</f>
        <v/>
      </c>
      <c r="J68" s="7">
        <f>IF('Per Invoice'!$V67="","",'Per Invoice'!K67)</f>
        <v/>
      </c>
      <c r="K68" s="7">
        <f>IF('Per Invoice'!$V67="","",'Per Invoice'!T67)</f>
        <v/>
      </c>
      <c r="L68" s="7">
        <f>IF('Per Invoice'!$V67="","",'Per Invoice'!S67)</f>
        <v/>
      </c>
    </row>
    <row r="69">
      <c r="A69">
        <f>IF('Per Invoice'!$V68="","",ROWS($A$3:A69))</f>
        <v/>
      </c>
      <c r="B69" s="11">
        <f>IF('Per Invoice'!$V68="","",'Per Invoice'!E68)</f>
        <v/>
      </c>
      <c r="C69">
        <f>IF('Per Invoice'!$V68="","",'Per Invoice'!G68)</f>
        <v/>
      </c>
      <c r="D69">
        <f>IF('Per Invoice'!$V68="","",'Per Invoice'!H68)</f>
        <v/>
      </c>
      <c r="E69">
        <f>IF('Per Invoice'!$V68="","",'Per Invoice'!F68)</f>
        <v/>
      </c>
      <c r="F69" s="7">
        <f>IF('Per Invoice'!$V68="","",'Per Invoice'!P68)</f>
        <v/>
      </c>
      <c r="G69" s="7">
        <f>IF('Per Invoice'!$V68="","",'Per Invoice'!Q68)</f>
        <v/>
      </c>
      <c r="H69" s="7">
        <f>IF('Per Invoice'!$V68="","",'Per Invoice'!M68)</f>
        <v/>
      </c>
      <c r="I69" s="7">
        <f>IF('Per Invoice'!$V68="","",'Per Invoice'!N68)</f>
        <v/>
      </c>
      <c r="J69" s="7">
        <f>IF('Per Invoice'!$V68="","",'Per Invoice'!K68)</f>
        <v/>
      </c>
      <c r="K69" s="7">
        <f>IF('Per Invoice'!$V68="","",'Per Invoice'!T68)</f>
        <v/>
      </c>
      <c r="L69" s="7">
        <f>IF('Per Invoice'!$V68="","",'Per Invoice'!S68)</f>
        <v/>
      </c>
    </row>
    <row r="70">
      <c r="A70">
        <f>IF('Per Invoice'!$V69="","",ROWS($A$3:A70))</f>
        <v/>
      </c>
      <c r="B70" s="11">
        <f>IF('Per Invoice'!$V69="","",'Per Invoice'!E69)</f>
        <v/>
      </c>
      <c r="C70">
        <f>IF('Per Invoice'!$V69="","",'Per Invoice'!G69)</f>
        <v/>
      </c>
      <c r="D70">
        <f>IF('Per Invoice'!$V69="","",'Per Invoice'!H69)</f>
        <v/>
      </c>
      <c r="E70">
        <f>IF('Per Invoice'!$V69="","",'Per Invoice'!F69)</f>
        <v/>
      </c>
      <c r="F70" s="7">
        <f>IF('Per Invoice'!$V69="","",'Per Invoice'!P69)</f>
        <v/>
      </c>
      <c r="G70" s="7">
        <f>IF('Per Invoice'!$V69="","",'Per Invoice'!Q69)</f>
        <v/>
      </c>
      <c r="H70" s="7">
        <f>IF('Per Invoice'!$V69="","",'Per Invoice'!M69)</f>
        <v/>
      </c>
      <c r="I70" s="7">
        <f>IF('Per Invoice'!$V69="","",'Per Invoice'!N69)</f>
        <v/>
      </c>
      <c r="J70" s="7">
        <f>IF('Per Invoice'!$V69="","",'Per Invoice'!K69)</f>
        <v/>
      </c>
      <c r="K70" s="7">
        <f>IF('Per Invoice'!$V69="","",'Per Invoice'!T69)</f>
        <v/>
      </c>
      <c r="L70" s="7">
        <f>IF('Per Invoice'!$V69="","",'Per Invoice'!S69)</f>
        <v/>
      </c>
    </row>
    <row r="71">
      <c r="A71">
        <f>IF('Per Invoice'!$V70="","",ROWS($A$3:A71))</f>
        <v/>
      </c>
      <c r="B71" s="11">
        <f>IF('Per Invoice'!$V70="","",'Per Invoice'!E70)</f>
        <v/>
      </c>
      <c r="C71">
        <f>IF('Per Invoice'!$V70="","",'Per Invoice'!G70)</f>
        <v/>
      </c>
      <c r="D71">
        <f>IF('Per Invoice'!$V70="","",'Per Invoice'!H70)</f>
        <v/>
      </c>
      <c r="E71">
        <f>IF('Per Invoice'!$V70="","",'Per Invoice'!F70)</f>
        <v/>
      </c>
      <c r="F71" s="7">
        <f>IF('Per Invoice'!$V70="","",'Per Invoice'!P70)</f>
        <v/>
      </c>
      <c r="G71" s="7">
        <f>IF('Per Invoice'!$V70="","",'Per Invoice'!Q70)</f>
        <v/>
      </c>
      <c r="H71" s="7">
        <f>IF('Per Invoice'!$V70="","",'Per Invoice'!M70)</f>
        <v/>
      </c>
      <c r="I71" s="7">
        <f>IF('Per Invoice'!$V70="","",'Per Invoice'!N70)</f>
        <v/>
      </c>
      <c r="J71" s="7">
        <f>IF('Per Invoice'!$V70="","",'Per Invoice'!K70)</f>
        <v/>
      </c>
      <c r="K71" s="7">
        <f>IF('Per Invoice'!$V70="","",'Per Invoice'!T70)</f>
        <v/>
      </c>
      <c r="L71" s="7">
        <f>IF('Per Invoice'!$V70="","",'Per Invoice'!S70)</f>
        <v/>
      </c>
    </row>
    <row r="72">
      <c r="A72">
        <f>IF('Per Invoice'!$V71="","",ROWS($A$3:A72))</f>
        <v/>
      </c>
      <c r="B72" s="11">
        <f>IF('Per Invoice'!$V71="","",'Per Invoice'!E71)</f>
        <v/>
      </c>
      <c r="C72">
        <f>IF('Per Invoice'!$V71="","",'Per Invoice'!G71)</f>
        <v/>
      </c>
      <c r="D72">
        <f>IF('Per Invoice'!$V71="","",'Per Invoice'!H71)</f>
        <v/>
      </c>
      <c r="E72">
        <f>IF('Per Invoice'!$V71="","",'Per Invoice'!F71)</f>
        <v/>
      </c>
      <c r="F72" s="7">
        <f>IF('Per Invoice'!$V71="","",'Per Invoice'!P71)</f>
        <v/>
      </c>
      <c r="G72" s="7">
        <f>IF('Per Invoice'!$V71="","",'Per Invoice'!Q71)</f>
        <v/>
      </c>
      <c r="H72" s="7">
        <f>IF('Per Invoice'!$V71="","",'Per Invoice'!M71)</f>
        <v/>
      </c>
      <c r="I72" s="7">
        <f>IF('Per Invoice'!$V71="","",'Per Invoice'!N71)</f>
        <v/>
      </c>
      <c r="J72" s="7">
        <f>IF('Per Invoice'!$V71="","",'Per Invoice'!K71)</f>
        <v/>
      </c>
      <c r="K72" s="7">
        <f>IF('Per Invoice'!$V71="","",'Per Invoice'!T71)</f>
        <v/>
      </c>
      <c r="L72" s="7">
        <f>IF('Per Invoice'!$V71="","",'Per Invoice'!S71)</f>
        <v/>
      </c>
    </row>
    <row r="73">
      <c r="A73">
        <f>IF('Per Invoice'!$V72="","",ROWS($A$3:A73))</f>
        <v/>
      </c>
      <c r="B73" s="11">
        <f>IF('Per Invoice'!$V72="","",'Per Invoice'!E72)</f>
        <v/>
      </c>
      <c r="C73">
        <f>IF('Per Invoice'!$V72="","",'Per Invoice'!G72)</f>
        <v/>
      </c>
      <c r="D73">
        <f>IF('Per Invoice'!$V72="","",'Per Invoice'!H72)</f>
        <v/>
      </c>
      <c r="E73">
        <f>IF('Per Invoice'!$V72="","",'Per Invoice'!F72)</f>
        <v/>
      </c>
      <c r="F73" s="7">
        <f>IF('Per Invoice'!$V72="","",'Per Invoice'!P72)</f>
        <v/>
      </c>
      <c r="G73" s="7">
        <f>IF('Per Invoice'!$V72="","",'Per Invoice'!Q72)</f>
        <v/>
      </c>
      <c r="H73" s="7">
        <f>IF('Per Invoice'!$V72="","",'Per Invoice'!M72)</f>
        <v/>
      </c>
      <c r="I73" s="7">
        <f>IF('Per Invoice'!$V72="","",'Per Invoice'!N72)</f>
        <v/>
      </c>
      <c r="J73" s="7">
        <f>IF('Per Invoice'!$V72="","",'Per Invoice'!K72)</f>
        <v/>
      </c>
      <c r="K73" s="7">
        <f>IF('Per Invoice'!$V72="","",'Per Invoice'!T72)</f>
        <v/>
      </c>
      <c r="L73" s="7">
        <f>IF('Per Invoice'!$V72="","",'Per Invoice'!S72)</f>
        <v/>
      </c>
    </row>
    <row r="74">
      <c r="A74">
        <f>IF('Per Invoice'!$V73="","",ROWS($A$3:A74))</f>
        <v/>
      </c>
      <c r="B74" s="11">
        <f>IF('Per Invoice'!$V73="","",'Per Invoice'!E73)</f>
        <v/>
      </c>
      <c r="C74">
        <f>IF('Per Invoice'!$V73="","",'Per Invoice'!G73)</f>
        <v/>
      </c>
      <c r="D74">
        <f>IF('Per Invoice'!$V73="","",'Per Invoice'!H73)</f>
        <v/>
      </c>
      <c r="E74">
        <f>IF('Per Invoice'!$V73="","",'Per Invoice'!F73)</f>
        <v/>
      </c>
      <c r="F74" s="7">
        <f>IF('Per Invoice'!$V73="","",'Per Invoice'!P73)</f>
        <v/>
      </c>
      <c r="G74" s="7">
        <f>IF('Per Invoice'!$V73="","",'Per Invoice'!Q73)</f>
        <v/>
      </c>
      <c r="H74" s="7">
        <f>IF('Per Invoice'!$V73="","",'Per Invoice'!M73)</f>
        <v/>
      </c>
      <c r="I74" s="7">
        <f>IF('Per Invoice'!$V73="","",'Per Invoice'!N73)</f>
        <v/>
      </c>
      <c r="J74" s="7">
        <f>IF('Per Invoice'!$V73="","",'Per Invoice'!K73)</f>
        <v/>
      </c>
      <c r="K74" s="7">
        <f>IF('Per Invoice'!$V73="","",'Per Invoice'!T73)</f>
        <v/>
      </c>
      <c r="L74" s="7">
        <f>IF('Per Invoice'!$V73="","",'Per Invoice'!S73)</f>
        <v/>
      </c>
    </row>
    <row r="75">
      <c r="A75">
        <f>IF('Per Invoice'!$V74="","",ROWS($A$3:A75))</f>
        <v/>
      </c>
      <c r="B75" s="11">
        <f>IF('Per Invoice'!$V74="","",'Per Invoice'!E74)</f>
        <v/>
      </c>
      <c r="C75">
        <f>IF('Per Invoice'!$V74="","",'Per Invoice'!G74)</f>
        <v/>
      </c>
      <c r="D75">
        <f>IF('Per Invoice'!$V74="","",'Per Invoice'!H74)</f>
        <v/>
      </c>
      <c r="E75">
        <f>IF('Per Invoice'!$V74="","",'Per Invoice'!F74)</f>
        <v/>
      </c>
      <c r="F75" s="7">
        <f>IF('Per Invoice'!$V74="","",'Per Invoice'!P74)</f>
        <v/>
      </c>
      <c r="G75" s="7">
        <f>IF('Per Invoice'!$V74="","",'Per Invoice'!Q74)</f>
        <v/>
      </c>
      <c r="H75" s="7">
        <f>IF('Per Invoice'!$V74="","",'Per Invoice'!M74)</f>
        <v/>
      </c>
      <c r="I75" s="7">
        <f>IF('Per Invoice'!$V74="","",'Per Invoice'!N74)</f>
        <v/>
      </c>
      <c r="J75" s="7">
        <f>IF('Per Invoice'!$V74="","",'Per Invoice'!K74)</f>
        <v/>
      </c>
      <c r="K75" s="7">
        <f>IF('Per Invoice'!$V74="","",'Per Invoice'!T74)</f>
        <v/>
      </c>
      <c r="L75" s="7">
        <f>IF('Per Invoice'!$V74="","",'Per Invoice'!S74)</f>
        <v/>
      </c>
    </row>
    <row r="76">
      <c r="A76">
        <f>IF('Per Invoice'!$V75="","",ROWS($A$3:A76))</f>
        <v/>
      </c>
      <c r="B76" s="11">
        <f>IF('Per Invoice'!$V75="","",'Per Invoice'!E75)</f>
        <v/>
      </c>
      <c r="C76">
        <f>IF('Per Invoice'!$V75="","",'Per Invoice'!G75)</f>
        <v/>
      </c>
      <c r="D76">
        <f>IF('Per Invoice'!$V75="","",'Per Invoice'!H75)</f>
        <v/>
      </c>
      <c r="E76">
        <f>IF('Per Invoice'!$V75="","",'Per Invoice'!F75)</f>
        <v/>
      </c>
      <c r="F76" s="7">
        <f>IF('Per Invoice'!$V75="","",'Per Invoice'!P75)</f>
        <v/>
      </c>
      <c r="G76" s="7">
        <f>IF('Per Invoice'!$V75="","",'Per Invoice'!Q75)</f>
        <v/>
      </c>
      <c r="H76" s="7">
        <f>IF('Per Invoice'!$V75="","",'Per Invoice'!M75)</f>
        <v/>
      </c>
      <c r="I76" s="7">
        <f>IF('Per Invoice'!$V75="","",'Per Invoice'!N75)</f>
        <v/>
      </c>
      <c r="J76" s="7">
        <f>IF('Per Invoice'!$V75="","",'Per Invoice'!K75)</f>
        <v/>
      </c>
      <c r="K76" s="7">
        <f>IF('Per Invoice'!$V75="","",'Per Invoice'!T75)</f>
        <v/>
      </c>
      <c r="L76" s="7">
        <f>IF('Per Invoice'!$V75="","",'Per Invoice'!S75)</f>
        <v/>
      </c>
    </row>
    <row r="77">
      <c r="A77">
        <f>IF('Per Invoice'!$V76="","",ROWS($A$3:A77))</f>
        <v/>
      </c>
      <c r="B77" s="11">
        <f>IF('Per Invoice'!$V76="","",'Per Invoice'!E76)</f>
        <v/>
      </c>
      <c r="C77">
        <f>IF('Per Invoice'!$V76="","",'Per Invoice'!G76)</f>
        <v/>
      </c>
      <c r="D77">
        <f>IF('Per Invoice'!$V76="","",'Per Invoice'!H76)</f>
        <v/>
      </c>
      <c r="E77">
        <f>IF('Per Invoice'!$V76="","",'Per Invoice'!F76)</f>
        <v/>
      </c>
      <c r="F77" s="7">
        <f>IF('Per Invoice'!$V76="","",'Per Invoice'!P76)</f>
        <v/>
      </c>
      <c r="G77" s="7">
        <f>IF('Per Invoice'!$V76="","",'Per Invoice'!Q76)</f>
        <v/>
      </c>
      <c r="H77" s="7">
        <f>IF('Per Invoice'!$V76="","",'Per Invoice'!M76)</f>
        <v/>
      </c>
      <c r="I77" s="7">
        <f>IF('Per Invoice'!$V76="","",'Per Invoice'!N76)</f>
        <v/>
      </c>
      <c r="J77" s="7">
        <f>IF('Per Invoice'!$V76="","",'Per Invoice'!K76)</f>
        <v/>
      </c>
      <c r="K77" s="7">
        <f>IF('Per Invoice'!$V76="","",'Per Invoice'!T76)</f>
        <v/>
      </c>
      <c r="L77" s="7">
        <f>IF('Per Invoice'!$V76="","",'Per Invoice'!S76)</f>
        <v/>
      </c>
    </row>
    <row r="78">
      <c r="A78">
        <f>IF('Per Invoice'!$V77="","",ROWS($A$3:A78))</f>
        <v/>
      </c>
      <c r="B78" s="11">
        <f>IF('Per Invoice'!$V77="","",'Per Invoice'!E77)</f>
        <v/>
      </c>
      <c r="C78">
        <f>IF('Per Invoice'!$V77="","",'Per Invoice'!G77)</f>
        <v/>
      </c>
      <c r="D78">
        <f>IF('Per Invoice'!$V77="","",'Per Invoice'!H77)</f>
        <v/>
      </c>
      <c r="E78">
        <f>IF('Per Invoice'!$V77="","",'Per Invoice'!F77)</f>
        <v/>
      </c>
      <c r="F78" s="7">
        <f>IF('Per Invoice'!$V77="","",'Per Invoice'!P77)</f>
        <v/>
      </c>
      <c r="G78" s="7">
        <f>IF('Per Invoice'!$V77="","",'Per Invoice'!Q77)</f>
        <v/>
      </c>
      <c r="H78" s="7">
        <f>IF('Per Invoice'!$V77="","",'Per Invoice'!M77)</f>
        <v/>
      </c>
      <c r="I78" s="7">
        <f>IF('Per Invoice'!$V77="","",'Per Invoice'!N77)</f>
        <v/>
      </c>
      <c r="J78" s="7">
        <f>IF('Per Invoice'!$V77="","",'Per Invoice'!K77)</f>
        <v/>
      </c>
      <c r="K78" s="7">
        <f>IF('Per Invoice'!$V77="","",'Per Invoice'!T77)</f>
        <v/>
      </c>
      <c r="L78" s="7">
        <f>IF('Per Invoice'!$V77="","",'Per Invoice'!S77)</f>
        <v/>
      </c>
    </row>
    <row r="79">
      <c r="A79">
        <f>IF('Per Invoice'!$V78="","",ROWS($A$3:A79))</f>
        <v/>
      </c>
      <c r="B79" s="11">
        <f>IF('Per Invoice'!$V78="","",'Per Invoice'!E78)</f>
        <v/>
      </c>
      <c r="C79">
        <f>IF('Per Invoice'!$V78="","",'Per Invoice'!G78)</f>
        <v/>
      </c>
      <c r="D79">
        <f>IF('Per Invoice'!$V78="","",'Per Invoice'!H78)</f>
        <v/>
      </c>
      <c r="E79">
        <f>IF('Per Invoice'!$V78="","",'Per Invoice'!F78)</f>
        <v/>
      </c>
      <c r="F79" s="7">
        <f>IF('Per Invoice'!$V78="","",'Per Invoice'!P78)</f>
        <v/>
      </c>
      <c r="G79" s="7">
        <f>IF('Per Invoice'!$V78="","",'Per Invoice'!Q78)</f>
        <v/>
      </c>
      <c r="H79" s="7">
        <f>IF('Per Invoice'!$V78="","",'Per Invoice'!M78)</f>
        <v/>
      </c>
      <c r="I79" s="7">
        <f>IF('Per Invoice'!$V78="","",'Per Invoice'!N78)</f>
        <v/>
      </c>
      <c r="J79" s="7">
        <f>IF('Per Invoice'!$V78="","",'Per Invoice'!K78)</f>
        <v/>
      </c>
      <c r="K79" s="7">
        <f>IF('Per Invoice'!$V78="","",'Per Invoice'!T78)</f>
        <v/>
      </c>
      <c r="L79" s="7">
        <f>IF('Per Invoice'!$V78="","",'Per Invoice'!S78)</f>
        <v/>
      </c>
    </row>
    <row r="80">
      <c r="A80">
        <f>IF('Per Invoice'!$V79="","",ROWS($A$3:A80))</f>
        <v/>
      </c>
      <c r="B80" s="11">
        <f>IF('Per Invoice'!$V79="","",'Per Invoice'!E79)</f>
        <v/>
      </c>
      <c r="C80">
        <f>IF('Per Invoice'!$V79="","",'Per Invoice'!G79)</f>
        <v/>
      </c>
      <c r="D80">
        <f>IF('Per Invoice'!$V79="","",'Per Invoice'!H79)</f>
        <v/>
      </c>
      <c r="E80">
        <f>IF('Per Invoice'!$V79="","",'Per Invoice'!F79)</f>
        <v/>
      </c>
      <c r="F80" s="7">
        <f>IF('Per Invoice'!$V79="","",'Per Invoice'!P79)</f>
        <v/>
      </c>
      <c r="G80" s="7">
        <f>IF('Per Invoice'!$V79="","",'Per Invoice'!Q79)</f>
        <v/>
      </c>
      <c r="H80" s="7">
        <f>IF('Per Invoice'!$V79="","",'Per Invoice'!M79)</f>
        <v/>
      </c>
      <c r="I80" s="7">
        <f>IF('Per Invoice'!$V79="","",'Per Invoice'!N79)</f>
        <v/>
      </c>
      <c r="J80" s="7">
        <f>IF('Per Invoice'!$V79="","",'Per Invoice'!K79)</f>
        <v/>
      </c>
      <c r="K80" s="7">
        <f>IF('Per Invoice'!$V79="","",'Per Invoice'!T79)</f>
        <v/>
      </c>
      <c r="L80" s="7">
        <f>IF('Per Invoice'!$V79="","",'Per Invoice'!S79)</f>
        <v/>
      </c>
    </row>
    <row r="81">
      <c r="A81">
        <f>IF('Per Invoice'!$V80="","",ROWS($A$3:A81))</f>
        <v/>
      </c>
      <c r="B81" s="11">
        <f>IF('Per Invoice'!$V80="","",'Per Invoice'!E80)</f>
        <v/>
      </c>
      <c r="C81">
        <f>IF('Per Invoice'!$V80="","",'Per Invoice'!G80)</f>
        <v/>
      </c>
      <c r="D81">
        <f>IF('Per Invoice'!$V80="","",'Per Invoice'!H80)</f>
        <v/>
      </c>
      <c r="E81">
        <f>IF('Per Invoice'!$V80="","",'Per Invoice'!F80)</f>
        <v/>
      </c>
      <c r="F81" s="7">
        <f>IF('Per Invoice'!$V80="","",'Per Invoice'!P80)</f>
        <v/>
      </c>
      <c r="G81" s="7">
        <f>IF('Per Invoice'!$V80="","",'Per Invoice'!Q80)</f>
        <v/>
      </c>
      <c r="H81" s="7">
        <f>IF('Per Invoice'!$V80="","",'Per Invoice'!M80)</f>
        <v/>
      </c>
      <c r="I81" s="7">
        <f>IF('Per Invoice'!$V80="","",'Per Invoice'!N80)</f>
        <v/>
      </c>
      <c r="J81" s="7">
        <f>IF('Per Invoice'!$V80="","",'Per Invoice'!K80)</f>
        <v/>
      </c>
      <c r="K81" s="7">
        <f>IF('Per Invoice'!$V80="","",'Per Invoice'!T80)</f>
        <v/>
      </c>
      <c r="L81" s="7">
        <f>IF('Per Invoice'!$V80="","",'Per Invoice'!S80)</f>
        <v/>
      </c>
    </row>
    <row r="82">
      <c r="A82">
        <f>IF('Per Invoice'!$V81="","",ROWS($A$3:A82))</f>
        <v/>
      </c>
      <c r="B82" s="11">
        <f>IF('Per Invoice'!$V81="","",'Per Invoice'!E81)</f>
        <v/>
      </c>
      <c r="C82">
        <f>IF('Per Invoice'!$V81="","",'Per Invoice'!G81)</f>
        <v/>
      </c>
      <c r="D82">
        <f>IF('Per Invoice'!$V81="","",'Per Invoice'!H81)</f>
        <v/>
      </c>
      <c r="E82">
        <f>IF('Per Invoice'!$V81="","",'Per Invoice'!F81)</f>
        <v/>
      </c>
      <c r="F82" s="7">
        <f>IF('Per Invoice'!$V81="","",'Per Invoice'!P81)</f>
        <v/>
      </c>
      <c r="G82" s="7">
        <f>IF('Per Invoice'!$V81="","",'Per Invoice'!Q81)</f>
        <v/>
      </c>
      <c r="H82" s="7">
        <f>IF('Per Invoice'!$V81="","",'Per Invoice'!M81)</f>
        <v/>
      </c>
      <c r="I82" s="7">
        <f>IF('Per Invoice'!$V81="","",'Per Invoice'!N81)</f>
        <v/>
      </c>
      <c r="J82" s="7">
        <f>IF('Per Invoice'!$V81="","",'Per Invoice'!K81)</f>
        <v/>
      </c>
      <c r="K82" s="7">
        <f>IF('Per Invoice'!$V81="","",'Per Invoice'!T81)</f>
        <v/>
      </c>
      <c r="L82" s="7">
        <f>IF('Per Invoice'!$V81="","",'Per Invoice'!S81)</f>
        <v/>
      </c>
    </row>
    <row r="83">
      <c r="A83">
        <f>IF('Per Invoice'!$V82="","",ROWS($A$3:A83))</f>
        <v/>
      </c>
      <c r="B83" s="11">
        <f>IF('Per Invoice'!$V82="","",'Per Invoice'!E82)</f>
        <v/>
      </c>
      <c r="C83">
        <f>IF('Per Invoice'!$V82="","",'Per Invoice'!G82)</f>
        <v/>
      </c>
      <c r="D83">
        <f>IF('Per Invoice'!$V82="","",'Per Invoice'!H82)</f>
        <v/>
      </c>
      <c r="E83">
        <f>IF('Per Invoice'!$V82="","",'Per Invoice'!F82)</f>
        <v/>
      </c>
      <c r="F83" s="7">
        <f>IF('Per Invoice'!$V82="","",'Per Invoice'!P82)</f>
        <v/>
      </c>
      <c r="G83" s="7">
        <f>IF('Per Invoice'!$V82="","",'Per Invoice'!Q82)</f>
        <v/>
      </c>
      <c r="H83" s="7">
        <f>IF('Per Invoice'!$V82="","",'Per Invoice'!M82)</f>
        <v/>
      </c>
      <c r="I83" s="7">
        <f>IF('Per Invoice'!$V82="","",'Per Invoice'!N82)</f>
        <v/>
      </c>
      <c r="J83" s="7">
        <f>IF('Per Invoice'!$V82="","",'Per Invoice'!K82)</f>
        <v/>
      </c>
      <c r="K83" s="7">
        <f>IF('Per Invoice'!$V82="","",'Per Invoice'!T82)</f>
        <v/>
      </c>
      <c r="L83" s="7">
        <f>IF('Per Invoice'!$V82="","",'Per Invoice'!S82)</f>
        <v/>
      </c>
    </row>
    <row r="84">
      <c r="A84">
        <f>IF('Per Invoice'!$V83="","",ROWS($A$3:A84))</f>
        <v/>
      </c>
      <c r="B84" s="11">
        <f>IF('Per Invoice'!$V83="","",'Per Invoice'!E83)</f>
        <v/>
      </c>
      <c r="C84">
        <f>IF('Per Invoice'!$V83="","",'Per Invoice'!G83)</f>
        <v/>
      </c>
      <c r="D84">
        <f>IF('Per Invoice'!$V83="","",'Per Invoice'!H83)</f>
        <v/>
      </c>
      <c r="E84">
        <f>IF('Per Invoice'!$V83="","",'Per Invoice'!F83)</f>
        <v/>
      </c>
      <c r="F84" s="7">
        <f>IF('Per Invoice'!$V83="","",'Per Invoice'!P83)</f>
        <v/>
      </c>
      <c r="G84" s="7">
        <f>IF('Per Invoice'!$V83="","",'Per Invoice'!Q83)</f>
        <v/>
      </c>
      <c r="H84" s="7">
        <f>IF('Per Invoice'!$V83="","",'Per Invoice'!M83)</f>
        <v/>
      </c>
      <c r="I84" s="7">
        <f>IF('Per Invoice'!$V83="","",'Per Invoice'!N83)</f>
        <v/>
      </c>
      <c r="J84" s="7">
        <f>IF('Per Invoice'!$V83="","",'Per Invoice'!K83)</f>
        <v/>
      </c>
      <c r="K84" s="7">
        <f>IF('Per Invoice'!$V83="","",'Per Invoice'!T83)</f>
        <v/>
      </c>
      <c r="L84" s="7">
        <f>IF('Per Invoice'!$V83="","",'Per Invoice'!S83)</f>
        <v/>
      </c>
    </row>
    <row r="85">
      <c r="A85">
        <f>IF('Per Invoice'!$V84="","",ROWS($A$3:A85))</f>
        <v/>
      </c>
      <c r="B85" s="11">
        <f>IF('Per Invoice'!$V84="","",'Per Invoice'!E84)</f>
        <v/>
      </c>
      <c r="C85">
        <f>IF('Per Invoice'!$V84="","",'Per Invoice'!G84)</f>
        <v/>
      </c>
      <c r="D85">
        <f>IF('Per Invoice'!$V84="","",'Per Invoice'!H84)</f>
        <v/>
      </c>
      <c r="E85">
        <f>IF('Per Invoice'!$V84="","",'Per Invoice'!F84)</f>
        <v/>
      </c>
      <c r="F85" s="7">
        <f>IF('Per Invoice'!$V84="","",'Per Invoice'!P84)</f>
        <v/>
      </c>
      <c r="G85" s="7">
        <f>IF('Per Invoice'!$V84="","",'Per Invoice'!Q84)</f>
        <v/>
      </c>
      <c r="H85" s="7">
        <f>IF('Per Invoice'!$V84="","",'Per Invoice'!M84)</f>
        <v/>
      </c>
      <c r="I85" s="7">
        <f>IF('Per Invoice'!$V84="","",'Per Invoice'!N84)</f>
        <v/>
      </c>
      <c r="J85" s="7">
        <f>IF('Per Invoice'!$V84="","",'Per Invoice'!K84)</f>
        <v/>
      </c>
      <c r="K85" s="7">
        <f>IF('Per Invoice'!$V84="","",'Per Invoice'!T84)</f>
        <v/>
      </c>
      <c r="L85" s="7">
        <f>IF('Per Invoice'!$V84="","",'Per Invoice'!S84)</f>
        <v/>
      </c>
    </row>
    <row r="86">
      <c r="A86">
        <f>IF('Per Invoice'!$V85="","",ROWS($A$3:A86))</f>
        <v/>
      </c>
      <c r="B86" s="11">
        <f>IF('Per Invoice'!$V85="","",'Per Invoice'!E85)</f>
        <v/>
      </c>
      <c r="C86">
        <f>IF('Per Invoice'!$V85="","",'Per Invoice'!G85)</f>
        <v/>
      </c>
      <c r="D86">
        <f>IF('Per Invoice'!$V85="","",'Per Invoice'!H85)</f>
        <v/>
      </c>
      <c r="E86">
        <f>IF('Per Invoice'!$V85="","",'Per Invoice'!F85)</f>
        <v/>
      </c>
      <c r="F86" s="7">
        <f>IF('Per Invoice'!$V85="","",'Per Invoice'!P85)</f>
        <v/>
      </c>
      <c r="G86" s="7">
        <f>IF('Per Invoice'!$V85="","",'Per Invoice'!Q85)</f>
        <v/>
      </c>
      <c r="H86" s="7">
        <f>IF('Per Invoice'!$V85="","",'Per Invoice'!M85)</f>
        <v/>
      </c>
      <c r="I86" s="7">
        <f>IF('Per Invoice'!$V85="","",'Per Invoice'!N85)</f>
        <v/>
      </c>
      <c r="J86" s="7">
        <f>IF('Per Invoice'!$V85="","",'Per Invoice'!K85)</f>
        <v/>
      </c>
      <c r="K86" s="7">
        <f>IF('Per Invoice'!$V85="","",'Per Invoice'!T85)</f>
        <v/>
      </c>
      <c r="L86" s="7">
        <f>IF('Per Invoice'!$V85="","",'Per Invoice'!S85)</f>
        <v/>
      </c>
    </row>
    <row r="87">
      <c r="A87">
        <f>IF('Per Invoice'!$V86="","",ROWS($A$3:A87))</f>
        <v/>
      </c>
      <c r="B87" s="11">
        <f>IF('Per Invoice'!$V86="","",'Per Invoice'!E86)</f>
        <v/>
      </c>
      <c r="C87">
        <f>IF('Per Invoice'!$V86="","",'Per Invoice'!G86)</f>
        <v/>
      </c>
      <c r="D87">
        <f>IF('Per Invoice'!$V86="","",'Per Invoice'!H86)</f>
        <v/>
      </c>
      <c r="E87">
        <f>IF('Per Invoice'!$V86="","",'Per Invoice'!F86)</f>
        <v/>
      </c>
      <c r="F87" s="7">
        <f>IF('Per Invoice'!$V86="","",'Per Invoice'!P86)</f>
        <v/>
      </c>
      <c r="G87" s="7">
        <f>IF('Per Invoice'!$V86="","",'Per Invoice'!Q86)</f>
        <v/>
      </c>
      <c r="H87" s="7">
        <f>IF('Per Invoice'!$V86="","",'Per Invoice'!M86)</f>
        <v/>
      </c>
      <c r="I87" s="7">
        <f>IF('Per Invoice'!$V86="","",'Per Invoice'!N86)</f>
        <v/>
      </c>
      <c r="J87" s="7">
        <f>IF('Per Invoice'!$V86="","",'Per Invoice'!K86)</f>
        <v/>
      </c>
      <c r="K87" s="7">
        <f>IF('Per Invoice'!$V86="","",'Per Invoice'!T86)</f>
        <v/>
      </c>
      <c r="L87" s="7">
        <f>IF('Per Invoice'!$V86="","",'Per Invoice'!S86)</f>
        <v/>
      </c>
    </row>
    <row r="88">
      <c r="A88">
        <f>IF('Per Invoice'!$V87="","",ROWS($A$3:A88))</f>
        <v/>
      </c>
      <c r="B88" s="11">
        <f>IF('Per Invoice'!$V87="","",'Per Invoice'!E87)</f>
        <v/>
      </c>
      <c r="C88">
        <f>IF('Per Invoice'!$V87="","",'Per Invoice'!G87)</f>
        <v/>
      </c>
      <c r="D88">
        <f>IF('Per Invoice'!$V87="","",'Per Invoice'!H87)</f>
        <v/>
      </c>
      <c r="E88">
        <f>IF('Per Invoice'!$V87="","",'Per Invoice'!F87)</f>
        <v/>
      </c>
      <c r="F88" s="7">
        <f>IF('Per Invoice'!$V87="","",'Per Invoice'!P87)</f>
        <v/>
      </c>
      <c r="G88" s="7">
        <f>IF('Per Invoice'!$V87="","",'Per Invoice'!Q87)</f>
        <v/>
      </c>
      <c r="H88" s="7">
        <f>IF('Per Invoice'!$V87="","",'Per Invoice'!M87)</f>
        <v/>
      </c>
      <c r="I88" s="7">
        <f>IF('Per Invoice'!$V87="","",'Per Invoice'!N87)</f>
        <v/>
      </c>
      <c r="J88" s="7">
        <f>IF('Per Invoice'!$V87="","",'Per Invoice'!K87)</f>
        <v/>
      </c>
      <c r="K88" s="7">
        <f>IF('Per Invoice'!$V87="","",'Per Invoice'!T87)</f>
        <v/>
      </c>
      <c r="L88" s="7">
        <f>IF('Per Invoice'!$V87="","",'Per Invoice'!S87)</f>
        <v/>
      </c>
    </row>
    <row r="89">
      <c r="A89">
        <f>IF('Per Invoice'!$V88="","",ROWS($A$3:A89))</f>
        <v/>
      </c>
      <c r="B89" s="11">
        <f>IF('Per Invoice'!$V88="","",'Per Invoice'!E88)</f>
        <v/>
      </c>
      <c r="C89">
        <f>IF('Per Invoice'!$V88="","",'Per Invoice'!G88)</f>
        <v/>
      </c>
      <c r="D89">
        <f>IF('Per Invoice'!$V88="","",'Per Invoice'!H88)</f>
        <v/>
      </c>
      <c r="E89">
        <f>IF('Per Invoice'!$V88="","",'Per Invoice'!F88)</f>
        <v/>
      </c>
      <c r="F89" s="7">
        <f>IF('Per Invoice'!$V88="","",'Per Invoice'!P88)</f>
        <v/>
      </c>
      <c r="G89" s="7">
        <f>IF('Per Invoice'!$V88="","",'Per Invoice'!Q88)</f>
        <v/>
      </c>
      <c r="H89" s="7">
        <f>IF('Per Invoice'!$V88="","",'Per Invoice'!M88)</f>
        <v/>
      </c>
      <c r="I89" s="7">
        <f>IF('Per Invoice'!$V88="","",'Per Invoice'!N88)</f>
        <v/>
      </c>
      <c r="J89" s="7">
        <f>IF('Per Invoice'!$V88="","",'Per Invoice'!K88)</f>
        <v/>
      </c>
      <c r="K89" s="7">
        <f>IF('Per Invoice'!$V88="","",'Per Invoice'!T88)</f>
        <v/>
      </c>
      <c r="L89" s="7">
        <f>IF('Per Invoice'!$V88="","",'Per Invoice'!S88)</f>
        <v/>
      </c>
    </row>
    <row r="90">
      <c r="A90">
        <f>IF('Per Invoice'!$V89="","",ROWS($A$3:A90))</f>
        <v/>
      </c>
      <c r="B90" s="11">
        <f>IF('Per Invoice'!$V89="","",'Per Invoice'!E89)</f>
        <v/>
      </c>
      <c r="C90">
        <f>IF('Per Invoice'!$V89="","",'Per Invoice'!G89)</f>
        <v/>
      </c>
      <c r="D90">
        <f>IF('Per Invoice'!$V89="","",'Per Invoice'!H89)</f>
        <v/>
      </c>
      <c r="E90">
        <f>IF('Per Invoice'!$V89="","",'Per Invoice'!F89)</f>
        <v/>
      </c>
      <c r="F90" s="7">
        <f>IF('Per Invoice'!$V89="","",'Per Invoice'!P89)</f>
        <v/>
      </c>
      <c r="G90" s="7">
        <f>IF('Per Invoice'!$V89="","",'Per Invoice'!Q89)</f>
        <v/>
      </c>
      <c r="H90" s="7">
        <f>IF('Per Invoice'!$V89="","",'Per Invoice'!M89)</f>
        <v/>
      </c>
      <c r="I90" s="7">
        <f>IF('Per Invoice'!$V89="","",'Per Invoice'!N89)</f>
        <v/>
      </c>
      <c r="J90" s="7">
        <f>IF('Per Invoice'!$V89="","",'Per Invoice'!K89)</f>
        <v/>
      </c>
      <c r="K90" s="7">
        <f>IF('Per Invoice'!$V89="","",'Per Invoice'!T89)</f>
        <v/>
      </c>
      <c r="L90" s="7">
        <f>IF('Per Invoice'!$V89="","",'Per Invoice'!S89)</f>
        <v/>
      </c>
    </row>
    <row r="91">
      <c r="A91">
        <f>IF('Per Invoice'!$V90="","",ROWS($A$3:A91))</f>
        <v/>
      </c>
      <c r="B91" s="11">
        <f>IF('Per Invoice'!$V90="","",'Per Invoice'!E90)</f>
        <v/>
      </c>
      <c r="C91">
        <f>IF('Per Invoice'!$V90="","",'Per Invoice'!G90)</f>
        <v/>
      </c>
      <c r="D91">
        <f>IF('Per Invoice'!$V90="","",'Per Invoice'!H90)</f>
        <v/>
      </c>
      <c r="E91">
        <f>IF('Per Invoice'!$V90="","",'Per Invoice'!F90)</f>
        <v/>
      </c>
      <c r="F91" s="7">
        <f>IF('Per Invoice'!$V90="","",'Per Invoice'!P90)</f>
        <v/>
      </c>
      <c r="G91" s="7">
        <f>IF('Per Invoice'!$V90="","",'Per Invoice'!Q90)</f>
        <v/>
      </c>
      <c r="H91" s="7">
        <f>IF('Per Invoice'!$V90="","",'Per Invoice'!M90)</f>
        <v/>
      </c>
      <c r="I91" s="7">
        <f>IF('Per Invoice'!$V90="","",'Per Invoice'!N90)</f>
        <v/>
      </c>
      <c r="J91" s="7">
        <f>IF('Per Invoice'!$V90="","",'Per Invoice'!K90)</f>
        <v/>
      </c>
      <c r="K91" s="7">
        <f>IF('Per Invoice'!$V90="","",'Per Invoice'!T90)</f>
        <v/>
      </c>
      <c r="L91" s="7">
        <f>IF('Per Invoice'!$V90="","",'Per Invoice'!S90)</f>
        <v/>
      </c>
    </row>
    <row r="92">
      <c r="A92">
        <f>IF('Per Invoice'!$V91="","",ROWS($A$3:A92))</f>
        <v/>
      </c>
      <c r="B92" s="11">
        <f>IF('Per Invoice'!$V91="","",'Per Invoice'!E91)</f>
        <v/>
      </c>
      <c r="C92">
        <f>IF('Per Invoice'!$V91="","",'Per Invoice'!G91)</f>
        <v/>
      </c>
      <c r="D92">
        <f>IF('Per Invoice'!$V91="","",'Per Invoice'!H91)</f>
        <v/>
      </c>
      <c r="E92">
        <f>IF('Per Invoice'!$V91="","",'Per Invoice'!F91)</f>
        <v/>
      </c>
      <c r="F92" s="7">
        <f>IF('Per Invoice'!$V91="","",'Per Invoice'!P91)</f>
        <v/>
      </c>
      <c r="G92" s="7">
        <f>IF('Per Invoice'!$V91="","",'Per Invoice'!Q91)</f>
        <v/>
      </c>
      <c r="H92" s="7">
        <f>IF('Per Invoice'!$V91="","",'Per Invoice'!M91)</f>
        <v/>
      </c>
      <c r="I92" s="7">
        <f>IF('Per Invoice'!$V91="","",'Per Invoice'!N91)</f>
        <v/>
      </c>
      <c r="J92" s="7">
        <f>IF('Per Invoice'!$V91="","",'Per Invoice'!K91)</f>
        <v/>
      </c>
      <c r="K92" s="7">
        <f>IF('Per Invoice'!$V91="","",'Per Invoice'!T91)</f>
        <v/>
      </c>
      <c r="L92" s="7">
        <f>IF('Per Invoice'!$V91="","",'Per Invoice'!S91)</f>
        <v/>
      </c>
    </row>
    <row r="93">
      <c r="A93">
        <f>IF('Per Invoice'!$V92="","",ROWS($A$3:A93))</f>
        <v/>
      </c>
      <c r="B93" s="11">
        <f>IF('Per Invoice'!$V92="","",'Per Invoice'!E92)</f>
        <v/>
      </c>
      <c r="C93">
        <f>IF('Per Invoice'!$V92="","",'Per Invoice'!G92)</f>
        <v/>
      </c>
      <c r="D93">
        <f>IF('Per Invoice'!$V92="","",'Per Invoice'!H92)</f>
        <v/>
      </c>
      <c r="E93">
        <f>IF('Per Invoice'!$V92="","",'Per Invoice'!F92)</f>
        <v/>
      </c>
      <c r="F93" s="7">
        <f>IF('Per Invoice'!$V92="","",'Per Invoice'!P92)</f>
        <v/>
      </c>
      <c r="G93" s="7">
        <f>IF('Per Invoice'!$V92="","",'Per Invoice'!Q92)</f>
        <v/>
      </c>
      <c r="H93" s="7">
        <f>IF('Per Invoice'!$V92="","",'Per Invoice'!M92)</f>
        <v/>
      </c>
      <c r="I93" s="7">
        <f>IF('Per Invoice'!$V92="","",'Per Invoice'!N92)</f>
        <v/>
      </c>
      <c r="J93" s="7">
        <f>IF('Per Invoice'!$V92="","",'Per Invoice'!K92)</f>
        <v/>
      </c>
      <c r="K93" s="7">
        <f>IF('Per Invoice'!$V92="","",'Per Invoice'!T92)</f>
        <v/>
      </c>
      <c r="L93" s="7">
        <f>IF('Per Invoice'!$V92="","",'Per Invoice'!S92)</f>
        <v/>
      </c>
    </row>
    <row r="94">
      <c r="A94">
        <f>IF('Per Invoice'!$V93="","",ROWS($A$3:A94))</f>
        <v/>
      </c>
      <c r="B94" s="11">
        <f>IF('Per Invoice'!$V93="","",'Per Invoice'!E93)</f>
        <v/>
      </c>
      <c r="C94">
        <f>IF('Per Invoice'!$V93="","",'Per Invoice'!G93)</f>
        <v/>
      </c>
      <c r="D94">
        <f>IF('Per Invoice'!$V93="","",'Per Invoice'!H93)</f>
        <v/>
      </c>
      <c r="E94">
        <f>IF('Per Invoice'!$V93="","",'Per Invoice'!F93)</f>
        <v/>
      </c>
      <c r="F94" s="7">
        <f>IF('Per Invoice'!$V93="","",'Per Invoice'!P93)</f>
        <v/>
      </c>
      <c r="G94" s="7">
        <f>IF('Per Invoice'!$V93="","",'Per Invoice'!Q93)</f>
        <v/>
      </c>
      <c r="H94" s="7">
        <f>IF('Per Invoice'!$V93="","",'Per Invoice'!M93)</f>
        <v/>
      </c>
      <c r="I94" s="7">
        <f>IF('Per Invoice'!$V93="","",'Per Invoice'!N93)</f>
        <v/>
      </c>
      <c r="J94" s="7">
        <f>IF('Per Invoice'!$V93="","",'Per Invoice'!K93)</f>
        <v/>
      </c>
      <c r="K94" s="7">
        <f>IF('Per Invoice'!$V93="","",'Per Invoice'!T93)</f>
        <v/>
      </c>
      <c r="L94" s="7">
        <f>IF('Per Invoice'!$V93="","",'Per Invoice'!S93)</f>
        <v/>
      </c>
    </row>
    <row r="95">
      <c r="A95">
        <f>IF('Per Invoice'!$V94="","",ROWS($A$3:A95))</f>
        <v/>
      </c>
      <c r="B95" s="11">
        <f>IF('Per Invoice'!$V94="","",'Per Invoice'!E94)</f>
        <v/>
      </c>
      <c r="C95">
        <f>IF('Per Invoice'!$V94="","",'Per Invoice'!G94)</f>
        <v/>
      </c>
      <c r="D95">
        <f>IF('Per Invoice'!$V94="","",'Per Invoice'!H94)</f>
        <v/>
      </c>
      <c r="E95">
        <f>IF('Per Invoice'!$V94="","",'Per Invoice'!F94)</f>
        <v/>
      </c>
      <c r="F95" s="7">
        <f>IF('Per Invoice'!$V94="","",'Per Invoice'!P94)</f>
        <v/>
      </c>
      <c r="G95" s="7">
        <f>IF('Per Invoice'!$V94="","",'Per Invoice'!Q94)</f>
        <v/>
      </c>
      <c r="H95" s="7">
        <f>IF('Per Invoice'!$V94="","",'Per Invoice'!M94)</f>
        <v/>
      </c>
      <c r="I95" s="7">
        <f>IF('Per Invoice'!$V94="","",'Per Invoice'!N94)</f>
        <v/>
      </c>
      <c r="J95" s="7">
        <f>IF('Per Invoice'!$V94="","",'Per Invoice'!K94)</f>
        <v/>
      </c>
      <c r="K95" s="7">
        <f>IF('Per Invoice'!$V94="","",'Per Invoice'!T94)</f>
        <v/>
      </c>
      <c r="L95" s="7">
        <f>IF('Per Invoice'!$V94="","",'Per Invoice'!S94)</f>
        <v/>
      </c>
    </row>
    <row r="96">
      <c r="A96">
        <f>IF('Per Invoice'!$V95="","",ROWS($A$3:A96))</f>
        <v/>
      </c>
      <c r="B96" s="11">
        <f>IF('Per Invoice'!$V95="","",'Per Invoice'!E95)</f>
        <v/>
      </c>
      <c r="C96">
        <f>IF('Per Invoice'!$V95="","",'Per Invoice'!G95)</f>
        <v/>
      </c>
      <c r="D96">
        <f>IF('Per Invoice'!$V95="","",'Per Invoice'!H95)</f>
        <v/>
      </c>
      <c r="E96">
        <f>IF('Per Invoice'!$V95="","",'Per Invoice'!F95)</f>
        <v/>
      </c>
      <c r="F96" s="7">
        <f>IF('Per Invoice'!$V95="","",'Per Invoice'!P95)</f>
        <v/>
      </c>
      <c r="G96" s="7">
        <f>IF('Per Invoice'!$V95="","",'Per Invoice'!Q95)</f>
        <v/>
      </c>
      <c r="H96" s="7">
        <f>IF('Per Invoice'!$V95="","",'Per Invoice'!M95)</f>
        <v/>
      </c>
      <c r="I96" s="7">
        <f>IF('Per Invoice'!$V95="","",'Per Invoice'!N95)</f>
        <v/>
      </c>
      <c r="J96" s="7">
        <f>IF('Per Invoice'!$V95="","",'Per Invoice'!K95)</f>
        <v/>
      </c>
      <c r="K96" s="7">
        <f>IF('Per Invoice'!$V95="","",'Per Invoice'!T95)</f>
        <v/>
      </c>
      <c r="L96" s="7">
        <f>IF('Per Invoice'!$V95="","",'Per Invoice'!S95)</f>
        <v/>
      </c>
    </row>
    <row r="97">
      <c r="A97">
        <f>IF('Per Invoice'!$V96="","",ROWS($A$3:A97))</f>
        <v/>
      </c>
      <c r="B97" s="11">
        <f>IF('Per Invoice'!$V96="","",'Per Invoice'!E96)</f>
        <v/>
      </c>
      <c r="C97">
        <f>IF('Per Invoice'!$V96="","",'Per Invoice'!G96)</f>
        <v/>
      </c>
      <c r="D97">
        <f>IF('Per Invoice'!$V96="","",'Per Invoice'!H96)</f>
        <v/>
      </c>
      <c r="E97">
        <f>IF('Per Invoice'!$V96="","",'Per Invoice'!F96)</f>
        <v/>
      </c>
      <c r="F97" s="7">
        <f>IF('Per Invoice'!$V96="","",'Per Invoice'!P96)</f>
        <v/>
      </c>
      <c r="G97" s="7">
        <f>IF('Per Invoice'!$V96="","",'Per Invoice'!Q96)</f>
        <v/>
      </c>
      <c r="H97" s="7">
        <f>IF('Per Invoice'!$V96="","",'Per Invoice'!M96)</f>
        <v/>
      </c>
      <c r="I97" s="7">
        <f>IF('Per Invoice'!$V96="","",'Per Invoice'!N96)</f>
        <v/>
      </c>
      <c r="J97" s="7">
        <f>IF('Per Invoice'!$V96="","",'Per Invoice'!K96)</f>
        <v/>
      </c>
      <c r="K97" s="7">
        <f>IF('Per Invoice'!$V96="","",'Per Invoice'!T96)</f>
        <v/>
      </c>
      <c r="L97" s="7">
        <f>IF('Per Invoice'!$V96="","",'Per Invoice'!S96)</f>
        <v/>
      </c>
    </row>
    <row r="98">
      <c r="A98">
        <f>IF('Per Invoice'!$V97="","",ROWS($A$3:A98))</f>
        <v/>
      </c>
      <c r="B98" s="11">
        <f>IF('Per Invoice'!$V97="","",'Per Invoice'!E97)</f>
        <v/>
      </c>
      <c r="C98">
        <f>IF('Per Invoice'!$V97="","",'Per Invoice'!G97)</f>
        <v/>
      </c>
      <c r="D98">
        <f>IF('Per Invoice'!$V97="","",'Per Invoice'!H97)</f>
        <v/>
      </c>
      <c r="E98">
        <f>IF('Per Invoice'!$V97="","",'Per Invoice'!F97)</f>
        <v/>
      </c>
      <c r="F98" s="7">
        <f>IF('Per Invoice'!$V97="","",'Per Invoice'!P97)</f>
        <v/>
      </c>
      <c r="G98" s="7">
        <f>IF('Per Invoice'!$V97="","",'Per Invoice'!Q97)</f>
        <v/>
      </c>
      <c r="H98" s="7">
        <f>IF('Per Invoice'!$V97="","",'Per Invoice'!M97)</f>
        <v/>
      </c>
      <c r="I98" s="7">
        <f>IF('Per Invoice'!$V97="","",'Per Invoice'!N97)</f>
        <v/>
      </c>
      <c r="J98" s="7">
        <f>IF('Per Invoice'!$V97="","",'Per Invoice'!K97)</f>
        <v/>
      </c>
      <c r="K98" s="7">
        <f>IF('Per Invoice'!$V97="","",'Per Invoice'!T97)</f>
        <v/>
      </c>
      <c r="L98" s="7">
        <f>IF('Per Invoice'!$V97="","",'Per Invoice'!S97)</f>
        <v/>
      </c>
    </row>
    <row r="99">
      <c r="A99">
        <f>IF('Per Invoice'!$V98="","",ROWS($A$3:A99))</f>
        <v/>
      </c>
      <c r="B99" s="11">
        <f>IF('Per Invoice'!$V98="","",'Per Invoice'!E98)</f>
        <v/>
      </c>
      <c r="C99">
        <f>IF('Per Invoice'!$V98="","",'Per Invoice'!G98)</f>
        <v/>
      </c>
      <c r="D99">
        <f>IF('Per Invoice'!$V98="","",'Per Invoice'!H98)</f>
        <v/>
      </c>
      <c r="E99">
        <f>IF('Per Invoice'!$V98="","",'Per Invoice'!F98)</f>
        <v/>
      </c>
      <c r="F99" s="7">
        <f>IF('Per Invoice'!$V98="","",'Per Invoice'!P98)</f>
        <v/>
      </c>
      <c r="G99" s="7">
        <f>IF('Per Invoice'!$V98="","",'Per Invoice'!Q98)</f>
        <v/>
      </c>
      <c r="H99" s="7">
        <f>IF('Per Invoice'!$V98="","",'Per Invoice'!M98)</f>
        <v/>
      </c>
      <c r="I99" s="7">
        <f>IF('Per Invoice'!$V98="","",'Per Invoice'!N98)</f>
        <v/>
      </c>
      <c r="J99" s="7">
        <f>IF('Per Invoice'!$V98="","",'Per Invoice'!K98)</f>
        <v/>
      </c>
      <c r="K99" s="7">
        <f>IF('Per Invoice'!$V98="","",'Per Invoice'!T98)</f>
        <v/>
      </c>
      <c r="L99" s="7">
        <f>IF('Per Invoice'!$V98="","",'Per Invoice'!S98)</f>
        <v/>
      </c>
    </row>
    <row r="100">
      <c r="A100">
        <f>IF('Per Invoice'!$V99="","",ROWS($A$3:A100))</f>
        <v/>
      </c>
      <c r="B100" s="11">
        <f>IF('Per Invoice'!$V99="","",'Per Invoice'!E99)</f>
        <v/>
      </c>
      <c r="C100">
        <f>IF('Per Invoice'!$V99="","",'Per Invoice'!G99)</f>
        <v/>
      </c>
      <c r="D100">
        <f>IF('Per Invoice'!$V99="","",'Per Invoice'!H99)</f>
        <v/>
      </c>
      <c r="E100">
        <f>IF('Per Invoice'!$V99="","",'Per Invoice'!F99)</f>
        <v/>
      </c>
      <c r="F100" s="7">
        <f>IF('Per Invoice'!$V99="","",'Per Invoice'!P99)</f>
        <v/>
      </c>
      <c r="G100" s="7">
        <f>IF('Per Invoice'!$V99="","",'Per Invoice'!Q99)</f>
        <v/>
      </c>
      <c r="H100" s="7">
        <f>IF('Per Invoice'!$V99="","",'Per Invoice'!M99)</f>
        <v/>
      </c>
      <c r="I100" s="7">
        <f>IF('Per Invoice'!$V99="","",'Per Invoice'!N99)</f>
        <v/>
      </c>
      <c r="J100" s="7">
        <f>IF('Per Invoice'!$V99="","",'Per Invoice'!K99)</f>
        <v/>
      </c>
      <c r="K100" s="7">
        <f>IF('Per Invoice'!$V99="","",'Per Invoice'!T99)</f>
        <v/>
      </c>
      <c r="L100" s="7">
        <f>IF('Per Invoice'!$V99="","",'Per Invoice'!S99)</f>
        <v/>
      </c>
    </row>
    <row r="101">
      <c r="A101">
        <f>IF('Per Invoice'!$V100="","",ROWS($A$3:A101))</f>
        <v/>
      </c>
      <c r="B101" s="11">
        <f>IF('Per Invoice'!$V100="","",'Per Invoice'!E100)</f>
        <v/>
      </c>
      <c r="C101">
        <f>IF('Per Invoice'!$V100="","",'Per Invoice'!G100)</f>
        <v/>
      </c>
      <c r="D101">
        <f>IF('Per Invoice'!$V100="","",'Per Invoice'!H100)</f>
        <v/>
      </c>
      <c r="E101">
        <f>IF('Per Invoice'!$V100="","",'Per Invoice'!F100)</f>
        <v/>
      </c>
      <c r="F101" s="7">
        <f>IF('Per Invoice'!$V100="","",'Per Invoice'!P100)</f>
        <v/>
      </c>
      <c r="G101" s="7">
        <f>IF('Per Invoice'!$V100="","",'Per Invoice'!Q100)</f>
        <v/>
      </c>
      <c r="H101" s="7">
        <f>IF('Per Invoice'!$V100="","",'Per Invoice'!M100)</f>
        <v/>
      </c>
      <c r="I101" s="7">
        <f>IF('Per Invoice'!$V100="","",'Per Invoice'!N100)</f>
        <v/>
      </c>
      <c r="J101" s="7">
        <f>IF('Per Invoice'!$V100="","",'Per Invoice'!K100)</f>
        <v/>
      </c>
      <c r="K101" s="7">
        <f>IF('Per Invoice'!$V100="","",'Per Invoice'!T100)</f>
        <v/>
      </c>
      <c r="L101" s="7">
        <f>IF('Per Invoice'!$V100="","",'Per Invoice'!S100)</f>
        <v/>
      </c>
    </row>
    <row r="102">
      <c r="A102">
        <f>IF('Per Invoice'!$V101="","",ROWS($A$3:A102))</f>
        <v/>
      </c>
      <c r="B102" s="11">
        <f>IF('Per Invoice'!$V101="","",'Per Invoice'!E101)</f>
        <v/>
      </c>
      <c r="C102">
        <f>IF('Per Invoice'!$V101="","",'Per Invoice'!G101)</f>
        <v/>
      </c>
      <c r="D102">
        <f>IF('Per Invoice'!$V101="","",'Per Invoice'!H101)</f>
        <v/>
      </c>
      <c r="E102">
        <f>IF('Per Invoice'!$V101="","",'Per Invoice'!F101)</f>
        <v/>
      </c>
      <c r="F102" s="7">
        <f>IF('Per Invoice'!$V101="","",'Per Invoice'!P101)</f>
        <v/>
      </c>
      <c r="G102" s="7">
        <f>IF('Per Invoice'!$V101="","",'Per Invoice'!Q101)</f>
        <v/>
      </c>
      <c r="H102" s="7">
        <f>IF('Per Invoice'!$V101="","",'Per Invoice'!M101)</f>
        <v/>
      </c>
      <c r="I102" s="7">
        <f>IF('Per Invoice'!$V101="","",'Per Invoice'!N101)</f>
        <v/>
      </c>
      <c r="J102" s="7">
        <f>IF('Per Invoice'!$V101="","",'Per Invoice'!K101)</f>
        <v/>
      </c>
      <c r="K102" s="7">
        <f>IF('Per Invoice'!$V101="","",'Per Invoice'!T101)</f>
        <v/>
      </c>
      <c r="L102" s="7">
        <f>IF('Per Invoice'!$V101="","",'Per Invoice'!S101)</f>
        <v/>
      </c>
    </row>
    <row r="103">
      <c r="A103">
        <f>IF('Per Invoice'!$V102="","",ROWS($A$3:A103))</f>
        <v/>
      </c>
      <c r="B103" s="11">
        <f>IF('Per Invoice'!$V102="","",'Per Invoice'!E102)</f>
        <v/>
      </c>
      <c r="C103">
        <f>IF('Per Invoice'!$V102="","",'Per Invoice'!G102)</f>
        <v/>
      </c>
      <c r="D103">
        <f>IF('Per Invoice'!$V102="","",'Per Invoice'!H102)</f>
        <v/>
      </c>
      <c r="E103">
        <f>IF('Per Invoice'!$V102="","",'Per Invoice'!F102)</f>
        <v/>
      </c>
      <c r="F103" s="7">
        <f>IF('Per Invoice'!$V102="","",'Per Invoice'!P102)</f>
        <v/>
      </c>
      <c r="G103" s="7">
        <f>IF('Per Invoice'!$V102="","",'Per Invoice'!Q102)</f>
        <v/>
      </c>
      <c r="H103" s="7">
        <f>IF('Per Invoice'!$V102="","",'Per Invoice'!M102)</f>
        <v/>
      </c>
      <c r="I103" s="7">
        <f>IF('Per Invoice'!$V102="","",'Per Invoice'!N102)</f>
        <v/>
      </c>
      <c r="J103" s="7">
        <f>IF('Per Invoice'!$V102="","",'Per Invoice'!K102)</f>
        <v/>
      </c>
      <c r="K103" s="7">
        <f>IF('Per Invoice'!$V102="","",'Per Invoice'!T102)</f>
        <v/>
      </c>
      <c r="L103" s="7">
        <f>IF('Per Invoice'!$V102="","",'Per Invoice'!S102)</f>
        <v/>
      </c>
    </row>
    <row r="104">
      <c r="A104">
        <f>IF('Per Invoice'!$V103="","",ROWS($A$3:A104))</f>
        <v/>
      </c>
      <c r="B104" s="11">
        <f>IF('Per Invoice'!$V103="","",'Per Invoice'!E103)</f>
        <v/>
      </c>
      <c r="C104">
        <f>IF('Per Invoice'!$V103="","",'Per Invoice'!G103)</f>
        <v/>
      </c>
      <c r="D104">
        <f>IF('Per Invoice'!$V103="","",'Per Invoice'!H103)</f>
        <v/>
      </c>
      <c r="E104">
        <f>IF('Per Invoice'!$V103="","",'Per Invoice'!F103)</f>
        <v/>
      </c>
      <c r="F104" s="7">
        <f>IF('Per Invoice'!$V103="","",'Per Invoice'!P103)</f>
        <v/>
      </c>
      <c r="G104" s="7">
        <f>IF('Per Invoice'!$V103="","",'Per Invoice'!Q103)</f>
        <v/>
      </c>
      <c r="H104" s="7">
        <f>IF('Per Invoice'!$V103="","",'Per Invoice'!M103)</f>
        <v/>
      </c>
      <c r="I104" s="7">
        <f>IF('Per Invoice'!$V103="","",'Per Invoice'!N103)</f>
        <v/>
      </c>
      <c r="J104" s="7">
        <f>IF('Per Invoice'!$V103="","",'Per Invoice'!K103)</f>
        <v/>
      </c>
      <c r="K104" s="7">
        <f>IF('Per Invoice'!$V103="","",'Per Invoice'!T103)</f>
        <v/>
      </c>
      <c r="L104" s="7">
        <f>IF('Per Invoice'!$V103="","",'Per Invoice'!S103)</f>
        <v/>
      </c>
    </row>
    <row r="105">
      <c r="A105">
        <f>IF('Per Invoice'!$V104="","",ROWS($A$3:A105))</f>
        <v/>
      </c>
      <c r="B105" s="11">
        <f>IF('Per Invoice'!$V104="","",'Per Invoice'!E104)</f>
        <v/>
      </c>
      <c r="C105">
        <f>IF('Per Invoice'!$V104="","",'Per Invoice'!G104)</f>
        <v/>
      </c>
      <c r="D105">
        <f>IF('Per Invoice'!$V104="","",'Per Invoice'!H104)</f>
        <v/>
      </c>
      <c r="E105">
        <f>IF('Per Invoice'!$V104="","",'Per Invoice'!F104)</f>
        <v/>
      </c>
      <c r="F105" s="7">
        <f>IF('Per Invoice'!$V104="","",'Per Invoice'!P104)</f>
        <v/>
      </c>
      <c r="G105" s="7">
        <f>IF('Per Invoice'!$V104="","",'Per Invoice'!Q104)</f>
        <v/>
      </c>
      <c r="H105" s="7">
        <f>IF('Per Invoice'!$V104="","",'Per Invoice'!M104)</f>
        <v/>
      </c>
      <c r="I105" s="7">
        <f>IF('Per Invoice'!$V104="","",'Per Invoice'!N104)</f>
        <v/>
      </c>
      <c r="J105" s="7">
        <f>IF('Per Invoice'!$V104="","",'Per Invoice'!K104)</f>
        <v/>
      </c>
      <c r="K105" s="7">
        <f>IF('Per Invoice'!$V104="","",'Per Invoice'!T104)</f>
        <v/>
      </c>
      <c r="L105" s="7">
        <f>IF('Per Invoice'!$V104="","",'Per Invoice'!S104)</f>
        <v/>
      </c>
    </row>
    <row r="106">
      <c r="A106">
        <f>IF('Per Invoice'!$V105="","",ROWS($A$3:A106))</f>
        <v/>
      </c>
      <c r="B106" s="11">
        <f>IF('Per Invoice'!$V105="","",'Per Invoice'!E105)</f>
        <v/>
      </c>
      <c r="C106">
        <f>IF('Per Invoice'!$V105="","",'Per Invoice'!G105)</f>
        <v/>
      </c>
      <c r="D106">
        <f>IF('Per Invoice'!$V105="","",'Per Invoice'!H105)</f>
        <v/>
      </c>
      <c r="E106">
        <f>IF('Per Invoice'!$V105="","",'Per Invoice'!F105)</f>
        <v/>
      </c>
      <c r="F106" s="7">
        <f>IF('Per Invoice'!$V105="","",'Per Invoice'!P105)</f>
        <v/>
      </c>
      <c r="G106" s="7">
        <f>IF('Per Invoice'!$V105="","",'Per Invoice'!Q105)</f>
        <v/>
      </c>
      <c r="H106" s="7">
        <f>IF('Per Invoice'!$V105="","",'Per Invoice'!M105)</f>
        <v/>
      </c>
      <c r="I106" s="7">
        <f>IF('Per Invoice'!$V105="","",'Per Invoice'!N105)</f>
        <v/>
      </c>
      <c r="J106" s="7">
        <f>IF('Per Invoice'!$V105="","",'Per Invoice'!K105)</f>
        <v/>
      </c>
      <c r="K106" s="7">
        <f>IF('Per Invoice'!$V105="","",'Per Invoice'!T105)</f>
        <v/>
      </c>
      <c r="L106" s="7">
        <f>IF('Per Invoice'!$V105="","",'Per Invoice'!S105)</f>
        <v/>
      </c>
    </row>
    <row r="107">
      <c r="A107">
        <f>IF('Per Invoice'!$V106="","",ROWS($A$3:A107))</f>
        <v/>
      </c>
      <c r="B107" s="11">
        <f>IF('Per Invoice'!$V106="","",'Per Invoice'!E106)</f>
        <v/>
      </c>
      <c r="C107">
        <f>IF('Per Invoice'!$V106="","",'Per Invoice'!G106)</f>
        <v/>
      </c>
      <c r="D107">
        <f>IF('Per Invoice'!$V106="","",'Per Invoice'!H106)</f>
        <v/>
      </c>
      <c r="E107">
        <f>IF('Per Invoice'!$V106="","",'Per Invoice'!F106)</f>
        <v/>
      </c>
      <c r="F107" s="7">
        <f>IF('Per Invoice'!$V106="","",'Per Invoice'!P106)</f>
        <v/>
      </c>
      <c r="G107" s="7">
        <f>IF('Per Invoice'!$V106="","",'Per Invoice'!Q106)</f>
        <v/>
      </c>
      <c r="H107" s="7">
        <f>IF('Per Invoice'!$V106="","",'Per Invoice'!M106)</f>
        <v/>
      </c>
      <c r="I107" s="7">
        <f>IF('Per Invoice'!$V106="","",'Per Invoice'!N106)</f>
        <v/>
      </c>
      <c r="J107" s="7">
        <f>IF('Per Invoice'!$V106="","",'Per Invoice'!K106)</f>
        <v/>
      </c>
      <c r="K107" s="7">
        <f>IF('Per Invoice'!$V106="","",'Per Invoice'!T106)</f>
        <v/>
      </c>
      <c r="L107" s="7">
        <f>IF('Per Invoice'!$V106="","",'Per Invoice'!S106)</f>
        <v/>
      </c>
    </row>
    <row r="108">
      <c r="A108">
        <f>IF('Per Invoice'!$V107="","",ROWS($A$3:A108))</f>
        <v/>
      </c>
      <c r="B108" s="11">
        <f>IF('Per Invoice'!$V107="","",'Per Invoice'!E107)</f>
        <v/>
      </c>
      <c r="C108">
        <f>IF('Per Invoice'!$V107="","",'Per Invoice'!G107)</f>
        <v/>
      </c>
      <c r="D108">
        <f>IF('Per Invoice'!$V107="","",'Per Invoice'!H107)</f>
        <v/>
      </c>
      <c r="E108">
        <f>IF('Per Invoice'!$V107="","",'Per Invoice'!F107)</f>
        <v/>
      </c>
      <c r="F108" s="7">
        <f>IF('Per Invoice'!$V107="","",'Per Invoice'!P107)</f>
        <v/>
      </c>
      <c r="G108" s="7">
        <f>IF('Per Invoice'!$V107="","",'Per Invoice'!Q107)</f>
        <v/>
      </c>
      <c r="H108" s="7">
        <f>IF('Per Invoice'!$V107="","",'Per Invoice'!M107)</f>
        <v/>
      </c>
      <c r="I108" s="7">
        <f>IF('Per Invoice'!$V107="","",'Per Invoice'!N107)</f>
        <v/>
      </c>
      <c r="J108" s="7">
        <f>IF('Per Invoice'!$V107="","",'Per Invoice'!K107)</f>
        <v/>
      </c>
      <c r="K108" s="7">
        <f>IF('Per Invoice'!$V107="","",'Per Invoice'!T107)</f>
        <v/>
      </c>
      <c r="L108" s="7">
        <f>IF('Per Invoice'!$V107="","",'Per Invoice'!S107)</f>
        <v/>
      </c>
    </row>
    <row r="109">
      <c r="A109">
        <f>IF('Per Invoice'!$V108="","",ROWS($A$3:A109))</f>
        <v/>
      </c>
      <c r="B109" s="11">
        <f>IF('Per Invoice'!$V108="","",'Per Invoice'!E108)</f>
        <v/>
      </c>
      <c r="C109">
        <f>IF('Per Invoice'!$V108="","",'Per Invoice'!G108)</f>
        <v/>
      </c>
      <c r="D109">
        <f>IF('Per Invoice'!$V108="","",'Per Invoice'!H108)</f>
        <v/>
      </c>
      <c r="E109">
        <f>IF('Per Invoice'!$V108="","",'Per Invoice'!F108)</f>
        <v/>
      </c>
      <c r="F109" s="7">
        <f>IF('Per Invoice'!$V108="","",'Per Invoice'!P108)</f>
        <v/>
      </c>
      <c r="G109" s="7">
        <f>IF('Per Invoice'!$V108="","",'Per Invoice'!Q108)</f>
        <v/>
      </c>
      <c r="H109" s="7">
        <f>IF('Per Invoice'!$V108="","",'Per Invoice'!M108)</f>
        <v/>
      </c>
      <c r="I109" s="7">
        <f>IF('Per Invoice'!$V108="","",'Per Invoice'!N108)</f>
        <v/>
      </c>
      <c r="J109" s="7">
        <f>IF('Per Invoice'!$V108="","",'Per Invoice'!K108)</f>
        <v/>
      </c>
      <c r="K109" s="7">
        <f>IF('Per Invoice'!$V108="","",'Per Invoice'!T108)</f>
        <v/>
      </c>
      <c r="L109" s="7">
        <f>IF('Per Invoice'!$V108="","",'Per Invoice'!S108)</f>
        <v/>
      </c>
    </row>
    <row r="110">
      <c r="A110">
        <f>IF('Per Invoice'!$V109="","",ROWS($A$3:A110))</f>
        <v/>
      </c>
      <c r="B110" s="11">
        <f>IF('Per Invoice'!$V109="","",'Per Invoice'!E109)</f>
        <v/>
      </c>
      <c r="C110">
        <f>IF('Per Invoice'!$V109="","",'Per Invoice'!G109)</f>
        <v/>
      </c>
      <c r="D110">
        <f>IF('Per Invoice'!$V109="","",'Per Invoice'!H109)</f>
        <v/>
      </c>
      <c r="E110">
        <f>IF('Per Invoice'!$V109="","",'Per Invoice'!F109)</f>
        <v/>
      </c>
      <c r="F110" s="7">
        <f>IF('Per Invoice'!$V109="","",'Per Invoice'!P109)</f>
        <v/>
      </c>
      <c r="G110" s="7">
        <f>IF('Per Invoice'!$V109="","",'Per Invoice'!Q109)</f>
        <v/>
      </c>
      <c r="H110" s="7">
        <f>IF('Per Invoice'!$V109="","",'Per Invoice'!M109)</f>
        <v/>
      </c>
      <c r="I110" s="7">
        <f>IF('Per Invoice'!$V109="","",'Per Invoice'!N109)</f>
        <v/>
      </c>
      <c r="J110" s="7">
        <f>IF('Per Invoice'!$V109="","",'Per Invoice'!K109)</f>
        <v/>
      </c>
      <c r="K110" s="7">
        <f>IF('Per Invoice'!$V109="","",'Per Invoice'!T109)</f>
        <v/>
      </c>
      <c r="L110" s="7">
        <f>IF('Per Invoice'!$V109="","",'Per Invoice'!S109)</f>
        <v/>
      </c>
    </row>
    <row r="111">
      <c r="A111">
        <f>IF('Per Invoice'!$V110="","",ROWS($A$3:A111))</f>
        <v/>
      </c>
      <c r="B111" s="11">
        <f>IF('Per Invoice'!$V110="","",'Per Invoice'!E110)</f>
        <v/>
      </c>
      <c r="C111">
        <f>IF('Per Invoice'!$V110="","",'Per Invoice'!G110)</f>
        <v/>
      </c>
      <c r="D111">
        <f>IF('Per Invoice'!$V110="","",'Per Invoice'!H110)</f>
        <v/>
      </c>
      <c r="E111">
        <f>IF('Per Invoice'!$V110="","",'Per Invoice'!F110)</f>
        <v/>
      </c>
      <c r="F111" s="7">
        <f>IF('Per Invoice'!$V110="","",'Per Invoice'!P110)</f>
        <v/>
      </c>
      <c r="G111" s="7">
        <f>IF('Per Invoice'!$V110="","",'Per Invoice'!Q110)</f>
        <v/>
      </c>
      <c r="H111" s="7">
        <f>IF('Per Invoice'!$V110="","",'Per Invoice'!M110)</f>
        <v/>
      </c>
      <c r="I111" s="7">
        <f>IF('Per Invoice'!$V110="","",'Per Invoice'!N110)</f>
        <v/>
      </c>
      <c r="J111" s="7">
        <f>IF('Per Invoice'!$V110="","",'Per Invoice'!K110)</f>
        <v/>
      </c>
      <c r="K111" s="7">
        <f>IF('Per Invoice'!$V110="","",'Per Invoice'!T110)</f>
        <v/>
      </c>
      <c r="L111" s="7">
        <f>IF('Per Invoice'!$V110="","",'Per Invoice'!S110)</f>
        <v/>
      </c>
    </row>
    <row r="112">
      <c r="A112">
        <f>IF('Per Invoice'!$V111="","",ROWS($A$3:A112))</f>
        <v/>
      </c>
      <c r="B112" s="11">
        <f>IF('Per Invoice'!$V111="","",'Per Invoice'!E111)</f>
        <v/>
      </c>
      <c r="C112">
        <f>IF('Per Invoice'!$V111="","",'Per Invoice'!G111)</f>
        <v/>
      </c>
      <c r="D112">
        <f>IF('Per Invoice'!$V111="","",'Per Invoice'!H111)</f>
        <v/>
      </c>
      <c r="E112">
        <f>IF('Per Invoice'!$V111="","",'Per Invoice'!F111)</f>
        <v/>
      </c>
      <c r="F112" s="7">
        <f>IF('Per Invoice'!$V111="","",'Per Invoice'!P111)</f>
        <v/>
      </c>
      <c r="G112" s="7">
        <f>IF('Per Invoice'!$V111="","",'Per Invoice'!Q111)</f>
        <v/>
      </c>
      <c r="H112" s="7">
        <f>IF('Per Invoice'!$V111="","",'Per Invoice'!M111)</f>
        <v/>
      </c>
      <c r="I112" s="7">
        <f>IF('Per Invoice'!$V111="","",'Per Invoice'!N111)</f>
        <v/>
      </c>
      <c r="J112" s="7">
        <f>IF('Per Invoice'!$V111="","",'Per Invoice'!K111)</f>
        <v/>
      </c>
      <c r="K112" s="7">
        <f>IF('Per Invoice'!$V111="","",'Per Invoice'!T111)</f>
        <v/>
      </c>
      <c r="L112" s="7">
        <f>IF('Per Invoice'!$V111="","",'Per Invoice'!S111)</f>
        <v/>
      </c>
    </row>
    <row r="113">
      <c r="A113">
        <f>IF('Per Invoice'!$V112="","",ROWS($A$3:A113))</f>
        <v/>
      </c>
      <c r="B113" s="11">
        <f>IF('Per Invoice'!$V112="","",'Per Invoice'!E112)</f>
        <v/>
      </c>
      <c r="C113">
        <f>IF('Per Invoice'!$V112="","",'Per Invoice'!G112)</f>
        <v/>
      </c>
      <c r="D113">
        <f>IF('Per Invoice'!$V112="","",'Per Invoice'!H112)</f>
        <v/>
      </c>
      <c r="E113">
        <f>IF('Per Invoice'!$V112="","",'Per Invoice'!F112)</f>
        <v/>
      </c>
      <c r="F113" s="7">
        <f>IF('Per Invoice'!$V112="","",'Per Invoice'!P112)</f>
        <v/>
      </c>
      <c r="G113" s="7">
        <f>IF('Per Invoice'!$V112="","",'Per Invoice'!Q112)</f>
        <v/>
      </c>
      <c r="H113" s="7">
        <f>IF('Per Invoice'!$V112="","",'Per Invoice'!M112)</f>
        <v/>
      </c>
      <c r="I113" s="7">
        <f>IF('Per Invoice'!$V112="","",'Per Invoice'!N112)</f>
        <v/>
      </c>
      <c r="J113" s="7">
        <f>IF('Per Invoice'!$V112="","",'Per Invoice'!K112)</f>
        <v/>
      </c>
      <c r="K113" s="7">
        <f>IF('Per Invoice'!$V112="","",'Per Invoice'!T112)</f>
        <v/>
      </c>
      <c r="L113" s="7">
        <f>IF('Per Invoice'!$V112="","",'Per Invoice'!S112)</f>
        <v/>
      </c>
    </row>
    <row r="114">
      <c r="A114">
        <f>IF('Per Invoice'!$V113="","",ROWS($A$3:A114))</f>
        <v/>
      </c>
      <c r="B114" s="11">
        <f>IF('Per Invoice'!$V113="","",'Per Invoice'!E113)</f>
        <v/>
      </c>
      <c r="C114">
        <f>IF('Per Invoice'!$V113="","",'Per Invoice'!G113)</f>
        <v/>
      </c>
      <c r="D114">
        <f>IF('Per Invoice'!$V113="","",'Per Invoice'!H113)</f>
        <v/>
      </c>
      <c r="E114">
        <f>IF('Per Invoice'!$V113="","",'Per Invoice'!F113)</f>
        <v/>
      </c>
      <c r="F114" s="7">
        <f>IF('Per Invoice'!$V113="","",'Per Invoice'!P113)</f>
        <v/>
      </c>
      <c r="G114" s="7">
        <f>IF('Per Invoice'!$V113="","",'Per Invoice'!Q113)</f>
        <v/>
      </c>
      <c r="H114" s="7">
        <f>IF('Per Invoice'!$V113="","",'Per Invoice'!M113)</f>
        <v/>
      </c>
      <c r="I114" s="7">
        <f>IF('Per Invoice'!$V113="","",'Per Invoice'!N113)</f>
        <v/>
      </c>
      <c r="J114" s="7">
        <f>IF('Per Invoice'!$V113="","",'Per Invoice'!K113)</f>
        <v/>
      </c>
      <c r="K114" s="7">
        <f>IF('Per Invoice'!$V113="","",'Per Invoice'!T113)</f>
        <v/>
      </c>
      <c r="L114" s="7">
        <f>IF('Per Invoice'!$V113="","",'Per Invoice'!S113)</f>
        <v/>
      </c>
    </row>
    <row r="115">
      <c r="A115">
        <f>IF('Per Invoice'!$V114="","",ROWS($A$3:A115))</f>
        <v/>
      </c>
      <c r="B115" s="11">
        <f>IF('Per Invoice'!$V114="","",'Per Invoice'!E114)</f>
        <v/>
      </c>
      <c r="C115">
        <f>IF('Per Invoice'!$V114="","",'Per Invoice'!G114)</f>
        <v/>
      </c>
      <c r="D115">
        <f>IF('Per Invoice'!$V114="","",'Per Invoice'!H114)</f>
        <v/>
      </c>
      <c r="E115">
        <f>IF('Per Invoice'!$V114="","",'Per Invoice'!F114)</f>
        <v/>
      </c>
      <c r="F115" s="7">
        <f>IF('Per Invoice'!$V114="","",'Per Invoice'!P114)</f>
        <v/>
      </c>
      <c r="G115" s="7">
        <f>IF('Per Invoice'!$V114="","",'Per Invoice'!Q114)</f>
        <v/>
      </c>
      <c r="H115" s="7">
        <f>IF('Per Invoice'!$V114="","",'Per Invoice'!M114)</f>
        <v/>
      </c>
      <c r="I115" s="7">
        <f>IF('Per Invoice'!$V114="","",'Per Invoice'!N114)</f>
        <v/>
      </c>
      <c r="J115" s="7">
        <f>IF('Per Invoice'!$V114="","",'Per Invoice'!K114)</f>
        <v/>
      </c>
      <c r="K115" s="7">
        <f>IF('Per Invoice'!$V114="","",'Per Invoice'!T114)</f>
        <v/>
      </c>
      <c r="L115" s="7">
        <f>IF('Per Invoice'!$V114="","",'Per Invoice'!S114)</f>
        <v/>
      </c>
    </row>
    <row r="116">
      <c r="A116">
        <f>IF('Per Invoice'!$V115="","",ROWS($A$3:A116))</f>
        <v/>
      </c>
      <c r="B116" s="11">
        <f>IF('Per Invoice'!$V115="","",'Per Invoice'!E115)</f>
        <v/>
      </c>
      <c r="C116">
        <f>IF('Per Invoice'!$V115="","",'Per Invoice'!G115)</f>
        <v/>
      </c>
      <c r="D116">
        <f>IF('Per Invoice'!$V115="","",'Per Invoice'!H115)</f>
        <v/>
      </c>
      <c r="E116">
        <f>IF('Per Invoice'!$V115="","",'Per Invoice'!F115)</f>
        <v/>
      </c>
      <c r="F116" s="7">
        <f>IF('Per Invoice'!$V115="","",'Per Invoice'!P115)</f>
        <v/>
      </c>
      <c r="G116" s="7">
        <f>IF('Per Invoice'!$V115="","",'Per Invoice'!Q115)</f>
        <v/>
      </c>
      <c r="H116" s="7">
        <f>IF('Per Invoice'!$V115="","",'Per Invoice'!M115)</f>
        <v/>
      </c>
      <c r="I116" s="7">
        <f>IF('Per Invoice'!$V115="","",'Per Invoice'!N115)</f>
        <v/>
      </c>
      <c r="J116" s="7">
        <f>IF('Per Invoice'!$V115="","",'Per Invoice'!K115)</f>
        <v/>
      </c>
      <c r="K116" s="7">
        <f>IF('Per Invoice'!$V115="","",'Per Invoice'!T115)</f>
        <v/>
      </c>
      <c r="L116" s="7">
        <f>IF('Per Invoice'!$V115="","",'Per Invoice'!S115)</f>
        <v/>
      </c>
    </row>
    <row r="117">
      <c r="A117">
        <f>IF('Per Invoice'!$V116="","",ROWS($A$3:A117))</f>
        <v/>
      </c>
      <c r="B117" s="11">
        <f>IF('Per Invoice'!$V116="","",'Per Invoice'!E116)</f>
        <v/>
      </c>
      <c r="C117">
        <f>IF('Per Invoice'!$V116="","",'Per Invoice'!G116)</f>
        <v/>
      </c>
      <c r="D117">
        <f>IF('Per Invoice'!$V116="","",'Per Invoice'!H116)</f>
        <v/>
      </c>
      <c r="E117">
        <f>IF('Per Invoice'!$V116="","",'Per Invoice'!F116)</f>
        <v/>
      </c>
      <c r="F117" s="7">
        <f>IF('Per Invoice'!$V116="","",'Per Invoice'!P116)</f>
        <v/>
      </c>
      <c r="G117" s="7">
        <f>IF('Per Invoice'!$V116="","",'Per Invoice'!Q116)</f>
        <v/>
      </c>
      <c r="H117" s="7">
        <f>IF('Per Invoice'!$V116="","",'Per Invoice'!M116)</f>
        <v/>
      </c>
      <c r="I117" s="7">
        <f>IF('Per Invoice'!$V116="","",'Per Invoice'!N116)</f>
        <v/>
      </c>
      <c r="J117" s="7">
        <f>IF('Per Invoice'!$V116="","",'Per Invoice'!K116)</f>
        <v/>
      </c>
      <c r="K117" s="7">
        <f>IF('Per Invoice'!$V116="","",'Per Invoice'!T116)</f>
        <v/>
      </c>
      <c r="L117" s="7">
        <f>IF('Per Invoice'!$V116="","",'Per Invoice'!S116)</f>
        <v/>
      </c>
    </row>
    <row r="118">
      <c r="A118">
        <f>IF('Per Invoice'!$V117="","",ROWS($A$3:A118))</f>
        <v/>
      </c>
      <c r="B118" s="11">
        <f>IF('Per Invoice'!$V117="","",'Per Invoice'!E117)</f>
        <v/>
      </c>
      <c r="C118">
        <f>IF('Per Invoice'!$V117="","",'Per Invoice'!G117)</f>
        <v/>
      </c>
      <c r="D118">
        <f>IF('Per Invoice'!$V117="","",'Per Invoice'!H117)</f>
        <v/>
      </c>
      <c r="E118">
        <f>IF('Per Invoice'!$V117="","",'Per Invoice'!F117)</f>
        <v/>
      </c>
      <c r="F118" s="7">
        <f>IF('Per Invoice'!$V117="","",'Per Invoice'!P117)</f>
        <v/>
      </c>
      <c r="G118" s="7">
        <f>IF('Per Invoice'!$V117="","",'Per Invoice'!Q117)</f>
        <v/>
      </c>
      <c r="H118" s="7">
        <f>IF('Per Invoice'!$V117="","",'Per Invoice'!M117)</f>
        <v/>
      </c>
      <c r="I118" s="7">
        <f>IF('Per Invoice'!$V117="","",'Per Invoice'!N117)</f>
        <v/>
      </c>
      <c r="J118" s="7">
        <f>IF('Per Invoice'!$V117="","",'Per Invoice'!K117)</f>
        <v/>
      </c>
      <c r="K118" s="7">
        <f>IF('Per Invoice'!$V117="","",'Per Invoice'!T117)</f>
        <v/>
      </c>
      <c r="L118" s="7">
        <f>IF('Per Invoice'!$V117="","",'Per Invoice'!S117)</f>
        <v/>
      </c>
    </row>
    <row r="119">
      <c r="A119">
        <f>IF('Per Invoice'!$V118="","",ROWS($A$3:A119))</f>
        <v/>
      </c>
      <c r="B119" s="11">
        <f>IF('Per Invoice'!$V118="","",'Per Invoice'!E118)</f>
        <v/>
      </c>
      <c r="C119">
        <f>IF('Per Invoice'!$V118="","",'Per Invoice'!G118)</f>
        <v/>
      </c>
      <c r="D119">
        <f>IF('Per Invoice'!$V118="","",'Per Invoice'!H118)</f>
        <v/>
      </c>
      <c r="E119">
        <f>IF('Per Invoice'!$V118="","",'Per Invoice'!F118)</f>
        <v/>
      </c>
      <c r="F119" s="7">
        <f>IF('Per Invoice'!$V118="","",'Per Invoice'!P118)</f>
        <v/>
      </c>
      <c r="G119" s="7">
        <f>IF('Per Invoice'!$V118="","",'Per Invoice'!Q118)</f>
        <v/>
      </c>
      <c r="H119" s="7">
        <f>IF('Per Invoice'!$V118="","",'Per Invoice'!M118)</f>
        <v/>
      </c>
      <c r="I119" s="7">
        <f>IF('Per Invoice'!$V118="","",'Per Invoice'!N118)</f>
        <v/>
      </c>
      <c r="J119" s="7">
        <f>IF('Per Invoice'!$V118="","",'Per Invoice'!K118)</f>
        <v/>
      </c>
      <c r="K119" s="7">
        <f>IF('Per Invoice'!$V118="","",'Per Invoice'!T118)</f>
        <v/>
      </c>
      <c r="L119" s="7">
        <f>IF('Per Invoice'!$V118="","",'Per Invoice'!S118)</f>
        <v/>
      </c>
    </row>
    <row r="120">
      <c r="A120">
        <f>IF('Per Invoice'!$V119="","",ROWS($A$3:A120))</f>
        <v/>
      </c>
      <c r="B120" s="11">
        <f>IF('Per Invoice'!$V119="","",'Per Invoice'!E119)</f>
        <v/>
      </c>
      <c r="C120">
        <f>IF('Per Invoice'!$V119="","",'Per Invoice'!G119)</f>
        <v/>
      </c>
      <c r="D120">
        <f>IF('Per Invoice'!$V119="","",'Per Invoice'!H119)</f>
        <v/>
      </c>
      <c r="E120">
        <f>IF('Per Invoice'!$V119="","",'Per Invoice'!F119)</f>
        <v/>
      </c>
      <c r="F120" s="7">
        <f>IF('Per Invoice'!$V119="","",'Per Invoice'!P119)</f>
        <v/>
      </c>
      <c r="G120" s="7">
        <f>IF('Per Invoice'!$V119="","",'Per Invoice'!Q119)</f>
        <v/>
      </c>
      <c r="H120" s="7">
        <f>IF('Per Invoice'!$V119="","",'Per Invoice'!M119)</f>
        <v/>
      </c>
      <c r="I120" s="7">
        <f>IF('Per Invoice'!$V119="","",'Per Invoice'!N119)</f>
        <v/>
      </c>
      <c r="J120" s="7">
        <f>IF('Per Invoice'!$V119="","",'Per Invoice'!K119)</f>
        <v/>
      </c>
      <c r="K120" s="7">
        <f>IF('Per Invoice'!$V119="","",'Per Invoice'!T119)</f>
        <v/>
      </c>
      <c r="L120" s="7">
        <f>IF('Per Invoice'!$V119="","",'Per Invoice'!S119)</f>
        <v/>
      </c>
    </row>
    <row r="121">
      <c r="A121">
        <f>IF('Per Invoice'!$V120="","",ROWS($A$3:A121))</f>
        <v/>
      </c>
      <c r="B121" s="11">
        <f>IF('Per Invoice'!$V120="","",'Per Invoice'!E120)</f>
        <v/>
      </c>
      <c r="C121">
        <f>IF('Per Invoice'!$V120="","",'Per Invoice'!G120)</f>
        <v/>
      </c>
      <c r="D121">
        <f>IF('Per Invoice'!$V120="","",'Per Invoice'!H120)</f>
        <v/>
      </c>
      <c r="E121">
        <f>IF('Per Invoice'!$V120="","",'Per Invoice'!F120)</f>
        <v/>
      </c>
      <c r="F121" s="7">
        <f>IF('Per Invoice'!$V120="","",'Per Invoice'!P120)</f>
        <v/>
      </c>
      <c r="G121" s="7">
        <f>IF('Per Invoice'!$V120="","",'Per Invoice'!Q120)</f>
        <v/>
      </c>
      <c r="H121" s="7">
        <f>IF('Per Invoice'!$V120="","",'Per Invoice'!M120)</f>
        <v/>
      </c>
      <c r="I121" s="7">
        <f>IF('Per Invoice'!$V120="","",'Per Invoice'!N120)</f>
        <v/>
      </c>
      <c r="J121" s="7">
        <f>IF('Per Invoice'!$V120="","",'Per Invoice'!K120)</f>
        <v/>
      </c>
      <c r="K121" s="7">
        <f>IF('Per Invoice'!$V120="","",'Per Invoice'!T120)</f>
        <v/>
      </c>
      <c r="L121" s="7">
        <f>IF('Per Invoice'!$V120="","",'Per Invoice'!S120)</f>
        <v/>
      </c>
    </row>
    <row r="122">
      <c r="A122">
        <f>IF('Per Invoice'!$V121="","",ROWS($A$3:A122))</f>
        <v/>
      </c>
      <c r="B122" s="11">
        <f>IF('Per Invoice'!$V121="","",'Per Invoice'!E121)</f>
        <v/>
      </c>
      <c r="C122">
        <f>IF('Per Invoice'!$V121="","",'Per Invoice'!G121)</f>
        <v/>
      </c>
      <c r="D122">
        <f>IF('Per Invoice'!$V121="","",'Per Invoice'!H121)</f>
        <v/>
      </c>
      <c r="E122">
        <f>IF('Per Invoice'!$V121="","",'Per Invoice'!F121)</f>
        <v/>
      </c>
      <c r="F122" s="7">
        <f>IF('Per Invoice'!$V121="","",'Per Invoice'!P121)</f>
        <v/>
      </c>
      <c r="G122" s="7">
        <f>IF('Per Invoice'!$V121="","",'Per Invoice'!Q121)</f>
        <v/>
      </c>
      <c r="H122" s="7">
        <f>IF('Per Invoice'!$V121="","",'Per Invoice'!M121)</f>
        <v/>
      </c>
      <c r="I122" s="7">
        <f>IF('Per Invoice'!$V121="","",'Per Invoice'!N121)</f>
        <v/>
      </c>
      <c r="J122" s="7">
        <f>IF('Per Invoice'!$V121="","",'Per Invoice'!K121)</f>
        <v/>
      </c>
      <c r="K122" s="7">
        <f>IF('Per Invoice'!$V121="","",'Per Invoice'!T121)</f>
        <v/>
      </c>
      <c r="L122" s="7">
        <f>IF('Per Invoice'!$V121="","",'Per Invoice'!S121)</f>
        <v/>
      </c>
    </row>
    <row r="123">
      <c r="A123">
        <f>IF('Per Invoice'!$V122="","",ROWS($A$3:A123))</f>
        <v/>
      </c>
      <c r="B123" s="11">
        <f>IF('Per Invoice'!$V122="","",'Per Invoice'!E122)</f>
        <v/>
      </c>
      <c r="C123">
        <f>IF('Per Invoice'!$V122="","",'Per Invoice'!G122)</f>
        <v/>
      </c>
      <c r="D123">
        <f>IF('Per Invoice'!$V122="","",'Per Invoice'!H122)</f>
        <v/>
      </c>
      <c r="E123">
        <f>IF('Per Invoice'!$V122="","",'Per Invoice'!F122)</f>
        <v/>
      </c>
      <c r="F123" s="7">
        <f>IF('Per Invoice'!$V122="","",'Per Invoice'!P122)</f>
        <v/>
      </c>
      <c r="G123" s="7">
        <f>IF('Per Invoice'!$V122="","",'Per Invoice'!Q122)</f>
        <v/>
      </c>
      <c r="H123" s="7">
        <f>IF('Per Invoice'!$V122="","",'Per Invoice'!M122)</f>
        <v/>
      </c>
      <c r="I123" s="7">
        <f>IF('Per Invoice'!$V122="","",'Per Invoice'!N122)</f>
        <v/>
      </c>
      <c r="J123" s="7">
        <f>IF('Per Invoice'!$V122="","",'Per Invoice'!K122)</f>
        <v/>
      </c>
      <c r="K123" s="7">
        <f>IF('Per Invoice'!$V122="","",'Per Invoice'!T122)</f>
        <v/>
      </c>
      <c r="L123" s="7">
        <f>IF('Per Invoice'!$V122="","",'Per Invoice'!S122)</f>
        <v/>
      </c>
    </row>
    <row r="124">
      <c r="A124">
        <f>IF('Per Invoice'!$V123="","",ROWS($A$3:A124))</f>
        <v/>
      </c>
      <c r="B124" s="11">
        <f>IF('Per Invoice'!$V123="","",'Per Invoice'!E123)</f>
        <v/>
      </c>
      <c r="C124">
        <f>IF('Per Invoice'!$V123="","",'Per Invoice'!G123)</f>
        <v/>
      </c>
      <c r="D124">
        <f>IF('Per Invoice'!$V123="","",'Per Invoice'!H123)</f>
        <v/>
      </c>
      <c r="E124">
        <f>IF('Per Invoice'!$V123="","",'Per Invoice'!F123)</f>
        <v/>
      </c>
      <c r="F124" s="7">
        <f>IF('Per Invoice'!$V123="","",'Per Invoice'!P123)</f>
        <v/>
      </c>
      <c r="G124" s="7">
        <f>IF('Per Invoice'!$V123="","",'Per Invoice'!Q123)</f>
        <v/>
      </c>
      <c r="H124" s="7">
        <f>IF('Per Invoice'!$V123="","",'Per Invoice'!M123)</f>
        <v/>
      </c>
      <c r="I124" s="7">
        <f>IF('Per Invoice'!$V123="","",'Per Invoice'!N123)</f>
        <v/>
      </c>
      <c r="J124" s="7">
        <f>IF('Per Invoice'!$V123="","",'Per Invoice'!K123)</f>
        <v/>
      </c>
      <c r="K124" s="7">
        <f>IF('Per Invoice'!$V123="","",'Per Invoice'!T123)</f>
        <v/>
      </c>
      <c r="L124" s="7">
        <f>IF('Per Invoice'!$V123="","",'Per Invoice'!S123)</f>
        <v/>
      </c>
    </row>
    <row r="125">
      <c r="A125">
        <f>IF('Per Invoice'!$V124="","",ROWS($A$3:A125))</f>
        <v/>
      </c>
      <c r="B125" s="11">
        <f>IF('Per Invoice'!$V124="","",'Per Invoice'!E124)</f>
        <v/>
      </c>
      <c r="C125">
        <f>IF('Per Invoice'!$V124="","",'Per Invoice'!G124)</f>
        <v/>
      </c>
      <c r="D125">
        <f>IF('Per Invoice'!$V124="","",'Per Invoice'!H124)</f>
        <v/>
      </c>
      <c r="E125">
        <f>IF('Per Invoice'!$V124="","",'Per Invoice'!F124)</f>
        <v/>
      </c>
      <c r="F125" s="7">
        <f>IF('Per Invoice'!$V124="","",'Per Invoice'!P124)</f>
        <v/>
      </c>
      <c r="G125" s="7">
        <f>IF('Per Invoice'!$V124="","",'Per Invoice'!Q124)</f>
        <v/>
      </c>
      <c r="H125" s="7">
        <f>IF('Per Invoice'!$V124="","",'Per Invoice'!M124)</f>
        <v/>
      </c>
      <c r="I125" s="7">
        <f>IF('Per Invoice'!$V124="","",'Per Invoice'!N124)</f>
        <v/>
      </c>
      <c r="J125" s="7">
        <f>IF('Per Invoice'!$V124="","",'Per Invoice'!K124)</f>
        <v/>
      </c>
      <c r="K125" s="7">
        <f>IF('Per Invoice'!$V124="","",'Per Invoice'!T124)</f>
        <v/>
      </c>
      <c r="L125" s="7">
        <f>IF('Per Invoice'!$V124="","",'Per Invoice'!S124)</f>
        <v/>
      </c>
    </row>
    <row r="126">
      <c r="A126">
        <f>IF('Per Invoice'!$V125="","",ROWS($A$3:A126))</f>
        <v/>
      </c>
      <c r="B126" s="11">
        <f>IF('Per Invoice'!$V125="","",'Per Invoice'!E125)</f>
        <v/>
      </c>
      <c r="C126">
        <f>IF('Per Invoice'!$V125="","",'Per Invoice'!G125)</f>
        <v/>
      </c>
      <c r="D126">
        <f>IF('Per Invoice'!$V125="","",'Per Invoice'!H125)</f>
        <v/>
      </c>
      <c r="E126">
        <f>IF('Per Invoice'!$V125="","",'Per Invoice'!F125)</f>
        <v/>
      </c>
      <c r="F126" s="7">
        <f>IF('Per Invoice'!$V125="","",'Per Invoice'!P125)</f>
        <v/>
      </c>
      <c r="G126" s="7">
        <f>IF('Per Invoice'!$V125="","",'Per Invoice'!Q125)</f>
        <v/>
      </c>
      <c r="H126" s="7">
        <f>IF('Per Invoice'!$V125="","",'Per Invoice'!M125)</f>
        <v/>
      </c>
      <c r="I126" s="7">
        <f>IF('Per Invoice'!$V125="","",'Per Invoice'!N125)</f>
        <v/>
      </c>
      <c r="J126" s="7">
        <f>IF('Per Invoice'!$V125="","",'Per Invoice'!K125)</f>
        <v/>
      </c>
      <c r="K126" s="7">
        <f>IF('Per Invoice'!$V125="","",'Per Invoice'!T125)</f>
        <v/>
      </c>
      <c r="L126" s="7">
        <f>IF('Per Invoice'!$V125="","",'Per Invoice'!S125)</f>
        <v/>
      </c>
    </row>
    <row r="127">
      <c r="A127">
        <f>IF('Per Invoice'!$V126="","",ROWS($A$3:A127))</f>
        <v/>
      </c>
      <c r="B127" s="11">
        <f>IF('Per Invoice'!$V126="","",'Per Invoice'!E126)</f>
        <v/>
      </c>
      <c r="C127">
        <f>IF('Per Invoice'!$V126="","",'Per Invoice'!G126)</f>
        <v/>
      </c>
      <c r="D127">
        <f>IF('Per Invoice'!$V126="","",'Per Invoice'!H126)</f>
        <v/>
      </c>
      <c r="E127">
        <f>IF('Per Invoice'!$V126="","",'Per Invoice'!F126)</f>
        <v/>
      </c>
      <c r="F127" s="7">
        <f>IF('Per Invoice'!$V126="","",'Per Invoice'!P126)</f>
        <v/>
      </c>
      <c r="G127" s="7">
        <f>IF('Per Invoice'!$V126="","",'Per Invoice'!Q126)</f>
        <v/>
      </c>
      <c r="H127" s="7">
        <f>IF('Per Invoice'!$V126="","",'Per Invoice'!M126)</f>
        <v/>
      </c>
      <c r="I127" s="7">
        <f>IF('Per Invoice'!$V126="","",'Per Invoice'!N126)</f>
        <v/>
      </c>
      <c r="J127" s="7">
        <f>IF('Per Invoice'!$V126="","",'Per Invoice'!K126)</f>
        <v/>
      </c>
      <c r="K127" s="7">
        <f>IF('Per Invoice'!$V126="","",'Per Invoice'!T126)</f>
        <v/>
      </c>
      <c r="L127" s="7">
        <f>IF('Per Invoice'!$V126="","",'Per Invoice'!S126)</f>
        <v/>
      </c>
    </row>
    <row r="128">
      <c r="A128">
        <f>IF('Per Invoice'!$V127="","",ROWS($A$3:A128))</f>
        <v/>
      </c>
      <c r="B128" s="11">
        <f>IF('Per Invoice'!$V127="","",'Per Invoice'!E127)</f>
        <v/>
      </c>
      <c r="C128">
        <f>IF('Per Invoice'!$V127="","",'Per Invoice'!G127)</f>
        <v/>
      </c>
      <c r="D128">
        <f>IF('Per Invoice'!$V127="","",'Per Invoice'!H127)</f>
        <v/>
      </c>
      <c r="E128">
        <f>IF('Per Invoice'!$V127="","",'Per Invoice'!F127)</f>
        <v/>
      </c>
      <c r="F128" s="7">
        <f>IF('Per Invoice'!$V127="","",'Per Invoice'!P127)</f>
        <v/>
      </c>
      <c r="G128" s="7">
        <f>IF('Per Invoice'!$V127="","",'Per Invoice'!Q127)</f>
        <v/>
      </c>
      <c r="H128" s="7">
        <f>IF('Per Invoice'!$V127="","",'Per Invoice'!M127)</f>
        <v/>
      </c>
      <c r="I128" s="7">
        <f>IF('Per Invoice'!$V127="","",'Per Invoice'!N127)</f>
        <v/>
      </c>
      <c r="J128" s="7">
        <f>IF('Per Invoice'!$V127="","",'Per Invoice'!K127)</f>
        <v/>
      </c>
      <c r="K128" s="7">
        <f>IF('Per Invoice'!$V127="","",'Per Invoice'!T127)</f>
        <v/>
      </c>
      <c r="L128" s="7">
        <f>IF('Per Invoice'!$V127="","",'Per Invoice'!S127)</f>
        <v/>
      </c>
    </row>
    <row r="129">
      <c r="A129">
        <f>IF('Per Invoice'!$V128="","",ROWS($A$3:A129))</f>
        <v/>
      </c>
      <c r="B129" s="11">
        <f>IF('Per Invoice'!$V128="","",'Per Invoice'!E128)</f>
        <v/>
      </c>
      <c r="C129">
        <f>IF('Per Invoice'!$V128="","",'Per Invoice'!G128)</f>
        <v/>
      </c>
      <c r="D129">
        <f>IF('Per Invoice'!$V128="","",'Per Invoice'!H128)</f>
        <v/>
      </c>
      <c r="E129">
        <f>IF('Per Invoice'!$V128="","",'Per Invoice'!F128)</f>
        <v/>
      </c>
      <c r="F129" s="7">
        <f>IF('Per Invoice'!$V128="","",'Per Invoice'!P128)</f>
        <v/>
      </c>
      <c r="G129" s="7">
        <f>IF('Per Invoice'!$V128="","",'Per Invoice'!Q128)</f>
        <v/>
      </c>
      <c r="H129" s="7">
        <f>IF('Per Invoice'!$V128="","",'Per Invoice'!M128)</f>
        <v/>
      </c>
      <c r="I129" s="7">
        <f>IF('Per Invoice'!$V128="","",'Per Invoice'!N128)</f>
        <v/>
      </c>
      <c r="J129" s="7">
        <f>IF('Per Invoice'!$V128="","",'Per Invoice'!K128)</f>
        <v/>
      </c>
      <c r="K129" s="7">
        <f>IF('Per Invoice'!$V128="","",'Per Invoice'!T128)</f>
        <v/>
      </c>
      <c r="L129" s="7">
        <f>IF('Per Invoice'!$V128="","",'Per Invoice'!S128)</f>
        <v/>
      </c>
    </row>
    <row r="130">
      <c r="A130">
        <f>IF('Per Invoice'!$V129="","",ROWS($A$3:A130))</f>
        <v/>
      </c>
      <c r="B130" s="11">
        <f>IF('Per Invoice'!$V129="","",'Per Invoice'!E129)</f>
        <v/>
      </c>
      <c r="C130">
        <f>IF('Per Invoice'!$V129="","",'Per Invoice'!G129)</f>
        <v/>
      </c>
      <c r="D130">
        <f>IF('Per Invoice'!$V129="","",'Per Invoice'!H129)</f>
        <v/>
      </c>
      <c r="E130">
        <f>IF('Per Invoice'!$V129="","",'Per Invoice'!F129)</f>
        <v/>
      </c>
      <c r="F130" s="7">
        <f>IF('Per Invoice'!$V129="","",'Per Invoice'!P129)</f>
        <v/>
      </c>
      <c r="G130" s="7">
        <f>IF('Per Invoice'!$V129="","",'Per Invoice'!Q129)</f>
        <v/>
      </c>
      <c r="H130" s="7">
        <f>IF('Per Invoice'!$V129="","",'Per Invoice'!M129)</f>
        <v/>
      </c>
      <c r="I130" s="7">
        <f>IF('Per Invoice'!$V129="","",'Per Invoice'!N129)</f>
        <v/>
      </c>
      <c r="J130" s="7">
        <f>IF('Per Invoice'!$V129="","",'Per Invoice'!K129)</f>
        <v/>
      </c>
      <c r="K130" s="7">
        <f>IF('Per Invoice'!$V129="","",'Per Invoice'!T129)</f>
        <v/>
      </c>
      <c r="L130" s="7">
        <f>IF('Per Invoice'!$V129="","",'Per Invoice'!S129)</f>
        <v/>
      </c>
    </row>
    <row r="131">
      <c r="A131">
        <f>IF('Per Invoice'!$V130="","",ROWS($A$3:A131))</f>
        <v/>
      </c>
      <c r="B131" s="11">
        <f>IF('Per Invoice'!$V130="","",'Per Invoice'!E130)</f>
        <v/>
      </c>
      <c r="C131">
        <f>IF('Per Invoice'!$V130="","",'Per Invoice'!G130)</f>
        <v/>
      </c>
      <c r="D131">
        <f>IF('Per Invoice'!$V130="","",'Per Invoice'!H130)</f>
        <v/>
      </c>
      <c r="E131">
        <f>IF('Per Invoice'!$V130="","",'Per Invoice'!F130)</f>
        <v/>
      </c>
      <c r="F131" s="7">
        <f>IF('Per Invoice'!$V130="","",'Per Invoice'!P130)</f>
        <v/>
      </c>
      <c r="G131" s="7">
        <f>IF('Per Invoice'!$V130="","",'Per Invoice'!Q130)</f>
        <v/>
      </c>
      <c r="H131" s="7">
        <f>IF('Per Invoice'!$V130="","",'Per Invoice'!M130)</f>
        <v/>
      </c>
      <c r="I131" s="7">
        <f>IF('Per Invoice'!$V130="","",'Per Invoice'!N130)</f>
        <v/>
      </c>
      <c r="J131" s="7">
        <f>IF('Per Invoice'!$V130="","",'Per Invoice'!K130)</f>
        <v/>
      </c>
      <c r="K131" s="7">
        <f>IF('Per Invoice'!$V130="","",'Per Invoice'!T130)</f>
        <v/>
      </c>
      <c r="L131" s="7">
        <f>IF('Per Invoice'!$V130="","",'Per Invoice'!S130)</f>
        <v/>
      </c>
    </row>
    <row r="132">
      <c r="A132">
        <f>IF('Per Invoice'!$V131="","",ROWS($A$3:A132))</f>
        <v/>
      </c>
      <c r="B132" s="11">
        <f>IF('Per Invoice'!$V131="","",'Per Invoice'!E131)</f>
        <v/>
      </c>
      <c r="C132">
        <f>IF('Per Invoice'!$V131="","",'Per Invoice'!G131)</f>
        <v/>
      </c>
      <c r="D132">
        <f>IF('Per Invoice'!$V131="","",'Per Invoice'!H131)</f>
        <v/>
      </c>
      <c r="E132">
        <f>IF('Per Invoice'!$V131="","",'Per Invoice'!F131)</f>
        <v/>
      </c>
      <c r="F132" s="7">
        <f>IF('Per Invoice'!$V131="","",'Per Invoice'!P131)</f>
        <v/>
      </c>
      <c r="G132" s="7">
        <f>IF('Per Invoice'!$V131="","",'Per Invoice'!Q131)</f>
        <v/>
      </c>
      <c r="H132" s="7">
        <f>IF('Per Invoice'!$V131="","",'Per Invoice'!M131)</f>
        <v/>
      </c>
      <c r="I132" s="7">
        <f>IF('Per Invoice'!$V131="","",'Per Invoice'!N131)</f>
        <v/>
      </c>
      <c r="J132" s="7">
        <f>IF('Per Invoice'!$V131="","",'Per Invoice'!K131)</f>
        <v/>
      </c>
      <c r="K132" s="7">
        <f>IF('Per Invoice'!$V131="","",'Per Invoice'!T131)</f>
        <v/>
      </c>
      <c r="L132" s="7">
        <f>IF('Per Invoice'!$V131="","",'Per Invoice'!S131)</f>
        <v/>
      </c>
    </row>
    <row r="133">
      <c r="A133">
        <f>IF('Per Invoice'!$V132="","",ROWS($A$3:A133))</f>
        <v/>
      </c>
      <c r="B133" s="11">
        <f>IF('Per Invoice'!$V132="","",'Per Invoice'!E132)</f>
        <v/>
      </c>
      <c r="C133">
        <f>IF('Per Invoice'!$V132="","",'Per Invoice'!G132)</f>
        <v/>
      </c>
      <c r="D133">
        <f>IF('Per Invoice'!$V132="","",'Per Invoice'!H132)</f>
        <v/>
      </c>
      <c r="E133">
        <f>IF('Per Invoice'!$V132="","",'Per Invoice'!F132)</f>
        <v/>
      </c>
      <c r="F133" s="7">
        <f>IF('Per Invoice'!$V132="","",'Per Invoice'!P132)</f>
        <v/>
      </c>
      <c r="G133" s="7">
        <f>IF('Per Invoice'!$V132="","",'Per Invoice'!Q132)</f>
        <v/>
      </c>
      <c r="H133" s="7">
        <f>IF('Per Invoice'!$V132="","",'Per Invoice'!M132)</f>
        <v/>
      </c>
      <c r="I133" s="7">
        <f>IF('Per Invoice'!$V132="","",'Per Invoice'!N132)</f>
        <v/>
      </c>
      <c r="J133" s="7">
        <f>IF('Per Invoice'!$V132="","",'Per Invoice'!K132)</f>
        <v/>
      </c>
      <c r="K133" s="7">
        <f>IF('Per Invoice'!$V132="","",'Per Invoice'!T132)</f>
        <v/>
      </c>
      <c r="L133" s="7">
        <f>IF('Per Invoice'!$V132="","",'Per Invoice'!S132)</f>
        <v/>
      </c>
    </row>
    <row r="134">
      <c r="A134">
        <f>IF('Per Invoice'!$V133="","",ROWS($A$3:A134))</f>
        <v/>
      </c>
      <c r="B134" s="11">
        <f>IF('Per Invoice'!$V133="","",'Per Invoice'!E133)</f>
        <v/>
      </c>
      <c r="C134">
        <f>IF('Per Invoice'!$V133="","",'Per Invoice'!G133)</f>
        <v/>
      </c>
      <c r="D134">
        <f>IF('Per Invoice'!$V133="","",'Per Invoice'!H133)</f>
        <v/>
      </c>
      <c r="E134">
        <f>IF('Per Invoice'!$V133="","",'Per Invoice'!F133)</f>
        <v/>
      </c>
      <c r="F134" s="7">
        <f>IF('Per Invoice'!$V133="","",'Per Invoice'!P133)</f>
        <v/>
      </c>
      <c r="G134" s="7">
        <f>IF('Per Invoice'!$V133="","",'Per Invoice'!Q133)</f>
        <v/>
      </c>
      <c r="H134" s="7">
        <f>IF('Per Invoice'!$V133="","",'Per Invoice'!M133)</f>
        <v/>
      </c>
      <c r="I134" s="7">
        <f>IF('Per Invoice'!$V133="","",'Per Invoice'!N133)</f>
        <v/>
      </c>
      <c r="J134" s="7">
        <f>IF('Per Invoice'!$V133="","",'Per Invoice'!K133)</f>
        <v/>
      </c>
      <c r="K134" s="7">
        <f>IF('Per Invoice'!$V133="","",'Per Invoice'!T133)</f>
        <v/>
      </c>
      <c r="L134" s="7">
        <f>IF('Per Invoice'!$V133="","",'Per Invoice'!S133)</f>
        <v/>
      </c>
    </row>
    <row r="135">
      <c r="A135">
        <f>IF('Per Invoice'!$V134="","",ROWS($A$3:A135))</f>
        <v/>
      </c>
      <c r="B135" s="11">
        <f>IF('Per Invoice'!$V134="","",'Per Invoice'!E134)</f>
        <v/>
      </c>
      <c r="C135">
        <f>IF('Per Invoice'!$V134="","",'Per Invoice'!G134)</f>
        <v/>
      </c>
      <c r="D135">
        <f>IF('Per Invoice'!$V134="","",'Per Invoice'!H134)</f>
        <v/>
      </c>
      <c r="E135">
        <f>IF('Per Invoice'!$V134="","",'Per Invoice'!F134)</f>
        <v/>
      </c>
      <c r="F135" s="7">
        <f>IF('Per Invoice'!$V134="","",'Per Invoice'!P134)</f>
        <v/>
      </c>
      <c r="G135" s="7">
        <f>IF('Per Invoice'!$V134="","",'Per Invoice'!Q134)</f>
        <v/>
      </c>
      <c r="H135" s="7">
        <f>IF('Per Invoice'!$V134="","",'Per Invoice'!M134)</f>
        <v/>
      </c>
      <c r="I135" s="7">
        <f>IF('Per Invoice'!$V134="","",'Per Invoice'!N134)</f>
        <v/>
      </c>
      <c r="J135" s="7">
        <f>IF('Per Invoice'!$V134="","",'Per Invoice'!K134)</f>
        <v/>
      </c>
      <c r="K135" s="7">
        <f>IF('Per Invoice'!$V134="","",'Per Invoice'!T134)</f>
        <v/>
      </c>
      <c r="L135" s="7">
        <f>IF('Per Invoice'!$V134="","",'Per Invoice'!S134)</f>
        <v/>
      </c>
    </row>
    <row r="136">
      <c r="A136">
        <f>IF('Per Invoice'!$V135="","",ROWS($A$3:A136))</f>
        <v/>
      </c>
      <c r="B136" s="11">
        <f>IF('Per Invoice'!$V135="","",'Per Invoice'!E135)</f>
        <v/>
      </c>
      <c r="C136">
        <f>IF('Per Invoice'!$V135="","",'Per Invoice'!G135)</f>
        <v/>
      </c>
      <c r="D136">
        <f>IF('Per Invoice'!$V135="","",'Per Invoice'!H135)</f>
        <v/>
      </c>
      <c r="E136">
        <f>IF('Per Invoice'!$V135="","",'Per Invoice'!F135)</f>
        <v/>
      </c>
      <c r="F136" s="7">
        <f>IF('Per Invoice'!$V135="","",'Per Invoice'!P135)</f>
        <v/>
      </c>
      <c r="G136" s="7">
        <f>IF('Per Invoice'!$V135="","",'Per Invoice'!Q135)</f>
        <v/>
      </c>
      <c r="H136" s="7">
        <f>IF('Per Invoice'!$V135="","",'Per Invoice'!M135)</f>
        <v/>
      </c>
      <c r="I136" s="7">
        <f>IF('Per Invoice'!$V135="","",'Per Invoice'!N135)</f>
        <v/>
      </c>
      <c r="J136" s="7">
        <f>IF('Per Invoice'!$V135="","",'Per Invoice'!K135)</f>
        <v/>
      </c>
      <c r="K136" s="7">
        <f>IF('Per Invoice'!$V135="","",'Per Invoice'!T135)</f>
        <v/>
      </c>
      <c r="L136" s="7">
        <f>IF('Per Invoice'!$V135="","",'Per Invoice'!S135)</f>
        <v/>
      </c>
    </row>
    <row r="137">
      <c r="A137">
        <f>IF('Per Invoice'!$V136="","",ROWS($A$3:A137))</f>
        <v/>
      </c>
      <c r="B137" s="11">
        <f>IF('Per Invoice'!$V136="","",'Per Invoice'!E136)</f>
        <v/>
      </c>
      <c r="C137">
        <f>IF('Per Invoice'!$V136="","",'Per Invoice'!G136)</f>
        <v/>
      </c>
      <c r="D137">
        <f>IF('Per Invoice'!$V136="","",'Per Invoice'!H136)</f>
        <v/>
      </c>
      <c r="E137">
        <f>IF('Per Invoice'!$V136="","",'Per Invoice'!F136)</f>
        <v/>
      </c>
      <c r="F137" s="7">
        <f>IF('Per Invoice'!$V136="","",'Per Invoice'!P136)</f>
        <v/>
      </c>
      <c r="G137" s="7">
        <f>IF('Per Invoice'!$V136="","",'Per Invoice'!Q136)</f>
        <v/>
      </c>
      <c r="H137" s="7">
        <f>IF('Per Invoice'!$V136="","",'Per Invoice'!M136)</f>
        <v/>
      </c>
      <c r="I137" s="7">
        <f>IF('Per Invoice'!$V136="","",'Per Invoice'!N136)</f>
        <v/>
      </c>
      <c r="J137" s="7">
        <f>IF('Per Invoice'!$V136="","",'Per Invoice'!K136)</f>
        <v/>
      </c>
      <c r="K137" s="7">
        <f>IF('Per Invoice'!$V136="","",'Per Invoice'!T136)</f>
        <v/>
      </c>
      <c r="L137" s="7">
        <f>IF('Per Invoice'!$V136="","",'Per Invoice'!S136)</f>
        <v/>
      </c>
    </row>
    <row r="138">
      <c r="A138">
        <f>IF('Per Invoice'!$V137="","",ROWS($A$3:A138))</f>
        <v/>
      </c>
      <c r="B138" s="11">
        <f>IF('Per Invoice'!$V137="","",'Per Invoice'!E137)</f>
        <v/>
      </c>
      <c r="C138">
        <f>IF('Per Invoice'!$V137="","",'Per Invoice'!G137)</f>
        <v/>
      </c>
      <c r="D138">
        <f>IF('Per Invoice'!$V137="","",'Per Invoice'!H137)</f>
        <v/>
      </c>
      <c r="E138">
        <f>IF('Per Invoice'!$V137="","",'Per Invoice'!F137)</f>
        <v/>
      </c>
      <c r="F138" s="7">
        <f>IF('Per Invoice'!$V137="","",'Per Invoice'!P137)</f>
        <v/>
      </c>
      <c r="G138" s="7">
        <f>IF('Per Invoice'!$V137="","",'Per Invoice'!Q137)</f>
        <v/>
      </c>
      <c r="H138" s="7">
        <f>IF('Per Invoice'!$V137="","",'Per Invoice'!M137)</f>
        <v/>
      </c>
      <c r="I138" s="7">
        <f>IF('Per Invoice'!$V137="","",'Per Invoice'!N137)</f>
        <v/>
      </c>
      <c r="J138" s="7">
        <f>IF('Per Invoice'!$V137="","",'Per Invoice'!K137)</f>
        <v/>
      </c>
      <c r="K138" s="7">
        <f>IF('Per Invoice'!$V137="","",'Per Invoice'!T137)</f>
        <v/>
      </c>
      <c r="L138" s="7">
        <f>IF('Per Invoice'!$V137="","",'Per Invoice'!S137)</f>
        <v/>
      </c>
    </row>
    <row r="139">
      <c r="A139">
        <f>IF('Per Invoice'!$V138="","",ROWS($A$3:A139))</f>
        <v/>
      </c>
      <c r="B139" s="11">
        <f>IF('Per Invoice'!$V138="","",'Per Invoice'!E138)</f>
        <v/>
      </c>
      <c r="C139">
        <f>IF('Per Invoice'!$V138="","",'Per Invoice'!G138)</f>
        <v/>
      </c>
      <c r="D139">
        <f>IF('Per Invoice'!$V138="","",'Per Invoice'!H138)</f>
        <v/>
      </c>
      <c r="E139">
        <f>IF('Per Invoice'!$V138="","",'Per Invoice'!F138)</f>
        <v/>
      </c>
      <c r="F139" s="7">
        <f>IF('Per Invoice'!$V138="","",'Per Invoice'!P138)</f>
        <v/>
      </c>
      <c r="G139" s="7">
        <f>IF('Per Invoice'!$V138="","",'Per Invoice'!Q138)</f>
        <v/>
      </c>
      <c r="H139" s="7">
        <f>IF('Per Invoice'!$V138="","",'Per Invoice'!M138)</f>
        <v/>
      </c>
      <c r="I139" s="7">
        <f>IF('Per Invoice'!$V138="","",'Per Invoice'!N138)</f>
        <v/>
      </c>
      <c r="J139" s="7">
        <f>IF('Per Invoice'!$V138="","",'Per Invoice'!K138)</f>
        <v/>
      </c>
      <c r="K139" s="7">
        <f>IF('Per Invoice'!$V138="","",'Per Invoice'!T138)</f>
        <v/>
      </c>
      <c r="L139" s="7">
        <f>IF('Per Invoice'!$V138="","",'Per Invoice'!S138)</f>
        <v/>
      </c>
    </row>
    <row r="140">
      <c r="A140">
        <f>IF('Per Invoice'!$V139="","",ROWS($A$3:A140))</f>
        <v/>
      </c>
      <c r="B140" s="11">
        <f>IF('Per Invoice'!$V139="","",'Per Invoice'!E139)</f>
        <v/>
      </c>
      <c r="C140">
        <f>IF('Per Invoice'!$V139="","",'Per Invoice'!G139)</f>
        <v/>
      </c>
      <c r="D140">
        <f>IF('Per Invoice'!$V139="","",'Per Invoice'!H139)</f>
        <v/>
      </c>
      <c r="E140">
        <f>IF('Per Invoice'!$V139="","",'Per Invoice'!F139)</f>
        <v/>
      </c>
      <c r="F140" s="7">
        <f>IF('Per Invoice'!$V139="","",'Per Invoice'!P139)</f>
        <v/>
      </c>
      <c r="G140" s="7">
        <f>IF('Per Invoice'!$V139="","",'Per Invoice'!Q139)</f>
        <v/>
      </c>
      <c r="H140" s="7">
        <f>IF('Per Invoice'!$V139="","",'Per Invoice'!M139)</f>
        <v/>
      </c>
      <c r="I140" s="7">
        <f>IF('Per Invoice'!$V139="","",'Per Invoice'!N139)</f>
        <v/>
      </c>
      <c r="J140" s="7">
        <f>IF('Per Invoice'!$V139="","",'Per Invoice'!K139)</f>
        <v/>
      </c>
      <c r="K140" s="7">
        <f>IF('Per Invoice'!$V139="","",'Per Invoice'!T139)</f>
        <v/>
      </c>
      <c r="L140" s="7">
        <f>IF('Per Invoice'!$V139="","",'Per Invoice'!S139)</f>
        <v/>
      </c>
    </row>
    <row r="141">
      <c r="A141">
        <f>IF('Per Invoice'!$V140="","",ROWS($A$3:A141))</f>
        <v/>
      </c>
      <c r="B141" s="11">
        <f>IF('Per Invoice'!$V140="","",'Per Invoice'!E140)</f>
        <v/>
      </c>
      <c r="C141">
        <f>IF('Per Invoice'!$V140="","",'Per Invoice'!G140)</f>
        <v/>
      </c>
      <c r="D141">
        <f>IF('Per Invoice'!$V140="","",'Per Invoice'!H140)</f>
        <v/>
      </c>
      <c r="E141">
        <f>IF('Per Invoice'!$V140="","",'Per Invoice'!F140)</f>
        <v/>
      </c>
      <c r="F141" s="7">
        <f>IF('Per Invoice'!$V140="","",'Per Invoice'!P140)</f>
        <v/>
      </c>
      <c r="G141" s="7">
        <f>IF('Per Invoice'!$V140="","",'Per Invoice'!Q140)</f>
        <v/>
      </c>
      <c r="H141" s="7">
        <f>IF('Per Invoice'!$V140="","",'Per Invoice'!M140)</f>
        <v/>
      </c>
      <c r="I141" s="7">
        <f>IF('Per Invoice'!$V140="","",'Per Invoice'!N140)</f>
        <v/>
      </c>
      <c r="J141" s="7">
        <f>IF('Per Invoice'!$V140="","",'Per Invoice'!K140)</f>
        <v/>
      </c>
      <c r="K141" s="7">
        <f>IF('Per Invoice'!$V140="","",'Per Invoice'!T140)</f>
        <v/>
      </c>
      <c r="L141" s="7">
        <f>IF('Per Invoice'!$V140="","",'Per Invoice'!S140)</f>
        <v/>
      </c>
    </row>
    <row r="142">
      <c r="A142">
        <f>IF('Per Invoice'!$V141="","",ROWS($A$3:A142))</f>
        <v/>
      </c>
      <c r="B142" s="11">
        <f>IF('Per Invoice'!$V141="","",'Per Invoice'!E141)</f>
        <v/>
      </c>
      <c r="C142">
        <f>IF('Per Invoice'!$V141="","",'Per Invoice'!G141)</f>
        <v/>
      </c>
      <c r="D142">
        <f>IF('Per Invoice'!$V141="","",'Per Invoice'!H141)</f>
        <v/>
      </c>
      <c r="E142">
        <f>IF('Per Invoice'!$V141="","",'Per Invoice'!F141)</f>
        <v/>
      </c>
      <c r="F142" s="7">
        <f>IF('Per Invoice'!$V141="","",'Per Invoice'!P141)</f>
        <v/>
      </c>
      <c r="G142" s="7">
        <f>IF('Per Invoice'!$V141="","",'Per Invoice'!Q141)</f>
        <v/>
      </c>
      <c r="H142" s="7">
        <f>IF('Per Invoice'!$V141="","",'Per Invoice'!M141)</f>
        <v/>
      </c>
      <c r="I142" s="7">
        <f>IF('Per Invoice'!$V141="","",'Per Invoice'!N141)</f>
        <v/>
      </c>
      <c r="J142" s="7">
        <f>IF('Per Invoice'!$V141="","",'Per Invoice'!K141)</f>
        <v/>
      </c>
      <c r="K142" s="7">
        <f>IF('Per Invoice'!$V141="","",'Per Invoice'!T141)</f>
        <v/>
      </c>
      <c r="L142" s="7">
        <f>IF('Per Invoice'!$V141="","",'Per Invoice'!S141)</f>
        <v/>
      </c>
    </row>
    <row r="143">
      <c r="A143">
        <f>IF('Per Invoice'!$V142="","",ROWS($A$3:A143))</f>
        <v/>
      </c>
      <c r="B143" s="11">
        <f>IF('Per Invoice'!$V142="","",'Per Invoice'!E142)</f>
        <v/>
      </c>
      <c r="C143">
        <f>IF('Per Invoice'!$V142="","",'Per Invoice'!G142)</f>
        <v/>
      </c>
      <c r="D143">
        <f>IF('Per Invoice'!$V142="","",'Per Invoice'!H142)</f>
        <v/>
      </c>
      <c r="E143">
        <f>IF('Per Invoice'!$V142="","",'Per Invoice'!F142)</f>
        <v/>
      </c>
      <c r="F143" s="7">
        <f>IF('Per Invoice'!$V142="","",'Per Invoice'!P142)</f>
        <v/>
      </c>
      <c r="G143" s="7">
        <f>IF('Per Invoice'!$V142="","",'Per Invoice'!Q142)</f>
        <v/>
      </c>
      <c r="H143" s="7">
        <f>IF('Per Invoice'!$V142="","",'Per Invoice'!M142)</f>
        <v/>
      </c>
      <c r="I143" s="7">
        <f>IF('Per Invoice'!$V142="","",'Per Invoice'!N142)</f>
        <v/>
      </c>
      <c r="J143" s="7">
        <f>IF('Per Invoice'!$V142="","",'Per Invoice'!K142)</f>
        <v/>
      </c>
      <c r="K143" s="7">
        <f>IF('Per Invoice'!$V142="","",'Per Invoice'!T142)</f>
        <v/>
      </c>
      <c r="L143" s="7">
        <f>IF('Per Invoice'!$V142="","",'Per Invoice'!S142)</f>
        <v/>
      </c>
    </row>
    <row r="144">
      <c r="A144">
        <f>IF('Per Invoice'!$V143="","",ROWS($A$3:A144))</f>
        <v/>
      </c>
      <c r="B144" s="11">
        <f>IF('Per Invoice'!$V143="","",'Per Invoice'!E143)</f>
        <v/>
      </c>
      <c r="C144">
        <f>IF('Per Invoice'!$V143="","",'Per Invoice'!G143)</f>
        <v/>
      </c>
      <c r="D144">
        <f>IF('Per Invoice'!$V143="","",'Per Invoice'!H143)</f>
        <v/>
      </c>
      <c r="E144">
        <f>IF('Per Invoice'!$V143="","",'Per Invoice'!F143)</f>
        <v/>
      </c>
      <c r="F144" s="7">
        <f>IF('Per Invoice'!$V143="","",'Per Invoice'!P143)</f>
        <v/>
      </c>
      <c r="G144" s="7">
        <f>IF('Per Invoice'!$V143="","",'Per Invoice'!Q143)</f>
        <v/>
      </c>
      <c r="H144" s="7">
        <f>IF('Per Invoice'!$V143="","",'Per Invoice'!M143)</f>
        <v/>
      </c>
      <c r="I144" s="7">
        <f>IF('Per Invoice'!$V143="","",'Per Invoice'!N143)</f>
        <v/>
      </c>
      <c r="J144" s="7">
        <f>IF('Per Invoice'!$V143="","",'Per Invoice'!K143)</f>
        <v/>
      </c>
      <c r="K144" s="7">
        <f>IF('Per Invoice'!$V143="","",'Per Invoice'!T143)</f>
        <v/>
      </c>
      <c r="L144" s="7">
        <f>IF('Per Invoice'!$V143="","",'Per Invoice'!S143)</f>
        <v/>
      </c>
    </row>
    <row r="145">
      <c r="A145">
        <f>IF('Per Invoice'!$V144="","",ROWS($A$3:A145))</f>
        <v/>
      </c>
      <c r="B145" s="11">
        <f>IF('Per Invoice'!$V144="","",'Per Invoice'!E144)</f>
        <v/>
      </c>
      <c r="C145">
        <f>IF('Per Invoice'!$V144="","",'Per Invoice'!G144)</f>
        <v/>
      </c>
      <c r="D145">
        <f>IF('Per Invoice'!$V144="","",'Per Invoice'!H144)</f>
        <v/>
      </c>
      <c r="E145">
        <f>IF('Per Invoice'!$V144="","",'Per Invoice'!F144)</f>
        <v/>
      </c>
      <c r="F145" s="7">
        <f>IF('Per Invoice'!$V144="","",'Per Invoice'!P144)</f>
        <v/>
      </c>
      <c r="G145" s="7">
        <f>IF('Per Invoice'!$V144="","",'Per Invoice'!Q144)</f>
        <v/>
      </c>
      <c r="H145" s="7">
        <f>IF('Per Invoice'!$V144="","",'Per Invoice'!M144)</f>
        <v/>
      </c>
      <c r="I145" s="7">
        <f>IF('Per Invoice'!$V144="","",'Per Invoice'!N144)</f>
        <v/>
      </c>
      <c r="J145" s="7">
        <f>IF('Per Invoice'!$V144="","",'Per Invoice'!K144)</f>
        <v/>
      </c>
      <c r="K145" s="7">
        <f>IF('Per Invoice'!$V144="","",'Per Invoice'!T144)</f>
        <v/>
      </c>
      <c r="L145" s="7">
        <f>IF('Per Invoice'!$V144="","",'Per Invoice'!S144)</f>
        <v/>
      </c>
    </row>
    <row r="146">
      <c r="A146">
        <f>IF('Per Invoice'!$V145="","",ROWS($A$3:A146))</f>
        <v/>
      </c>
      <c r="B146" s="11">
        <f>IF('Per Invoice'!$V145="","",'Per Invoice'!E145)</f>
        <v/>
      </c>
      <c r="C146">
        <f>IF('Per Invoice'!$V145="","",'Per Invoice'!G145)</f>
        <v/>
      </c>
      <c r="D146">
        <f>IF('Per Invoice'!$V145="","",'Per Invoice'!H145)</f>
        <v/>
      </c>
      <c r="E146">
        <f>IF('Per Invoice'!$V145="","",'Per Invoice'!F145)</f>
        <v/>
      </c>
      <c r="F146" s="7">
        <f>IF('Per Invoice'!$V145="","",'Per Invoice'!P145)</f>
        <v/>
      </c>
      <c r="G146" s="7">
        <f>IF('Per Invoice'!$V145="","",'Per Invoice'!Q145)</f>
        <v/>
      </c>
      <c r="H146" s="7">
        <f>IF('Per Invoice'!$V145="","",'Per Invoice'!M145)</f>
        <v/>
      </c>
      <c r="I146" s="7">
        <f>IF('Per Invoice'!$V145="","",'Per Invoice'!N145)</f>
        <v/>
      </c>
      <c r="J146" s="7">
        <f>IF('Per Invoice'!$V145="","",'Per Invoice'!K145)</f>
        <v/>
      </c>
      <c r="K146" s="7">
        <f>IF('Per Invoice'!$V145="","",'Per Invoice'!T145)</f>
        <v/>
      </c>
      <c r="L146" s="7">
        <f>IF('Per Invoice'!$V145="","",'Per Invoice'!S145)</f>
        <v/>
      </c>
    </row>
    <row r="147">
      <c r="A147">
        <f>IF('Per Invoice'!$V146="","",ROWS($A$3:A147))</f>
        <v/>
      </c>
      <c r="B147" s="11">
        <f>IF('Per Invoice'!$V146="","",'Per Invoice'!E146)</f>
        <v/>
      </c>
      <c r="C147">
        <f>IF('Per Invoice'!$V146="","",'Per Invoice'!G146)</f>
        <v/>
      </c>
      <c r="D147">
        <f>IF('Per Invoice'!$V146="","",'Per Invoice'!H146)</f>
        <v/>
      </c>
      <c r="E147">
        <f>IF('Per Invoice'!$V146="","",'Per Invoice'!F146)</f>
        <v/>
      </c>
      <c r="F147" s="7">
        <f>IF('Per Invoice'!$V146="","",'Per Invoice'!P146)</f>
        <v/>
      </c>
      <c r="G147" s="7">
        <f>IF('Per Invoice'!$V146="","",'Per Invoice'!Q146)</f>
        <v/>
      </c>
      <c r="H147" s="7">
        <f>IF('Per Invoice'!$V146="","",'Per Invoice'!M146)</f>
        <v/>
      </c>
      <c r="I147" s="7">
        <f>IF('Per Invoice'!$V146="","",'Per Invoice'!N146)</f>
        <v/>
      </c>
      <c r="J147" s="7">
        <f>IF('Per Invoice'!$V146="","",'Per Invoice'!K146)</f>
        <v/>
      </c>
      <c r="K147" s="7">
        <f>IF('Per Invoice'!$V146="","",'Per Invoice'!T146)</f>
        <v/>
      </c>
      <c r="L147" s="7">
        <f>IF('Per Invoice'!$V146="","",'Per Invoice'!S146)</f>
        <v/>
      </c>
    </row>
    <row r="148">
      <c r="A148">
        <f>IF('Per Invoice'!$V147="","",ROWS($A$3:A148))</f>
        <v/>
      </c>
      <c r="B148" s="11">
        <f>IF('Per Invoice'!$V147="","",'Per Invoice'!E147)</f>
        <v/>
      </c>
      <c r="C148">
        <f>IF('Per Invoice'!$V147="","",'Per Invoice'!G147)</f>
        <v/>
      </c>
      <c r="D148">
        <f>IF('Per Invoice'!$V147="","",'Per Invoice'!H147)</f>
        <v/>
      </c>
      <c r="E148">
        <f>IF('Per Invoice'!$V147="","",'Per Invoice'!F147)</f>
        <v/>
      </c>
      <c r="F148" s="7">
        <f>IF('Per Invoice'!$V147="","",'Per Invoice'!P147)</f>
        <v/>
      </c>
      <c r="G148" s="7">
        <f>IF('Per Invoice'!$V147="","",'Per Invoice'!Q147)</f>
        <v/>
      </c>
      <c r="H148" s="7">
        <f>IF('Per Invoice'!$V147="","",'Per Invoice'!M147)</f>
        <v/>
      </c>
      <c r="I148" s="7">
        <f>IF('Per Invoice'!$V147="","",'Per Invoice'!N147)</f>
        <v/>
      </c>
      <c r="J148" s="7">
        <f>IF('Per Invoice'!$V147="","",'Per Invoice'!K147)</f>
        <v/>
      </c>
      <c r="K148" s="7">
        <f>IF('Per Invoice'!$V147="","",'Per Invoice'!T147)</f>
        <v/>
      </c>
      <c r="L148" s="7">
        <f>IF('Per Invoice'!$V147="","",'Per Invoice'!S147)</f>
        <v/>
      </c>
    </row>
    <row r="149">
      <c r="A149">
        <f>IF('Per Invoice'!$V148="","",ROWS($A$3:A149))</f>
        <v/>
      </c>
      <c r="B149" s="11">
        <f>IF('Per Invoice'!$V148="","",'Per Invoice'!E148)</f>
        <v/>
      </c>
      <c r="C149">
        <f>IF('Per Invoice'!$V148="","",'Per Invoice'!G148)</f>
        <v/>
      </c>
      <c r="D149">
        <f>IF('Per Invoice'!$V148="","",'Per Invoice'!H148)</f>
        <v/>
      </c>
      <c r="E149">
        <f>IF('Per Invoice'!$V148="","",'Per Invoice'!F148)</f>
        <v/>
      </c>
      <c r="F149" s="7">
        <f>IF('Per Invoice'!$V148="","",'Per Invoice'!P148)</f>
        <v/>
      </c>
      <c r="G149" s="7">
        <f>IF('Per Invoice'!$V148="","",'Per Invoice'!Q148)</f>
        <v/>
      </c>
      <c r="H149" s="7">
        <f>IF('Per Invoice'!$V148="","",'Per Invoice'!M148)</f>
        <v/>
      </c>
      <c r="I149" s="7">
        <f>IF('Per Invoice'!$V148="","",'Per Invoice'!N148)</f>
        <v/>
      </c>
      <c r="J149" s="7">
        <f>IF('Per Invoice'!$V148="","",'Per Invoice'!K148)</f>
        <v/>
      </c>
      <c r="K149" s="7">
        <f>IF('Per Invoice'!$V148="","",'Per Invoice'!T148)</f>
        <v/>
      </c>
      <c r="L149" s="7">
        <f>IF('Per Invoice'!$V148="","",'Per Invoice'!S148)</f>
        <v/>
      </c>
    </row>
    <row r="150">
      <c r="A150">
        <f>IF('Per Invoice'!$V149="","",ROWS($A$3:A150))</f>
        <v/>
      </c>
      <c r="B150" s="11">
        <f>IF('Per Invoice'!$V149="","",'Per Invoice'!E149)</f>
        <v/>
      </c>
      <c r="C150">
        <f>IF('Per Invoice'!$V149="","",'Per Invoice'!G149)</f>
        <v/>
      </c>
      <c r="D150">
        <f>IF('Per Invoice'!$V149="","",'Per Invoice'!H149)</f>
        <v/>
      </c>
      <c r="E150">
        <f>IF('Per Invoice'!$V149="","",'Per Invoice'!F149)</f>
        <v/>
      </c>
      <c r="F150" s="7">
        <f>IF('Per Invoice'!$V149="","",'Per Invoice'!P149)</f>
        <v/>
      </c>
      <c r="G150" s="7">
        <f>IF('Per Invoice'!$V149="","",'Per Invoice'!Q149)</f>
        <v/>
      </c>
      <c r="H150" s="7">
        <f>IF('Per Invoice'!$V149="","",'Per Invoice'!M149)</f>
        <v/>
      </c>
      <c r="I150" s="7">
        <f>IF('Per Invoice'!$V149="","",'Per Invoice'!N149)</f>
        <v/>
      </c>
      <c r="J150" s="7">
        <f>IF('Per Invoice'!$V149="","",'Per Invoice'!K149)</f>
        <v/>
      </c>
      <c r="K150" s="7">
        <f>IF('Per Invoice'!$V149="","",'Per Invoice'!T149)</f>
        <v/>
      </c>
      <c r="L150" s="7">
        <f>IF('Per Invoice'!$V149="","",'Per Invoice'!S149)</f>
        <v/>
      </c>
    </row>
    <row r="151">
      <c r="A151">
        <f>IF('Per Invoice'!$V150="","",ROWS($A$3:A151))</f>
        <v/>
      </c>
      <c r="B151" s="11">
        <f>IF('Per Invoice'!$V150="","",'Per Invoice'!E150)</f>
        <v/>
      </c>
      <c r="C151">
        <f>IF('Per Invoice'!$V150="","",'Per Invoice'!G150)</f>
        <v/>
      </c>
      <c r="D151">
        <f>IF('Per Invoice'!$V150="","",'Per Invoice'!H150)</f>
        <v/>
      </c>
      <c r="E151">
        <f>IF('Per Invoice'!$V150="","",'Per Invoice'!F150)</f>
        <v/>
      </c>
      <c r="F151" s="7">
        <f>IF('Per Invoice'!$V150="","",'Per Invoice'!P150)</f>
        <v/>
      </c>
      <c r="G151" s="7">
        <f>IF('Per Invoice'!$V150="","",'Per Invoice'!Q150)</f>
        <v/>
      </c>
      <c r="H151" s="7">
        <f>IF('Per Invoice'!$V150="","",'Per Invoice'!M150)</f>
        <v/>
      </c>
      <c r="I151" s="7">
        <f>IF('Per Invoice'!$V150="","",'Per Invoice'!N150)</f>
        <v/>
      </c>
      <c r="J151" s="7">
        <f>IF('Per Invoice'!$V150="","",'Per Invoice'!K150)</f>
        <v/>
      </c>
      <c r="K151" s="7">
        <f>IF('Per Invoice'!$V150="","",'Per Invoice'!T150)</f>
        <v/>
      </c>
      <c r="L151" s="7">
        <f>IF('Per Invoice'!$V150="","",'Per Invoice'!S150)</f>
        <v/>
      </c>
    </row>
    <row r="152">
      <c r="A152">
        <f>IF('Per Invoice'!$V151="","",ROWS($A$3:A152))</f>
        <v/>
      </c>
      <c r="B152" s="11">
        <f>IF('Per Invoice'!$V151="","",'Per Invoice'!E151)</f>
        <v/>
      </c>
      <c r="C152">
        <f>IF('Per Invoice'!$V151="","",'Per Invoice'!G151)</f>
        <v/>
      </c>
      <c r="D152">
        <f>IF('Per Invoice'!$V151="","",'Per Invoice'!H151)</f>
        <v/>
      </c>
      <c r="E152">
        <f>IF('Per Invoice'!$V151="","",'Per Invoice'!F151)</f>
        <v/>
      </c>
      <c r="F152" s="7">
        <f>IF('Per Invoice'!$V151="","",'Per Invoice'!P151)</f>
        <v/>
      </c>
      <c r="G152" s="7">
        <f>IF('Per Invoice'!$V151="","",'Per Invoice'!Q151)</f>
        <v/>
      </c>
      <c r="H152" s="7">
        <f>IF('Per Invoice'!$V151="","",'Per Invoice'!M151)</f>
        <v/>
      </c>
      <c r="I152" s="7">
        <f>IF('Per Invoice'!$V151="","",'Per Invoice'!N151)</f>
        <v/>
      </c>
      <c r="J152" s="7">
        <f>IF('Per Invoice'!$V151="","",'Per Invoice'!K151)</f>
        <v/>
      </c>
      <c r="K152" s="7">
        <f>IF('Per Invoice'!$V151="","",'Per Invoice'!T151)</f>
        <v/>
      </c>
      <c r="L152" s="7">
        <f>IF('Per Invoice'!$V151="","",'Per Invoice'!S151)</f>
        <v/>
      </c>
    </row>
    <row r="153">
      <c r="A153">
        <f>IF('Per Invoice'!$V152="","",ROWS($A$3:A153))</f>
        <v/>
      </c>
      <c r="B153" s="11">
        <f>IF('Per Invoice'!$V152="","",'Per Invoice'!E152)</f>
        <v/>
      </c>
      <c r="C153">
        <f>IF('Per Invoice'!$V152="","",'Per Invoice'!G152)</f>
        <v/>
      </c>
      <c r="D153">
        <f>IF('Per Invoice'!$V152="","",'Per Invoice'!H152)</f>
        <v/>
      </c>
      <c r="E153">
        <f>IF('Per Invoice'!$V152="","",'Per Invoice'!F152)</f>
        <v/>
      </c>
      <c r="F153" s="7">
        <f>IF('Per Invoice'!$V152="","",'Per Invoice'!P152)</f>
        <v/>
      </c>
      <c r="G153" s="7">
        <f>IF('Per Invoice'!$V152="","",'Per Invoice'!Q152)</f>
        <v/>
      </c>
      <c r="H153" s="7">
        <f>IF('Per Invoice'!$V152="","",'Per Invoice'!M152)</f>
        <v/>
      </c>
      <c r="I153" s="7">
        <f>IF('Per Invoice'!$V152="","",'Per Invoice'!N152)</f>
        <v/>
      </c>
      <c r="J153" s="7">
        <f>IF('Per Invoice'!$V152="","",'Per Invoice'!K152)</f>
        <v/>
      </c>
      <c r="K153" s="7">
        <f>IF('Per Invoice'!$V152="","",'Per Invoice'!T152)</f>
        <v/>
      </c>
      <c r="L153" s="7">
        <f>IF('Per Invoice'!$V152="","",'Per Invoice'!S152)</f>
        <v/>
      </c>
    </row>
    <row r="154">
      <c r="A154">
        <f>IF('Per Invoice'!$V153="","",ROWS($A$3:A154))</f>
        <v/>
      </c>
      <c r="B154" s="11">
        <f>IF('Per Invoice'!$V153="","",'Per Invoice'!E153)</f>
        <v/>
      </c>
      <c r="C154">
        <f>IF('Per Invoice'!$V153="","",'Per Invoice'!G153)</f>
        <v/>
      </c>
      <c r="D154">
        <f>IF('Per Invoice'!$V153="","",'Per Invoice'!H153)</f>
        <v/>
      </c>
      <c r="E154">
        <f>IF('Per Invoice'!$V153="","",'Per Invoice'!F153)</f>
        <v/>
      </c>
      <c r="F154" s="7">
        <f>IF('Per Invoice'!$V153="","",'Per Invoice'!P153)</f>
        <v/>
      </c>
      <c r="G154" s="7">
        <f>IF('Per Invoice'!$V153="","",'Per Invoice'!Q153)</f>
        <v/>
      </c>
      <c r="H154" s="7">
        <f>IF('Per Invoice'!$V153="","",'Per Invoice'!M153)</f>
        <v/>
      </c>
      <c r="I154" s="7">
        <f>IF('Per Invoice'!$V153="","",'Per Invoice'!N153)</f>
        <v/>
      </c>
      <c r="J154" s="7">
        <f>IF('Per Invoice'!$V153="","",'Per Invoice'!K153)</f>
        <v/>
      </c>
      <c r="K154" s="7">
        <f>IF('Per Invoice'!$V153="","",'Per Invoice'!T153)</f>
        <v/>
      </c>
      <c r="L154" s="7">
        <f>IF('Per Invoice'!$V153="","",'Per Invoice'!S153)</f>
        <v/>
      </c>
    </row>
    <row r="155">
      <c r="A155">
        <f>IF('Per Invoice'!$V154="","",ROWS($A$3:A155))</f>
        <v/>
      </c>
      <c r="B155" s="11">
        <f>IF('Per Invoice'!$V154="","",'Per Invoice'!E154)</f>
        <v/>
      </c>
      <c r="C155">
        <f>IF('Per Invoice'!$V154="","",'Per Invoice'!G154)</f>
        <v/>
      </c>
      <c r="D155">
        <f>IF('Per Invoice'!$V154="","",'Per Invoice'!H154)</f>
        <v/>
      </c>
      <c r="E155">
        <f>IF('Per Invoice'!$V154="","",'Per Invoice'!F154)</f>
        <v/>
      </c>
      <c r="F155" s="7">
        <f>IF('Per Invoice'!$V154="","",'Per Invoice'!P154)</f>
        <v/>
      </c>
      <c r="G155" s="7">
        <f>IF('Per Invoice'!$V154="","",'Per Invoice'!Q154)</f>
        <v/>
      </c>
      <c r="H155" s="7">
        <f>IF('Per Invoice'!$V154="","",'Per Invoice'!M154)</f>
        <v/>
      </c>
      <c r="I155" s="7">
        <f>IF('Per Invoice'!$V154="","",'Per Invoice'!N154)</f>
        <v/>
      </c>
      <c r="J155" s="7">
        <f>IF('Per Invoice'!$V154="","",'Per Invoice'!K154)</f>
        <v/>
      </c>
      <c r="K155" s="7">
        <f>IF('Per Invoice'!$V154="","",'Per Invoice'!T154)</f>
        <v/>
      </c>
      <c r="L155" s="7">
        <f>IF('Per Invoice'!$V154="","",'Per Invoice'!S154)</f>
        <v/>
      </c>
    </row>
    <row r="156">
      <c r="A156">
        <f>IF('Per Invoice'!$V155="","",ROWS($A$3:A156))</f>
        <v/>
      </c>
      <c r="B156" s="11">
        <f>IF('Per Invoice'!$V155="","",'Per Invoice'!E155)</f>
        <v/>
      </c>
      <c r="C156">
        <f>IF('Per Invoice'!$V155="","",'Per Invoice'!G155)</f>
        <v/>
      </c>
      <c r="D156">
        <f>IF('Per Invoice'!$V155="","",'Per Invoice'!H155)</f>
        <v/>
      </c>
      <c r="E156">
        <f>IF('Per Invoice'!$V155="","",'Per Invoice'!F155)</f>
        <v/>
      </c>
      <c r="F156" s="7">
        <f>IF('Per Invoice'!$V155="","",'Per Invoice'!P155)</f>
        <v/>
      </c>
      <c r="G156" s="7">
        <f>IF('Per Invoice'!$V155="","",'Per Invoice'!Q155)</f>
        <v/>
      </c>
      <c r="H156" s="7">
        <f>IF('Per Invoice'!$V155="","",'Per Invoice'!M155)</f>
        <v/>
      </c>
      <c r="I156" s="7">
        <f>IF('Per Invoice'!$V155="","",'Per Invoice'!N155)</f>
        <v/>
      </c>
      <c r="J156" s="7">
        <f>IF('Per Invoice'!$V155="","",'Per Invoice'!K155)</f>
        <v/>
      </c>
      <c r="K156" s="7">
        <f>IF('Per Invoice'!$V155="","",'Per Invoice'!T155)</f>
        <v/>
      </c>
      <c r="L156" s="7">
        <f>IF('Per Invoice'!$V155="","",'Per Invoice'!S155)</f>
        <v/>
      </c>
    </row>
    <row r="157">
      <c r="A157">
        <f>IF('Per Invoice'!$V156="","",ROWS($A$3:A157))</f>
        <v/>
      </c>
      <c r="B157" s="11">
        <f>IF('Per Invoice'!$V156="","",'Per Invoice'!E156)</f>
        <v/>
      </c>
      <c r="C157">
        <f>IF('Per Invoice'!$V156="","",'Per Invoice'!G156)</f>
        <v/>
      </c>
      <c r="D157">
        <f>IF('Per Invoice'!$V156="","",'Per Invoice'!H156)</f>
        <v/>
      </c>
      <c r="E157">
        <f>IF('Per Invoice'!$V156="","",'Per Invoice'!F156)</f>
        <v/>
      </c>
      <c r="F157" s="7">
        <f>IF('Per Invoice'!$V156="","",'Per Invoice'!P156)</f>
        <v/>
      </c>
      <c r="G157" s="7">
        <f>IF('Per Invoice'!$V156="","",'Per Invoice'!Q156)</f>
        <v/>
      </c>
      <c r="H157" s="7">
        <f>IF('Per Invoice'!$V156="","",'Per Invoice'!M156)</f>
        <v/>
      </c>
      <c r="I157" s="7">
        <f>IF('Per Invoice'!$V156="","",'Per Invoice'!N156)</f>
        <v/>
      </c>
      <c r="J157" s="7">
        <f>IF('Per Invoice'!$V156="","",'Per Invoice'!K156)</f>
        <v/>
      </c>
      <c r="K157" s="7">
        <f>IF('Per Invoice'!$V156="","",'Per Invoice'!T156)</f>
        <v/>
      </c>
      <c r="L157" s="7">
        <f>IF('Per Invoice'!$V156="","",'Per Invoice'!S156)</f>
        <v/>
      </c>
    </row>
    <row r="158">
      <c r="A158">
        <f>IF('Per Invoice'!$V157="","",ROWS($A$3:A158))</f>
        <v/>
      </c>
      <c r="B158" s="11">
        <f>IF('Per Invoice'!$V157="","",'Per Invoice'!E157)</f>
        <v/>
      </c>
      <c r="C158">
        <f>IF('Per Invoice'!$V157="","",'Per Invoice'!G157)</f>
        <v/>
      </c>
      <c r="D158">
        <f>IF('Per Invoice'!$V157="","",'Per Invoice'!H157)</f>
        <v/>
      </c>
      <c r="E158">
        <f>IF('Per Invoice'!$V157="","",'Per Invoice'!F157)</f>
        <v/>
      </c>
      <c r="F158" s="7">
        <f>IF('Per Invoice'!$V157="","",'Per Invoice'!P157)</f>
        <v/>
      </c>
      <c r="G158" s="7">
        <f>IF('Per Invoice'!$V157="","",'Per Invoice'!Q157)</f>
        <v/>
      </c>
      <c r="H158" s="7">
        <f>IF('Per Invoice'!$V157="","",'Per Invoice'!M157)</f>
        <v/>
      </c>
      <c r="I158" s="7">
        <f>IF('Per Invoice'!$V157="","",'Per Invoice'!N157)</f>
        <v/>
      </c>
      <c r="J158" s="7">
        <f>IF('Per Invoice'!$V157="","",'Per Invoice'!K157)</f>
        <v/>
      </c>
      <c r="K158" s="7">
        <f>IF('Per Invoice'!$V157="","",'Per Invoice'!T157)</f>
        <v/>
      </c>
      <c r="L158" s="7">
        <f>IF('Per Invoice'!$V157="","",'Per Invoice'!S157)</f>
        <v/>
      </c>
    </row>
    <row r="159">
      <c r="A159">
        <f>IF('Per Invoice'!$V158="","",ROWS($A$3:A159))</f>
        <v/>
      </c>
      <c r="B159" s="11">
        <f>IF('Per Invoice'!$V158="","",'Per Invoice'!E158)</f>
        <v/>
      </c>
      <c r="C159">
        <f>IF('Per Invoice'!$V158="","",'Per Invoice'!G158)</f>
        <v/>
      </c>
      <c r="D159">
        <f>IF('Per Invoice'!$V158="","",'Per Invoice'!H158)</f>
        <v/>
      </c>
      <c r="E159">
        <f>IF('Per Invoice'!$V158="","",'Per Invoice'!F158)</f>
        <v/>
      </c>
      <c r="F159" s="7">
        <f>IF('Per Invoice'!$V158="","",'Per Invoice'!P158)</f>
        <v/>
      </c>
      <c r="G159" s="7">
        <f>IF('Per Invoice'!$V158="","",'Per Invoice'!Q158)</f>
        <v/>
      </c>
      <c r="H159" s="7">
        <f>IF('Per Invoice'!$V158="","",'Per Invoice'!M158)</f>
        <v/>
      </c>
      <c r="I159" s="7">
        <f>IF('Per Invoice'!$V158="","",'Per Invoice'!N158)</f>
        <v/>
      </c>
      <c r="J159" s="7">
        <f>IF('Per Invoice'!$V158="","",'Per Invoice'!K158)</f>
        <v/>
      </c>
      <c r="K159" s="7">
        <f>IF('Per Invoice'!$V158="","",'Per Invoice'!T158)</f>
        <v/>
      </c>
      <c r="L159" s="7">
        <f>IF('Per Invoice'!$V158="","",'Per Invoice'!S158)</f>
        <v/>
      </c>
    </row>
    <row r="160">
      <c r="A160">
        <f>IF('Per Invoice'!$V159="","",ROWS($A$3:A160))</f>
        <v/>
      </c>
      <c r="B160" s="11">
        <f>IF('Per Invoice'!$V159="","",'Per Invoice'!E159)</f>
        <v/>
      </c>
      <c r="C160">
        <f>IF('Per Invoice'!$V159="","",'Per Invoice'!G159)</f>
        <v/>
      </c>
      <c r="D160">
        <f>IF('Per Invoice'!$V159="","",'Per Invoice'!H159)</f>
        <v/>
      </c>
      <c r="E160">
        <f>IF('Per Invoice'!$V159="","",'Per Invoice'!F159)</f>
        <v/>
      </c>
      <c r="F160" s="7">
        <f>IF('Per Invoice'!$V159="","",'Per Invoice'!P159)</f>
        <v/>
      </c>
      <c r="G160" s="7">
        <f>IF('Per Invoice'!$V159="","",'Per Invoice'!Q159)</f>
        <v/>
      </c>
      <c r="H160" s="7">
        <f>IF('Per Invoice'!$V159="","",'Per Invoice'!M159)</f>
        <v/>
      </c>
      <c r="I160" s="7">
        <f>IF('Per Invoice'!$V159="","",'Per Invoice'!N159)</f>
        <v/>
      </c>
      <c r="J160" s="7">
        <f>IF('Per Invoice'!$V159="","",'Per Invoice'!K159)</f>
        <v/>
      </c>
      <c r="K160" s="7">
        <f>IF('Per Invoice'!$V159="","",'Per Invoice'!T159)</f>
        <v/>
      </c>
      <c r="L160" s="7">
        <f>IF('Per Invoice'!$V159="","",'Per Invoice'!S159)</f>
        <v/>
      </c>
    </row>
    <row r="161">
      <c r="A161">
        <f>IF('Per Invoice'!$V160="","",ROWS($A$3:A161))</f>
        <v/>
      </c>
      <c r="B161" s="11">
        <f>IF('Per Invoice'!$V160="","",'Per Invoice'!E160)</f>
        <v/>
      </c>
      <c r="C161">
        <f>IF('Per Invoice'!$V160="","",'Per Invoice'!G160)</f>
        <v/>
      </c>
      <c r="D161">
        <f>IF('Per Invoice'!$V160="","",'Per Invoice'!H160)</f>
        <v/>
      </c>
      <c r="E161">
        <f>IF('Per Invoice'!$V160="","",'Per Invoice'!F160)</f>
        <v/>
      </c>
      <c r="F161" s="7">
        <f>IF('Per Invoice'!$V160="","",'Per Invoice'!P160)</f>
        <v/>
      </c>
      <c r="G161" s="7">
        <f>IF('Per Invoice'!$V160="","",'Per Invoice'!Q160)</f>
        <v/>
      </c>
      <c r="H161" s="7">
        <f>IF('Per Invoice'!$V160="","",'Per Invoice'!M160)</f>
        <v/>
      </c>
      <c r="I161" s="7">
        <f>IF('Per Invoice'!$V160="","",'Per Invoice'!N160)</f>
        <v/>
      </c>
      <c r="J161" s="7">
        <f>IF('Per Invoice'!$V160="","",'Per Invoice'!K160)</f>
        <v/>
      </c>
      <c r="K161" s="7">
        <f>IF('Per Invoice'!$V160="","",'Per Invoice'!T160)</f>
        <v/>
      </c>
      <c r="L161" s="7">
        <f>IF('Per Invoice'!$V160="","",'Per Invoice'!S160)</f>
        <v/>
      </c>
    </row>
    <row r="162">
      <c r="A162">
        <f>IF('Per Invoice'!$V161="","",ROWS($A$3:A162))</f>
        <v/>
      </c>
      <c r="B162" s="11">
        <f>IF('Per Invoice'!$V161="","",'Per Invoice'!E161)</f>
        <v/>
      </c>
      <c r="C162">
        <f>IF('Per Invoice'!$V161="","",'Per Invoice'!G161)</f>
        <v/>
      </c>
      <c r="D162">
        <f>IF('Per Invoice'!$V161="","",'Per Invoice'!H161)</f>
        <v/>
      </c>
      <c r="E162">
        <f>IF('Per Invoice'!$V161="","",'Per Invoice'!F161)</f>
        <v/>
      </c>
      <c r="F162" s="7">
        <f>IF('Per Invoice'!$V161="","",'Per Invoice'!P161)</f>
        <v/>
      </c>
      <c r="G162" s="7">
        <f>IF('Per Invoice'!$V161="","",'Per Invoice'!Q161)</f>
        <v/>
      </c>
      <c r="H162" s="7">
        <f>IF('Per Invoice'!$V161="","",'Per Invoice'!M161)</f>
        <v/>
      </c>
      <c r="I162" s="7">
        <f>IF('Per Invoice'!$V161="","",'Per Invoice'!N161)</f>
        <v/>
      </c>
      <c r="J162" s="7">
        <f>IF('Per Invoice'!$V161="","",'Per Invoice'!K161)</f>
        <v/>
      </c>
      <c r="K162" s="7">
        <f>IF('Per Invoice'!$V161="","",'Per Invoice'!T161)</f>
        <v/>
      </c>
      <c r="L162" s="7">
        <f>IF('Per Invoice'!$V161="","",'Per Invoice'!S161)</f>
        <v/>
      </c>
    </row>
    <row r="163">
      <c r="A163">
        <f>IF('Per Invoice'!$V162="","",ROWS($A$3:A163))</f>
        <v/>
      </c>
      <c r="B163" s="11">
        <f>IF('Per Invoice'!$V162="","",'Per Invoice'!E162)</f>
        <v/>
      </c>
      <c r="C163">
        <f>IF('Per Invoice'!$V162="","",'Per Invoice'!G162)</f>
        <v/>
      </c>
      <c r="D163">
        <f>IF('Per Invoice'!$V162="","",'Per Invoice'!H162)</f>
        <v/>
      </c>
      <c r="E163">
        <f>IF('Per Invoice'!$V162="","",'Per Invoice'!F162)</f>
        <v/>
      </c>
      <c r="F163" s="7">
        <f>IF('Per Invoice'!$V162="","",'Per Invoice'!P162)</f>
        <v/>
      </c>
      <c r="G163" s="7">
        <f>IF('Per Invoice'!$V162="","",'Per Invoice'!Q162)</f>
        <v/>
      </c>
      <c r="H163" s="7">
        <f>IF('Per Invoice'!$V162="","",'Per Invoice'!M162)</f>
        <v/>
      </c>
      <c r="I163" s="7">
        <f>IF('Per Invoice'!$V162="","",'Per Invoice'!N162)</f>
        <v/>
      </c>
      <c r="J163" s="7">
        <f>IF('Per Invoice'!$V162="","",'Per Invoice'!K162)</f>
        <v/>
      </c>
      <c r="K163" s="7">
        <f>IF('Per Invoice'!$V162="","",'Per Invoice'!T162)</f>
        <v/>
      </c>
      <c r="L163" s="7">
        <f>IF('Per Invoice'!$V162="","",'Per Invoice'!S162)</f>
        <v/>
      </c>
    </row>
    <row r="164">
      <c r="A164">
        <f>IF('Per Invoice'!$V163="","",ROWS($A$3:A164))</f>
        <v/>
      </c>
      <c r="B164" s="11">
        <f>IF('Per Invoice'!$V163="","",'Per Invoice'!E163)</f>
        <v/>
      </c>
      <c r="C164">
        <f>IF('Per Invoice'!$V163="","",'Per Invoice'!G163)</f>
        <v/>
      </c>
      <c r="D164">
        <f>IF('Per Invoice'!$V163="","",'Per Invoice'!H163)</f>
        <v/>
      </c>
      <c r="E164">
        <f>IF('Per Invoice'!$V163="","",'Per Invoice'!F163)</f>
        <v/>
      </c>
      <c r="F164" s="7">
        <f>IF('Per Invoice'!$V163="","",'Per Invoice'!P163)</f>
        <v/>
      </c>
      <c r="G164" s="7">
        <f>IF('Per Invoice'!$V163="","",'Per Invoice'!Q163)</f>
        <v/>
      </c>
      <c r="H164" s="7">
        <f>IF('Per Invoice'!$V163="","",'Per Invoice'!M163)</f>
        <v/>
      </c>
      <c r="I164" s="7">
        <f>IF('Per Invoice'!$V163="","",'Per Invoice'!N163)</f>
        <v/>
      </c>
      <c r="J164" s="7">
        <f>IF('Per Invoice'!$V163="","",'Per Invoice'!K163)</f>
        <v/>
      </c>
      <c r="K164" s="7">
        <f>IF('Per Invoice'!$V163="","",'Per Invoice'!T163)</f>
        <v/>
      </c>
      <c r="L164" s="7">
        <f>IF('Per Invoice'!$V163="","",'Per Invoice'!S163)</f>
        <v/>
      </c>
    </row>
    <row r="165">
      <c r="A165">
        <f>IF('Per Invoice'!$V164="","",ROWS($A$3:A165))</f>
        <v/>
      </c>
      <c r="B165" s="11">
        <f>IF('Per Invoice'!$V164="","",'Per Invoice'!E164)</f>
        <v/>
      </c>
      <c r="C165">
        <f>IF('Per Invoice'!$V164="","",'Per Invoice'!G164)</f>
        <v/>
      </c>
      <c r="D165">
        <f>IF('Per Invoice'!$V164="","",'Per Invoice'!H164)</f>
        <v/>
      </c>
      <c r="E165">
        <f>IF('Per Invoice'!$V164="","",'Per Invoice'!F164)</f>
        <v/>
      </c>
      <c r="F165" s="7">
        <f>IF('Per Invoice'!$V164="","",'Per Invoice'!P164)</f>
        <v/>
      </c>
      <c r="G165" s="7">
        <f>IF('Per Invoice'!$V164="","",'Per Invoice'!Q164)</f>
        <v/>
      </c>
      <c r="H165" s="7">
        <f>IF('Per Invoice'!$V164="","",'Per Invoice'!M164)</f>
        <v/>
      </c>
      <c r="I165" s="7">
        <f>IF('Per Invoice'!$V164="","",'Per Invoice'!N164)</f>
        <v/>
      </c>
      <c r="J165" s="7">
        <f>IF('Per Invoice'!$V164="","",'Per Invoice'!K164)</f>
        <v/>
      </c>
      <c r="K165" s="7">
        <f>IF('Per Invoice'!$V164="","",'Per Invoice'!T164)</f>
        <v/>
      </c>
      <c r="L165" s="7">
        <f>IF('Per Invoice'!$V164="","",'Per Invoice'!S164)</f>
        <v/>
      </c>
    </row>
    <row r="166">
      <c r="A166">
        <f>IF('Per Invoice'!$V165="","",ROWS($A$3:A166))</f>
        <v/>
      </c>
      <c r="B166" s="11">
        <f>IF('Per Invoice'!$V165="","",'Per Invoice'!E165)</f>
        <v/>
      </c>
      <c r="C166">
        <f>IF('Per Invoice'!$V165="","",'Per Invoice'!G165)</f>
        <v/>
      </c>
      <c r="D166">
        <f>IF('Per Invoice'!$V165="","",'Per Invoice'!H165)</f>
        <v/>
      </c>
      <c r="E166">
        <f>IF('Per Invoice'!$V165="","",'Per Invoice'!F165)</f>
        <v/>
      </c>
      <c r="F166" s="7">
        <f>IF('Per Invoice'!$V165="","",'Per Invoice'!P165)</f>
        <v/>
      </c>
      <c r="G166" s="7">
        <f>IF('Per Invoice'!$V165="","",'Per Invoice'!Q165)</f>
        <v/>
      </c>
      <c r="H166" s="7">
        <f>IF('Per Invoice'!$V165="","",'Per Invoice'!M165)</f>
        <v/>
      </c>
      <c r="I166" s="7">
        <f>IF('Per Invoice'!$V165="","",'Per Invoice'!N165)</f>
        <v/>
      </c>
      <c r="J166" s="7">
        <f>IF('Per Invoice'!$V165="","",'Per Invoice'!K165)</f>
        <v/>
      </c>
      <c r="K166" s="7">
        <f>IF('Per Invoice'!$V165="","",'Per Invoice'!T165)</f>
        <v/>
      </c>
      <c r="L166" s="7">
        <f>IF('Per Invoice'!$V165="","",'Per Invoice'!S165)</f>
        <v/>
      </c>
    </row>
    <row r="167">
      <c r="A167">
        <f>IF('Per Invoice'!$V166="","",ROWS($A$3:A167))</f>
        <v/>
      </c>
      <c r="B167" s="11">
        <f>IF('Per Invoice'!$V166="","",'Per Invoice'!E166)</f>
        <v/>
      </c>
      <c r="C167">
        <f>IF('Per Invoice'!$V166="","",'Per Invoice'!G166)</f>
        <v/>
      </c>
      <c r="D167">
        <f>IF('Per Invoice'!$V166="","",'Per Invoice'!H166)</f>
        <v/>
      </c>
      <c r="E167">
        <f>IF('Per Invoice'!$V166="","",'Per Invoice'!F166)</f>
        <v/>
      </c>
      <c r="F167" s="7">
        <f>IF('Per Invoice'!$V166="","",'Per Invoice'!P166)</f>
        <v/>
      </c>
      <c r="G167" s="7">
        <f>IF('Per Invoice'!$V166="","",'Per Invoice'!Q166)</f>
        <v/>
      </c>
      <c r="H167" s="7">
        <f>IF('Per Invoice'!$V166="","",'Per Invoice'!M166)</f>
        <v/>
      </c>
      <c r="I167" s="7">
        <f>IF('Per Invoice'!$V166="","",'Per Invoice'!N166)</f>
        <v/>
      </c>
      <c r="J167" s="7">
        <f>IF('Per Invoice'!$V166="","",'Per Invoice'!K166)</f>
        <v/>
      </c>
      <c r="K167" s="7">
        <f>IF('Per Invoice'!$V166="","",'Per Invoice'!T166)</f>
        <v/>
      </c>
      <c r="L167" s="7">
        <f>IF('Per Invoice'!$V166="","",'Per Invoice'!S166)</f>
        <v/>
      </c>
    </row>
    <row r="168">
      <c r="A168">
        <f>IF('Per Invoice'!$V167="","",ROWS($A$3:A168))</f>
        <v/>
      </c>
      <c r="B168" s="11">
        <f>IF('Per Invoice'!$V167="","",'Per Invoice'!E167)</f>
        <v/>
      </c>
      <c r="C168">
        <f>IF('Per Invoice'!$V167="","",'Per Invoice'!G167)</f>
        <v/>
      </c>
      <c r="D168">
        <f>IF('Per Invoice'!$V167="","",'Per Invoice'!H167)</f>
        <v/>
      </c>
      <c r="E168">
        <f>IF('Per Invoice'!$V167="","",'Per Invoice'!F167)</f>
        <v/>
      </c>
      <c r="F168" s="7">
        <f>IF('Per Invoice'!$V167="","",'Per Invoice'!P167)</f>
        <v/>
      </c>
      <c r="G168" s="7">
        <f>IF('Per Invoice'!$V167="","",'Per Invoice'!Q167)</f>
        <v/>
      </c>
      <c r="H168" s="7">
        <f>IF('Per Invoice'!$V167="","",'Per Invoice'!M167)</f>
        <v/>
      </c>
      <c r="I168" s="7">
        <f>IF('Per Invoice'!$V167="","",'Per Invoice'!N167)</f>
        <v/>
      </c>
      <c r="J168" s="7">
        <f>IF('Per Invoice'!$V167="","",'Per Invoice'!K167)</f>
        <v/>
      </c>
      <c r="K168" s="7">
        <f>IF('Per Invoice'!$V167="","",'Per Invoice'!T167)</f>
        <v/>
      </c>
      <c r="L168" s="7">
        <f>IF('Per Invoice'!$V167="","",'Per Invoice'!S167)</f>
        <v/>
      </c>
    </row>
    <row r="169">
      <c r="A169">
        <f>IF('Per Invoice'!$V168="","",ROWS($A$3:A169))</f>
        <v/>
      </c>
      <c r="B169" s="11">
        <f>IF('Per Invoice'!$V168="","",'Per Invoice'!E168)</f>
        <v/>
      </c>
      <c r="C169">
        <f>IF('Per Invoice'!$V168="","",'Per Invoice'!G168)</f>
        <v/>
      </c>
      <c r="D169">
        <f>IF('Per Invoice'!$V168="","",'Per Invoice'!H168)</f>
        <v/>
      </c>
      <c r="E169">
        <f>IF('Per Invoice'!$V168="","",'Per Invoice'!F168)</f>
        <v/>
      </c>
      <c r="F169" s="7">
        <f>IF('Per Invoice'!$V168="","",'Per Invoice'!P168)</f>
        <v/>
      </c>
      <c r="G169" s="7">
        <f>IF('Per Invoice'!$V168="","",'Per Invoice'!Q168)</f>
        <v/>
      </c>
      <c r="H169" s="7">
        <f>IF('Per Invoice'!$V168="","",'Per Invoice'!M168)</f>
        <v/>
      </c>
      <c r="I169" s="7">
        <f>IF('Per Invoice'!$V168="","",'Per Invoice'!N168)</f>
        <v/>
      </c>
      <c r="J169" s="7">
        <f>IF('Per Invoice'!$V168="","",'Per Invoice'!K168)</f>
        <v/>
      </c>
      <c r="K169" s="7">
        <f>IF('Per Invoice'!$V168="","",'Per Invoice'!T168)</f>
        <v/>
      </c>
      <c r="L169" s="7">
        <f>IF('Per Invoice'!$V168="","",'Per Invoice'!S168)</f>
        <v/>
      </c>
    </row>
    <row r="170">
      <c r="A170">
        <f>IF('Per Invoice'!$V169="","",ROWS($A$3:A170))</f>
        <v/>
      </c>
      <c r="B170" s="11">
        <f>IF('Per Invoice'!$V169="","",'Per Invoice'!E169)</f>
        <v/>
      </c>
      <c r="C170">
        <f>IF('Per Invoice'!$V169="","",'Per Invoice'!G169)</f>
        <v/>
      </c>
      <c r="D170">
        <f>IF('Per Invoice'!$V169="","",'Per Invoice'!H169)</f>
        <v/>
      </c>
      <c r="E170">
        <f>IF('Per Invoice'!$V169="","",'Per Invoice'!F169)</f>
        <v/>
      </c>
      <c r="F170" s="7">
        <f>IF('Per Invoice'!$V169="","",'Per Invoice'!P169)</f>
        <v/>
      </c>
      <c r="G170" s="7">
        <f>IF('Per Invoice'!$V169="","",'Per Invoice'!Q169)</f>
        <v/>
      </c>
      <c r="H170" s="7">
        <f>IF('Per Invoice'!$V169="","",'Per Invoice'!M169)</f>
        <v/>
      </c>
      <c r="I170" s="7">
        <f>IF('Per Invoice'!$V169="","",'Per Invoice'!N169)</f>
        <v/>
      </c>
      <c r="J170" s="7">
        <f>IF('Per Invoice'!$V169="","",'Per Invoice'!K169)</f>
        <v/>
      </c>
      <c r="K170" s="7">
        <f>IF('Per Invoice'!$V169="","",'Per Invoice'!T169)</f>
        <v/>
      </c>
      <c r="L170" s="7">
        <f>IF('Per Invoice'!$V169="","",'Per Invoice'!S169)</f>
        <v/>
      </c>
    </row>
    <row r="171">
      <c r="A171">
        <f>IF('Per Invoice'!$V170="","",ROWS($A$3:A171))</f>
        <v/>
      </c>
      <c r="B171" s="11">
        <f>IF('Per Invoice'!$V170="","",'Per Invoice'!E170)</f>
        <v/>
      </c>
      <c r="C171">
        <f>IF('Per Invoice'!$V170="","",'Per Invoice'!G170)</f>
        <v/>
      </c>
      <c r="D171">
        <f>IF('Per Invoice'!$V170="","",'Per Invoice'!H170)</f>
        <v/>
      </c>
      <c r="E171">
        <f>IF('Per Invoice'!$V170="","",'Per Invoice'!F170)</f>
        <v/>
      </c>
      <c r="F171" s="7">
        <f>IF('Per Invoice'!$V170="","",'Per Invoice'!P170)</f>
        <v/>
      </c>
      <c r="G171" s="7">
        <f>IF('Per Invoice'!$V170="","",'Per Invoice'!Q170)</f>
        <v/>
      </c>
      <c r="H171" s="7">
        <f>IF('Per Invoice'!$V170="","",'Per Invoice'!M170)</f>
        <v/>
      </c>
      <c r="I171" s="7">
        <f>IF('Per Invoice'!$V170="","",'Per Invoice'!N170)</f>
        <v/>
      </c>
      <c r="J171" s="7">
        <f>IF('Per Invoice'!$V170="","",'Per Invoice'!K170)</f>
        <v/>
      </c>
      <c r="K171" s="7">
        <f>IF('Per Invoice'!$V170="","",'Per Invoice'!T170)</f>
        <v/>
      </c>
      <c r="L171" s="7">
        <f>IF('Per Invoice'!$V170="","",'Per Invoice'!S170)</f>
        <v/>
      </c>
    </row>
    <row r="172">
      <c r="A172">
        <f>IF('Per Invoice'!$V171="","",ROWS($A$3:A172))</f>
        <v/>
      </c>
      <c r="B172" s="11">
        <f>IF('Per Invoice'!$V171="","",'Per Invoice'!E171)</f>
        <v/>
      </c>
      <c r="C172">
        <f>IF('Per Invoice'!$V171="","",'Per Invoice'!G171)</f>
        <v/>
      </c>
      <c r="D172">
        <f>IF('Per Invoice'!$V171="","",'Per Invoice'!H171)</f>
        <v/>
      </c>
      <c r="E172">
        <f>IF('Per Invoice'!$V171="","",'Per Invoice'!F171)</f>
        <v/>
      </c>
      <c r="F172" s="7">
        <f>IF('Per Invoice'!$V171="","",'Per Invoice'!P171)</f>
        <v/>
      </c>
      <c r="G172" s="7">
        <f>IF('Per Invoice'!$V171="","",'Per Invoice'!Q171)</f>
        <v/>
      </c>
      <c r="H172" s="7">
        <f>IF('Per Invoice'!$V171="","",'Per Invoice'!M171)</f>
        <v/>
      </c>
      <c r="I172" s="7">
        <f>IF('Per Invoice'!$V171="","",'Per Invoice'!N171)</f>
        <v/>
      </c>
      <c r="J172" s="7">
        <f>IF('Per Invoice'!$V171="","",'Per Invoice'!K171)</f>
        <v/>
      </c>
      <c r="K172" s="7">
        <f>IF('Per Invoice'!$V171="","",'Per Invoice'!T171)</f>
        <v/>
      </c>
      <c r="L172" s="7">
        <f>IF('Per Invoice'!$V171="","",'Per Invoice'!S171)</f>
        <v/>
      </c>
    </row>
    <row r="173">
      <c r="A173">
        <f>IF('Per Invoice'!$V172="","",ROWS($A$3:A173))</f>
        <v/>
      </c>
      <c r="B173" s="11">
        <f>IF('Per Invoice'!$V172="","",'Per Invoice'!E172)</f>
        <v/>
      </c>
      <c r="C173">
        <f>IF('Per Invoice'!$V172="","",'Per Invoice'!G172)</f>
        <v/>
      </c>
      <c r="D173">
        <f>IF('Per Invoice'!$V172="","",'Per Invoice'!H172)</f>
        <v/>
      </c>
      <c r="E173">
        <f>IF('Per Invoice'!$V172="","",'Per Invoice'!F172)</f>
        <v/>
      </c>
      <c r="F173" s="7">
        <f>IF('Per Invoice'!$V172="","",'Per Invoice'!P172)</f>
        <v/>
      </c>
      <c r="G173" s="7">
        <f>IF('Per Invoice'!$V172="","",'Per Invoice'!Q172)</f>
        <v/>
      </c>
      <c r="H173" s="7">
        <f>IF('Per Invoice'!$V172="","",'Per Invoice'!M172)</f>
        <v/>
      </c>
      <c r="I173" s="7">
        <f>IF('Per Invoice'!$V172="","",'Per Invoice'!N172)</f>
        <v/>
      </c>
      <c r="J173" s="7">
        <f>IF('Per Invoice'!$V172="","",'Per Invoice'!K172)</f>
        <v/>
      </c>
      <c r="K173" s="7">
        <f>IF('Per Invoice'!$V172="","",'Per Invoice'!T172)</f>
        <v/>
      </c>
      <c r="L173" s="7">
        <f>IF('Per Invoice'!$V172="","",'Per Invoice'!S172)</f>
        <v/>
      </c>
    </row>
    <row r="174">
      <c r="A174">
        <f>IF('Per Invoice'!$V173="","",ROWS($A$3:A174))</f>
        <v/>
      </c>
      <c r="B174" s="11">
        <f>IF('Per Invoice'!$V173="","",'Per Invoice'!E173)</f>
        <v/>
      </c>
      <c r="C174">
        <f>IF('Per Invoice'!$V173="","",'Per Invoice'!G173)</f>
        <v/>
      </c>
      <c r="D174">
        <f>IF('Per Invoice'!$V173="","",'Per Invoice'!H173)</f>
        <v/>
      </c>
      <c r="E174">
        <f>IF('Per Invoice'!$V173="","",'Per Invoice'!F173)</f>
        <v/>
      </c>
      <c r="F174" s="7">
        <f>IF('Per Invoice'!$V173="","",'Per Invoice'!P173)</f>
        <v/>
      </c>
      <c r="G174" s="7">
        <f>IF('Per Invoice'!$V173="","",'Per Invoice'!Q173)</f>
        <v/>
      </c>
      <c r="H174" s="7">
        <f>IF('Per Invoice'!$V173="","",'Per Invoice'!M173)</f>
        <v/>
      </c>
      <c r="I174" s="7">
        <f>IF('Per Invoice'!$V173="","",'Per Invoice'!N173)</f>
        <v/>
      </c>
      <c r="J174" s="7">
        <f>IF('Per Invoice'!$V173="","",'Per Invoice'!K173)</f>
        <v/>
      </c>
      <c r="K174" s="7">
        <f>IF('Per Invoice'!$V173="","",'Per Invoice'!T173)</f>
        <v/>
      </c>
      <c r="L174" s="7">
        <f>IF('Per Invoice'!$V173="","",'Per Invoice'!S173)</f>
        <v/>
      </c>
    </row>
    <row r="175">
      <c r="A175">
        <f>IF('Per Invoice'!$V174="","",ROWS($A$3:A175))</f>
        <v/>
      </c>
      <c r="B175" s="11">
        <f>IF('Per Invoice'!$V174="","",'Per Invoice'!E174)</f>
        <v/>
      </c>
      <c r="C175">
        <f>IF('Per Invoice'!$V174="","",'Per Invoice'!G174)</f>
        <v/>
      </c>
      <c r="D175">
        <f>IF('Per Invoice'!$V174="","",'Per Invoice'!H174)</f>
        <v/>
      </c>
      <c r="E175">
        <f>IF('Per Invoice'!$V174="","",'Per Invoice'!F174)</f>
        <v/>
      </c>
      <c r="F175" s="7">
        <f>IF('Per Invoice'!$V174="","",'Per Invoice'!P174)</f>
        <v/>
      </c>
      <c r="G175" s="7">
        <f>IF('Per Invoice'!$V174="","",'Per Invoice'!Q174)</f>
        <v/>
      </c>
      <c r="H175" s="7">
        <f>IF('Per Invoice'!$V174="","",'Per Invoice'!M174)</f>
        <v/>
      </c>
      <c r="I175" s="7">
        <f>IF('Per Invoice'!$V174="","",'Per Invoice'!N174)</f>
        <v/>
      </c>
      <c r="J175" s="7">
        <f>IF('Per Invoice'!$V174="","",'Per Invoice'!K174)</f>
        <v/>
      </c>
      <c r="K175" s="7">
        <f>IF('Per Invoice'!$V174="","",'Per Invoice'!T174)</f>
        <v/>
      </c>
      <c r="L175" s="7">
        <f>IF('Per Invoice'!$V174="","",'Per Invoice'!S174)</f>
        <v/>
      </c>
    </row>
    <row r="176">
      <c r="A176">
        <f>IF('Per Invoice'!$V175="","",ROWS($A$3:A176))</f>
        <v/>
      </c>
      <c r="B176" s="11">
        <f>IF('Per Invoice'!$V175="","",'Per Invoice'!E175)</f>
        <v/>
      </c>
      <c r="C176">
        <f>IF('Per Invoice'!$V175="","",'Per Invoice'!G175)</f>
        <v/>
      </c>
      <c r="D176">
        <f>IF('Per Invoice'!$V175="","",'Per Invoice'!H175)</f>
        <v/>
      </c>
      <c r="E176">
        <f>IF('Per Invoice'!$V175="","",'Per Invoice'!F175)</f>
        <v/>
      </c>
      <c r="F176" s="7">
        <f>IF('Per Invoice'!$V175="","",'Per Invoice'!P175)</f>
        <v/>
      </c>
      <c r="G176" s="7">
        <f>IF('Per Invoice'!$V175="","",'Per Invoice'!Q175)</f>
        <v/>
      </c>
      <c r="H176" s="7">
        <f>IF('Per Invoice'!$V175="","",'Per Invoice'!M175)</f>
        <v/>
      </c>
      <c r="I176" s="7">
        <f>IF('Per Invoice'!$V175="","",'Per Invoice'!N175)</f>
        <v/>
      </c>
      <c r="J176" s="7">
        <f>IF('Per Invoice'!$V175="","",'Per Invoice'!K175)</f>
        <v/>
      </c>
      <c r="K176" s="7">
        <f>IF('Per Invoice'!$V175="","",'Per Invoice'!T175)</f>
        <v/>
      </c>
      <c r="L176" s="7">
        <f>IF('Per Invoice'!$V175="","",'Per Invoice'!S175)</f>
        <v/>
      </c>
    </row>
    <row r="177">
      <c r="A177">
        <f>IF('Per Invoice'!$V176="","",ROWS($A$3:A177))</f>
        <v/>
      </c>
      <c r="B177" s="11">
        <f>IF('Per Invoice'!$V176="","",'Per Invoice'!E176)</f>
        <v/>
      </c>
      <c r="C177">
        <f>IF('Per Invoice'!$V176="","",'Per Invoice'!G176)</f>
        <v/>
      </c>
      <c r="D177">
        <f>IF('Per Invoice'!$V176="","",'Per Invoice'!H176)</f>
        <v/>
      </c>
      <c r="E177">
        <f>IF('Per Invoice'!$V176="","",'Per Invoice'!F176)</f>
        <v/>
      </c>
      <c r="F177" s="7">
        <f>IF('Per Invoice'!$V176="","",'Per Invoice'!P176)</f>
        <v/>
      </c>
      <c r="G177" s="7">
        <f>IF('Per Invoice'!$V176="","",'Per Invoice'!Q176)</f>
        <v/>
      </c>
      <c r="H177" s="7">
        <f>IF('Per Invoice'!$V176="","",'Per Invoice'!M176)</f>
        <v/>
      </c>
      <c r="I177" s="7">
        <f>IF('Per Invoice'!$V176="","",'Per Invoice'!N176)</f>
        <v/>
      </c>
      <c r="J177" s="7">
        <f>IF('Per Invoice'!$V176="","",'Per Invoice'!K176)</f>
        <v/>
      </c>
      <c r="K177" s="7">
        <f>IF('Per Invoice'!$V176="","",'Per Invoice'!T176)</f>
        <v/>
      </c>
      <c r="L177" s="7">
        <f>IF('Per Invoice'!$V176="","",'Per Invoice'!S176)</f>
        <v/>
      </c>
    </row>
    <row r="178">
      <c r="A178">
        <f>IF('Per Invoice'!$V177="","",ROWS($A$3:A178))</f>
        <v/>
      </c>
      <c r="B178" s="11">
        <f>IF('Per Invoice'!$V177="","",'Per Invoice'!E177)</f>
        <v/>
      </c>
      <c r="C178">
        <f>IF('Per Invoice'!$V177="","",'Per Invoice'!G177)</f>
        <v/>
      </c>
      <c r="D178">
        <f>IF('Per Invoice'!$V177="","",'Per Invoice'!H177)</f>
        <v/>
      </c>
      <c r="E178">
        <f>IF('Per Invoice'!$V177="","",'Per Invoice'!F177)</f>
        <v/>
      </c>
      <c r="F178" s="7">
        <f>IF('Per Invoice'!$V177="","",'Per Invoice'!P177)</f>
        <v/>
      </c>
      <c r="G178" s="7">
        <f>IF('Per Invoice'!$V177="","",'Per Invoice'!Q177)</f>
        <v/>
      </c>
      <c r="H178" s="7">
        <f>IF('Per Invoice'!$V177="","",'Per Invoice'!M177)</f>
        <v/>
      </c>
      <c r="I178" s="7">
        <f>IF('Per Invoice'!$V177="","",'Per Invoice'!N177)</f>
        <v/>
      </c>
      <c r="J178" s="7">
        <f>IF('Per Invoice'!$V177="","",'Per Invoice'!K177)</f>
        <v/>
      </c>
      <c r="K178" s="7">
        <f>IF('Per Invoice'!$V177="","",'Per Invoice'!T177)</f>
        <v/>
      </c>
      <c r="L178" s="7">
        <f>IF('Per Invoice'!$V177="","",'Per Invoice'!S177)</f>
        <v/>
      </c>
    </row>
    <row r="179">
      <c r="A179">
        <f>IF('Per Invoice'!$V178="","",ROWS($A$3:A179))</f>
        <v/>
      </c>
      <c r="B179" s="11">
        <f>IF('Per Invoice'!$V178="","",'Per Invoice'!E178)</f>
        <v/>
      </c>
      <c r="C179">
        <f>IF('Per Invoice'!$V178="","",'Per Invoice'!G178)</f>
        <v/>
      </c>
      <c r="D179">
        <f>IF('Per Invoice'!$V178="","",'Per Invoice'!H178)</f>
        <v/>
      </c>
      <c r="E179">
        <f>IF('Per Invoice'!$V178="","",'Per Invoice'!F178)</f>
        <v/>
      </c>
      <c r="F179" s="7">
        <f>IF('Per Invoice'!$V178="","",'Per Invoice'!P178)</f>
        <v/>
      </c>
      <c r="G179" s="7">
        <f>IF('Per Invoice'!$V178="","",'Per Invoice'!Q178)</f>
        <v/>
      </c>
      <c r="H179" s="7">
        <f>IF('Per Invoice'!$V178="","",'Per Invoice'!M178)</f>
        <v/>
      </c>
      <c r="I179" s="7">
        <f>IF('Per Invoice'!$V178="","",'Per Invoice'!N178)</f>
        <v/>
      </c>
      <c r="J179" s="7">
        <f>IF('Per Invoice'!$V178="","",'Per Invoice'!K178)</f>
        <v/>
      </c>
      <c r="K179" s="7">
        <f>IF('Per Invoice'!$V178="","",'Per Invoice'!T178)</f>
        <v/>
      </c>
      <c r="L179" s="7">
        <f>IF('Per Invoice'!$V178="","",'Per Invoice'!S178)</f>
        <v/>
      </c>
    </row>
    <row r="180">
      <c r="A180">
        <f>IF('Per Invoice'!$V179="","",ROWS($A$3:A180))</f>
        <v/>
      </c>
      <c r="B180" s="11">
        <f>IF('Per Invoice'!$V179="","",'Per Invoice'!E179)</f>
        <v/>
      </c>
      <c r="C180">
        <f>IF('Per Invoice'!$V179="","",'Per Invoice'!G179)</f>
        <v/>
      </c>
      <c r="D180">
        <f>IF('Per Invoice'!$V179="","",'Per Invoice'!H179)</f>
        <v/>
      </c>
      <c r="E180">
        <f>IF('Per Invoice'!$V179="","",'Per Invoice'!F179)</f>
        <v/>
      </c>
      <c r="F180" s="7">
        <f>IF('Per Invoice'!$V179="","",'Per Invoice'!P179)</f>
        <v/>
      </c>
      <c r="G180" s="7">
        <f>IF('Per Invoice'!$V179="","",'Per Invoice'!Q179)</f>
        <v/>
      </c>
      <c r="H180" s="7">
        <f>IF('Per Invoice'!$V179="","",'Per Invoice'!M179)</f>
        <v/>
      </c>
      <c r="I180" s="7">
        <f>IF('Per Invoice'!$V179="","",'Per Invoice'!N179)</f>
        <v/>
      </c>
      <c r="J180" s="7">
        <f>IF('Per Invoice'!$V179="","",'Per Invoice'!K179)</f>
        <v/>
      </c>
      <c r="K180" s="7">
        <f>IF('Per Invoice'!$V179="","",'Per Invoice'!T179)</f>
        <v/>
      </c>
      <c r="L180" s="7">
        <f>IF('Per Invoice'!$V179="","",'Per Invoice'!S179)</f>
        <v/>
      </c>
    </row>
    <row r="181">
      <c r="A181">
        <f>IF('Per Invoice'!$V180="","",ROWS($A$3:A181))</f>
        <v/>
      </c>
      <c r="B181" s="11">
        <f>IF('Per Invoice'!$V180="","",'Per Invoice'!E180)</f>
        <v/>
      </c>
      <c r="C181">
        <f>IF('Per Invoice'!$V180="","",'Per Invoice'!G180)</f>
        <v/>
      </c>
      <c r="D181">
        <f>IF('Per Invoice'!$V180="","",'Per Invoice'!H180)</f>
        <v/>
      </c>
      <c r="E181">
        <f>IF('Per Invoice'!$V180="","",'Per Invoice'!F180)</f>
        <v/>
      </c>
      <c r="F181" s="7">
        <f>IF('Per Invoice'!$V180="","",'Per Invoice'!P180)</f>
        <v/>
      </c>
      <c r="G181" s="7">
        <f>IF('Per Invoice'!$V180="","",'Per Invoice'!Q180)</f>
        <v/>
      </c>
      <c r="H181" s="7">
        <f>IF('Per Invoice'!$V180="","",'Per Invoice'!M180)</f>
        <v/>
      </c>
      <c r="I181" s="7">
        <f>IF('Per Invoice'!$V180="","",'Per Invoice'!N180)</f>
        <v/>
      </c>
      <c r="J181" s="7">
        <f>IF('Per Invoice'!$V180="","",'Per Invoice'!K180)</f>
        <v/>
      </c>
      <c r="K181" s="7">
        <f>IF('Per Invoice'!$V180="","",'Per Invoice'!T180)</f>
        <v/>
      </c>
      <c r="L181" s="7">
        <f>IF('Per Invoice'!$V180="","",'Per Invoice'!S180)</f>
        <v/>
      </c>
    </row>
    <row r="182">
      <c r="A182">
        <f>IF('Per Invoice'!$V181="","",ROWS($A$3:A182))</f>
        <v/>
      </c>
      <c r="B182" s="11">
        <f>IF('Per Invoice'!$V181="","",'Per Invoice'!E181)</f>
        <v/>
      </c>
      <c r="C182">
        <f>IF('Per Invoice'!$V181="","",'Per Invoice'!G181)</f>
        <v/>
      </c>
      <c r="D182">
        <f>IF('Per Invoice'!$V181="","",'Per Invoice'!H181)</f>
        <v/>
      </c>
      <c r="E182">
        <f>IF('Per Invoice'!$V181="","",'Per Invoice'!F181)</f>
        <v/>
      </c>
      <c r="F182" s="7">
        <f>IF('Per Invoice'!$V181="","",'Per Invoice'!P181)</f>
        <v/>
      </c>
      <c r="G182" s="7">
        <f>IF('Per Invoice'!$V181="","",'Per Invoice'!Q181)</f>
        <v/>
      </c>
      <c r="H182" s="7">
        <f>IF('Per Invoice'!$V181="","",'Per Invoice'!M181)</f>
        <v/>
      </c>
      <c r="I182" s="7">
        <f>IF('Per Invoice'!$V181="","",'Per Invoice'!N181)</f>
        <v/>
      </c>
      <c r="J182" s="7">
        <f>IF('Per Invoice'!$V181="","",'Per Invoice'!K181)</f>
        <v/>
      </c>
      <c r="K182" s="7">
        <f>IF('Per Invoice'!$V181="","",'Per Invoice'!T181)</f>
        <v/>
      </c>
      <c r="L182" s="7">
        <f>IF('Per Invoice'!$V181="","",'Per Invoice'!S181)</f>
        <v/>
      </c>
    </row>
    <row r="183">
      <c r="A183">
        <f>IF('Per Invoice'!$V182="","",ROWS($A$3:A183))</f>
        <v/>
      </c>
      <c r="B183" s="11">
        <f>IF('Per Invoice'!$V182="","",'Per Invoice'!E182)</f>
        <v/>
      </c>
      <c r="C183">
        <f>IF('Per Invoice'!$V182="","",'Per Invoice'!G182)</f>
        <v/>
      </c>
      <c r="D183">
        <f>IF('Per Invoice'!$V182="","",'Per Invoice'!H182)</f>
        <v/>
      </c>
      <c r="E183">
        <f>IF('Per Invoice'!$V182="","",'Per Invoice'!F182)</f>
        <v/>
      </c>
      <c r="F183" s="7">
        <f>IF('Per Invoice'!$V182="","",'Per Invoice'!P182)</f>
        <v/>
      </c>
      <c r="G183" s="7">
        <f>IF('Per Invoice'!$V182="","",'Per Invoice'!Q182)</f>
        <v/>
      </c>
      <c r="H183" s="7">
        <f>IF('Per Invoice'!$V182="","",'Per Invoice'!M182)</f>
        <v/>
      </c>
      <c r="I183" s="7">
        <f>IF('Per Invoice'!$V182="","",'Per Invoice'!N182)</f>
        <v/>
      </c>
      <c r="J183" s="7">
        <f>IF('Per Invoice'!$V182="","",'Per Invoice'!K182)</f>
        <v/>
      </c>
      <c r="K183" s="7">
        <f>IF('Per Invoice'!$V182="","",'Per Invoice'!T182)</f>
        <v/>
      </c>
      <c r="L183" s="7">
        <f>IF('Per Invoice'!$V182="","",'Per Invoice'!S182)</f>
        <v/>
      </c>
    </row>
    <row r="184">
      <c r="A184">
        <f>IF('Per Invoice'!$V183="","",ROWS($A$3:A184))</f>
        <v/>
      </c>
      <c r="B184" s="11">
        <f>IF('Per Invoice'!$V183="","",'Per Invoice'!E183)</f>
        <v/>
      </c>
      <c r="C184">
        <f>IF('Per Invoice'!$V183="","",'Per Invoice'!G183)</f>
        <v/>
      </c>
      <c r="D184">
        <f>IF('Per Invoice'!$V183="","",'Per Invoice'!H183)</f>
        <v/>
      </c>
      <c r="E184">
        <f>IF('Per Invoice'!$V183="","",'Per Invoice'!F183)</f>
        <v/>
      </c>
      <c r="F184" s="7">
        <f>IF('Per Invoice'!$V183="","",'Per Invoice'!P183)</f>
        <v/>
      </c>
      <c r="G184" s="7">
        <f>IF('Per Invoice'!$V183="","",'Per Invoice'!Q183)</f>
        <v/>
      </c>
      <c r="H184" s="7">
        <f>IF('Per Invoice'!$V183="","",'Per Invoice'!M183)</f>
        <v/>
      </c>
      <c r="I184" s="7">
        <f>IF('Per Invoice'!$V183="","",'Per Invoice'!N183)</f>
        <v/>
      </c>
      <c r="J184" s="7">
        <f>IF('Per Invoice'!$V183="","",'Per Invoice'!K183)</f>
        <v/>
      </c>
      <c r="K184" s="7">
        <f>IF('Per Invoice'!$V183="","",'Per Invoice'!T183)</f>
        <v/>
      </c>
      <c r="L184" s="7">
        <f>IF('Per Invoice'!$V183="","",'Per Invoice'!S183)</f>
        <v/>
      </c>
    </row>
    <row r="185">
      <c r="A185">
        <f>IF('Per Invoice'!$V184="","",ROWS($A$3:A185))</f>
        <v/>
      </c>
      <c r="B185" s="11">
        <f>IF('Per Invoice'!$V184="","",'Per Invoice'!E184)</f>
        <v/>
      </c>
      <c r="C185">
        <f>IF('Per Invoice'!$V184="","",'Per Invoice'!G184)</f>
        <v/>
      </c>
      <c r="D185">
        <f>IF('Per Invoice'!$V184="","",'Per Invoice'!H184)</f>
        <v/>
      </c>
      <c r="E185">
        <f>IF('Per Invoice'!$V184="","",'Per Invoice'!F184)</f>
        <v/>
      </c>
      <c r="F185" s="7">
        <f>IF('Per Invoice'!$V184="","",'Per Invoice'!P184)</f>
        <v/>
      </c>
      <c r="G185" s="7">
        <f>IF('Per Invoice'!$V184="","",'Per Invoice'!Q184)</f>
        <v/>
      </c>
      <c r="H185" s="7">
        <f>IF('Per Invoice'!$V184="","",'Per Invoice'!M184)</f>
        <v/>
      </c>
      <c r="I185" s="7">
        <f>IF('Per Invoice'!$V184="","",'Per Invoice'!N184)</f>
        <v/>
      </c>
      <c r="J185" s="7">
        <f>IF('Per Invoice'!$V184="","",'Per Invoice'!K184)</f>
        <v/>
      </c>
      <c r="K185" s="7">
        <f>IF('Per Invoice'!$V184="","",'Per Invoice'!T184)</f>
        <v/>
      </c>
      <c r="L185" s="7">
        <f>IF('Per Invoice'!$V184="","",'Per Invoice'!S184)</f>
        <v/>
      </c>
    </row>
    <row r="186">
      <c r="A186">
        <f>IF('Per Invoice'!$V185="","",ROWS($A$3:A186))</f>
        <v/>
      </c>
      <c r="B186" s="11">
        <f>IF('Per Invoice'!$V185="","",'Per Invoice'!E185)</f>
        <v/>
      </c>
      <c r="C186">
        <f>IF('Per Invoice'!$V185="","",'Per Invoice'!G185)</f>
        <v/>
      </c>
      <c r="D186">
        <f>IF('Per Invoice'!$V185="","",'Per Invoice'!H185)</f>
        <v/>
      </c>
      <c r="E186">
        <f>IF('Per Invoice'!$V185="","",'Per Invoice'!F185)</f>
        <v/>
      </c>
      <c r="F186" s="7">
        <f>IF('Per Invoice'!$V185="","",'Per Invoice'!P185)</f>
        <v/>
      </c>
      <c r="G186" s="7">
        <f>IF('Per Invoice'!$V185="","",'Per Invoice'!Q185)</f>
        <v/>
      </c>
      <c r="H186" s="7">
        <f>IF('Per Invoice'!$V185="","",'Per Invoice'!M185)</f>
        <v/>
      </c>
      <c r="I186" s="7">
        <f>IF('Per Invoice'!$V185="","",'Per Invoice'!N185)</f>
        <v/>
      </c>
      <c r="J186" s="7">
        <f>IF('Per Invoice'!$V185="","",'Per Invoice'!K185)</f>
        <v/>
      </c>
      <c r="K186" s="7">
        <f>IF('Per Invoice'!$V185="","",'Per Invoice'!T185)</f>
        <v/>
      </c>
      <c r="L186" s="7">
        <f>IF('Per Invoice'!$V185="","",'Per Invoice'!S185)</f>
        <v/>
      </c>
    </row>
    <row r="187">
      <c r="A187">
        <f>IF('Per Invoice'!$V186="","",ROWS($A$3:A187))</f>
        <v/>
      </c>
      <c r="B187" s="11">
        <f>IF('Per Invoice'!$V186="","",'Per Invoice'!E186)</f>
        <v/>
      </c>
      <c r="C187">
        <f>IF('Per Invoice'!$V186="","",'Per Invoice'!G186)</f>
        <v/>
      </c>
      <c r="D187">
        <f>IF('Per Invoice'!$V186="","",'Per Invoice'!H186)</f>
        <v/>
      </c>
      <c r="E187">
        <f>IF('Per Invoice'!$V186="","",'Per Invoice'!F186)</f>
        <v/>
      </c>
      <c r="F187" s="7">
        <f>IF('Per Invoice'!$V186="","",'Per Invoice'!P186)</f>
        <v/>
      </c>
      <c r="G187" s="7">
        <f>IF('Per Invoice'!$V186="","",'Per Invoice'!Q186)</f>
        <v/>
      </c>
      <c r="H187" s="7">
        <f>IF('Per Invoice'!$V186="","",'Per Invoice'!M186)</f>
        <v/>
      </c>
      <c r="I187" s="7">
        <f>IF('Per Invoice'!$V186="","",'Per Invoice'!N186)</f>
        <v/>
      </c>
      <c r="J187" s="7">
        <f>IF('Per Invoice'!$V186="","",'Per Invoice'!K186)</f>
        <v/>
      </c>
      <c r="K187" s="7">
        <f>IF('Per Invoice'!$V186="","",'Per Invoice'!T186)</f>
        <v/>
      </c>
      <c r="L187" s="7">
        <f>IF('Per Invoice'!$V186="","",'Per Invoice'!S186)</f>
        <v/>
      </c>
    </row>
    <row r="188">
      <c r="A188">
        <f>IF('Per Invoice'!$V187="","",ROWS($A$3:A188))</f>
        <v/>
      </c>
      <c r="B188" s="11">
        <f>IF('Per Invoice'!$V187="","",'Per Invoice'!E187)</f>
        <v/>
      </c>
      <c r="C188">
        <f>IF('Per Invoice'!$V187="","",'Per Invoice'!G187)</f>
        <v/>
      </c>
      <c r="D188">
        <f>IF('Per Invoice'!$V187="","",'Per Invoice'!H187)</f>
        <v/>
      </c>
      <c r="E188">
        <f>IF('Per Invoice'!$V187="","",'Per Invoice'!F187)</f>
        <v/>
      </c>
      <c r="F188" s="7">
        <f>IF('Per Invoice'!$V187="","",'Per Invoice'!P187)</f>
        <v/>
      </c>
      <c r="G188" s="7">
        <f>IF('Per Invoice'!$V187="","",'Per Invoice'!Q187)</f>
        <v/>
      </c>
      <c r="H188" s="7">
        <f>IF('Per Invoice'!$V187="","",'Per Invoice'!M187)</f>
        <v/>
      </c>
      <c r="I188" s="7">
        <f>IF('Per Invoice'!$V187="","",'Per Invoice'!N187)</f>
        <v/>
      </c>
      <c r="J188" s="7">
        <f>IF('Per Invoice'!$V187="","",'Per Invoice'!K187)</f>
        <v/>
      </c>
      <c r="K188" s="7">
        <f>IF('Per Invoice'!$V187="","",'Per Invoice'!T187)</f>
        <v/>
      </c>
      <c r="L188" s="7">
        <f>IF('Per Invoice'!$V187="","",'Per Invoice'!S187)</f>
        <v/>
      </c>
    </row>
    <row r="189">
      <c r="A189">
        <f>IF('Per Invoice'!$V188="","",ROWS($A$3:A189))</f>
        <v/>
      </c>
      <c r="B189" s="11">
        <f>IF('Per Invoice'!$V188="","",'Per Invoice'!E188)</f>
        <v/>
      </c>
      <c r="C189">
        <f>IF('Per Invoice'!$V188="","",'Per Invoice'!G188)</f>
        <v/>
      </c>
      <c r="D189">
        <f>IF('Per Invoice'!$V188="","",'Per Invoice'!H188)</f>
        <v/>
      </c>
      <c r="E189">
        <f>IF('Per Invoice'!$V188="","",'Per Invoice'!F188)</f>
        <v/>
      </c>
      <c r="F189" s="7">
        <f>IF('Per Invoice'!$V188="","",'Per Invoice'!P188)</f>
        <v/>
      </c>
      <c r="G189" s="7">
        <f>IF('Per Invoice'!$V188="","",'Per Invoice'!Q188)</f>
        <v/>
      </c>
      <c r="H189" s="7">
        <f>IF('Per Invoice'!$V188="","",'Per Invoice'!M188)</f>
        <v/>
      </c>
      <c r="I189" s="7">
        <f>IF('Per Invoice'!$V188="","",'Per Invoice'!N188)</f>
        <v/>
      </c>
      <c r="J189" s="7">
        <f>IF('Per Invoice'!$V188="","",'Per Invoice'!K188)</f>
        <v/>
      </c>
      <c r="K189" s="7">
        <f>IF('Per Invoice'!$V188="","",'Per Invoice'!T188)</f>
        <v/>
      </c>
      <c r="L189" s="7">
        <f>IF('Per Invoice'!$V188="","",'Per Invoice'!S188)</f>
        <v/>
      </c>
    </row>
    <row r="190">
      <c r="A190">
        <f>IF('Per Invoice'!$V189="","",ROWS($A$3:A190))</f>
        <v/>
      </c>
      <c r="B190" s="11">
        <f>IF('Per Invoice'!$V189="","",'Per Invoice'!E189)</f>
        <v/>
      </c>
      <c r="C190">
        <f>IF('Per Invoice'!$V189="","",'Per Invoice'!G189)</f>
        <v/>
      </c>
      <c r="D190">
        <f>IF('Per Invoice'!$V189="","",'Per Invoice'!H189)</f>
        <v/>
      </c>
      <c r="E190">
        <f>IF('Per Invoice'!$V189="","",'Per Invoice'!F189)</f>
        <v/>
      </c>
      <c r="F190" s="7">
        <f>IF('Per Invoice'!$V189="","",'Per Invoice'!P189)</f>
        <v/>
      </c>
      <c r="G190" s="7">
        <f>IF('Per Invoice'!$V189="","",'Per Invoice'!Q189)</f>
        <v/>
      </c>
      <c r="H190" s="7">
        <f>IF('Per Invoice'!$V189="","",'Per Invoice'!M189)</f>
        <v/>
      </c>
      <c r="I190" s="7">
        <f>IF('Per Invoice'!$V189="","",'Per Invoice'!N189)</f>
        <v/>
      </c>
      <c r="J190" s="7">
        <f>IF('Per Invoice'!$V189="","",'Per Invoice'!K189)</f>
        <v/>
      </c>
      <c r="K190" s="7">
        <f>IF('Per Invoice'!$V189="","",'Per Invoice'!T189)</f>
        <v/>
      </c>
      <c r="L190" s="7">
        <f>IF('Per Invoice'!$V189="","",'Per Invoice'!S189)</f>
        <v/>
      </c>
    </row>
    <row r="191">
      <c r="A191">
        <f>IF('Per Invoice'!$V190="","",ROWS($A$3:A191))</f>
        <v/>
      </c>
      <c r="B191" s="11">
        <f>IF('Per Invoice'!$V190="","",'Per Invoice'!E190)</f>
        <v/>
      </c>
      <c r="C191">
        <f>IF('Per Invoice'!$V190="","",'Per Invoice'!G190)</f>
        <v/>
      </c>
      <c r="D191">
        <f>IF('Per Invoice'!$V190="","",'Per Invoice'!H190)</f>
        <v/>
      </c>
      <c r="E191">
        <f>IF('Per Invoice'!$V190="","",'Per Invoice'!F190)</f>
        <v/>
      </c>
      <c r="F191" s="7">
        <f>IF('Per Invoice'!$V190="","",'Per Invoice'!P190)</f>
        <v/>
      </c>
      <c r="G191" s="7">
        <f>IF('Per Invoice'!$V190="","",'Per Invoice'!Q190)</f>
        <v/>
      </c>
      <c r="H191" s="7">
        <f>IF('Per Invoice'!$V190="","",'Per Invoice'!M190)</f>
        <v/>
      </c>
      <c r="I191" s="7">
        <f>IF('Per Invoice'!$V190="","",'Per Invoice'!N190)</f>
        <v/>
      </c>
      <c r="J191" s="7">
        <f>IF('Per Invoice'!$V190="","",'Per Invoice'!K190)</f>
        <v/>
      </c>
      <c r="K191" s="7">
        <f>IF('Per Invoice'!$V190="","",'Per Invoice'!T190)</f>
        <v/>
      </c>
      <c r="L191" s="7">
        <f>IF('Per Invoice'!$V190="","",'Per Invoice'!S190)</f>
        <v/>
      </c>
    </row>
    <row r="192">
      <c r="A192">
        <f>IF('Per Invoice'!$V191="","",ROWS($A$3:A192))</f>
        <v/>
      </c>
      <c r="B192" s="11">
        <f>IF('Per Invoice'!$V191="","",'Per Invoice'!E191)</f>
        <v/>
      </c>
      <c r="C192">
        <f>IF('Per Invoice'!$V191="","",'Per Invoice'!G191)</f>
        <v/>
      </c>
      <c r="D192">
        <f>IF('Per Invoice'!$V191="","",'Per Invoice'!H191)</f>
        <v/>
      </c>
      <c r="E192">
        <f>IF('Per Invoice'!$V191="","",'Per Invoice'!F191)</f>
        <v/>
      </c>
      <c r="F192" s="7">
        <f>IF('Per Invoice'!$V191="","",'Per Invoice'!P191)</f>
        <v/>
      </c>
      <c r="G192" s="7">
        <f>IF('Per Invoice'!$V191="","",'Per Invoice'!Q191)</f>
        <v/>
      </c>
      <c r="H192" s="7">
        <f>IF('Per Invoice'!$V191="","",'Per Invoice'!M191)</f>
        <v/>
      </c>
      <c r="I192" s="7">
        <f>IF('Per Invoice'!$V191="","",'Per Invoice'!N191)</f>
        <v/>
      </c>
      <c r="J192" s="7">
        <f>IF('Per Invoice'!$V191="","",'Per Invoice'!K191)</f>
        <v/>
      </c>
      <c r="K192" s="7">
        <f>IF('Per Invoice'!$V191="","",'Per Invoice'!T191)</f>
        <v/>
      </c>
      <c r="L192" s="7">
        <f>IF('Per Invoice'!$V191="","",'Per Invoice'!S191)</f>
        <v/>
      </c>
    </row>
    <row r="193">
      <c r="A193">
        <f>IF('Per Invoice'!$V192="","",ROWS($A$3:A193))</f>
        <v/>
      </c>
      <c r="B193" s="11">
        <f>IF('Per Invoice'!$V192="","",'Per Invoice'!E192)</f>
        <v/>
      </c>
      <c r="C193">
        <f>IF('Per Invoice'!$V192="","",'Per Invoice'!G192)</f>
        <v/>
      </c>
      <c r="D193">
        <f>IF('Per Invoice'!$V192="","",'Per Invoice'!H192)</f>
        <v/>
      </c>
      <c r="E193">
        <f>IF('Per Invoice'!$V192="","",'Per Invoice'!F192)</f>
        <v/>
      </c>
      <c r="F193" s="7">
        <f>IF('Per Invoice'!$V192="","",'Per Invoice'!P192)</f>
        <v/>
      </c>
      <c r="G193" s="7">
        <f>IF('Per Invoice'!$V192="","",'Per Invoice'!Q192)</f>
        <v/>
      </c>
      <c r="H193" s="7">
        <f>IF('Per Invoice'!$V192="","",'Per Invoice'!M192)</f>
        <v/>
      </c>
      <c r="I193" s="7">
        <f>IF('Per Invoice'!$V192="","",'Per Invoice'!N192)</f>
        <v/>
      </c>
      <c r="J193" s="7">
        <f>IF('Per Invoice'!$V192="","",'Per Invoice'!K192)</f>
        <v/>
      </c>
      <c r="K193" s="7">
        <f>IF('Per Invoice'!$V192="","",'Per Invoice'!T192)</f>
        <v/>
      </c>
      <c r="L193" s="7">
        <f>IF('Per Invoice'!$V192="","",'Per Invoice'!S192)</f>
        <v/>
      </c>
    </row>
    <row r="194">
      <c r="A194">
        <f>IF('Per Invoice'!$V193="","",ROWS($A$3:A194))</f>
        <v/>
      </c>
      <c r="B194" s="11">
        <f>IF('Per Invoice'!$V193="","",'Per Invoice'!E193)</f>
        <v/>
      </c>
      <c r="C194">
        <f>IF('Per Invoice'!$V193="","",'Per Invoice'!G193)</f>
        <v/>
      </c>
      <c r="D194">
        <f>IF('Per Invoice'!$V193="","",'Per Invoice'!H193)</f>
        <v/>
      </c>
      <c r="E194">
        <f>IF('Per Invoice'!$V193="","",'Per Invoice'!F193)</f>
        <v/>
      </c>
      <c r="F194" s="7">
        <f>IF('Per Invoice'!$V193="","",'Per Invoice'!P193)</f>
        <v/>
      </c>
      <c r="G194" s="7">
        <f>IF('Per Invoice'!$V193="","",'Per Invoice'!Q193)</f>
        <v/>
      </c>
      <c r="H194" s="7">
        <f>IF('Per Invoice'!$V193="","",'Per Invoice'!M193)</f>
        <v/>
      </c>
      <c r="I194" s="7">
        <f>IF('Per Invoice'!$V193="","",'Per Invoice'!N193)</f>
        <v/>
      </c>
      <c r="J194" s="7">
        <f>IF('Per Invoice'!$V193="","",'Per Invoice'!K193)</f>
        <v/>
      </c>
      <c r="K194" s="7">
        <f>IF('Per Invoice'!$V193="","",'Per Invoice'!T193)</f>
        <v/>
      </c>
      <c r="L194" s="7">
        <f>IF('Per Invoice'!$V193="","",'Per Invoice'!S193)</f>
        <v/>
      </c>
    </row>
    <row r="195">
      <c r="A195">
        <f>IF('Per Invoice'!$V194="","",ROWS($A$3:A195))</f>
        <v/>
      </c>
      <c r="B195" s="11">
        <f>IF('Per Invoice'!$V194="","",'Per Invoice'!E194)</f>
        <v/>
      </c>
      <c r="C195">
        <f>IF('Per Invoice'!$V194="","",'Per Invoice'!G194)</f>
        <v/>
      </c>
      <c r="D195">
        <f>IF('Per Invoice'!$V194="","",'Per Invoice'!H194)</f>
        <v/>
      </c>
      <c r="E195">
        <f>IF('Per Invoice'!$V194="","",'Per Invoice'!F194)</f>
        <v/>
      </c>
      <c r="F195" s="7">
        <f>IF('Per Invoice'!$V194="","",'Per Invoice'!P194)</f>
        <v/>
      </c>
      <c r="G195" s="7">
        <f>IF('Per Invoice'!$V194="","",'Per Invoice'!Q194)</f>
        <v/>
      </c>
      <c r="H195" s="7">
        <f>IF('Per Invoice'!$V194="","",'Per Invoice'!M194)</f>
        <v/>
      </c>
      <c r="I195" s="7">
        <f>IF('Per Invoice'!$V194="","",'Per Invoice'!N194)</f>
        <v/>
      </c>
      <c r="J195" s="7">
        <f>IF('Per Invoice'!$V194="","",'Per Invoice'!K194)</f>
        <v/>
      </c>
      <c r="K195" s="7">
        <f>IF('Per Invoice'!$V194="","",'Per Invoice'!T194)</f>
        <v/>
      </c>
      <c r="L195" s="7">
        <f>IF('Per Invoice'!$V194="","",'Per Invoice'!S194)</f>
        <v/>
      </c>
    </row>
    <row r="196">
      <c r="A196">
        <f>IF('Per Invoice'!$V195="","",ROWS($A$3:A196))</f>
        <v/>
      </c>
      <c r="B196" s="11">
        <f>IF('Per Invoice'!$V195="","",'Per Invoice'!E195)</f>
        <v/>
      </c>
      <c r="C196">
        <f>IF('Per Invoice'!$V195="","",'Per Invoice'!G195)</f>
        <v/>
      </c>
      <c r="D196">
        <f>IF('Per Invoice'!$V195="","",'Per Invoice'!H195)</f>
        <v/>
      </c>
      <c r="E196">
        <f>IF('Per Invoice'!$V195="","",'Per Invoice'!F195)</f>
        <v/>
      </c>
      <c r="F196" s="7">
        <f>IF('Per Invoice'!$V195="","",'Per Invoice'!P195)</f>
        <v/>
      </c>
      <c r="G196" s="7">
        <f>IF('Per Invoice'!$V195="","",'Per Invoice'!Q195)</f>
        <v/>
      </c>
      <c r="H196" s="7">
        <f>IF('Per Invoice'!$V195="","",'Per Invoice'!M195)</f>
        <v/>
      </c>
      <c r="I196" s="7">
        <f>IF('Per Invoice'!$V195="","",'Per Invoice'!N195)</f>
        <v/>
      </c>
      <c r="J196" s="7">
        <f>IF('Per Invoice'!$V195="","",'Per Invoice'!K195)</f>
        <v/>
      </c>
      <c r="K196" s="7">
        <f>IF('Per Invoice'!$V195="","",'Per Invoice'!T195)</f>
        <v/>
      </c>
      <c r="L196" s="7">
        <f>IF('Per Invoice'!$V195="","",'Per Invoice'!S195)</f>
        <v/>
      </c>
    </row>
    <row r="197">
      <c r="A197">
        <f>IF('Per Invoice'!$V196="","",ROWS($A$3:A197))</f>
        <v/>
      </c>
      <c r="B197" s="11">
        <f>IF('Per Invoice'!$V196="","",'Per Invoice'!E196)</f>
        <v/>
      </c>
      <c r="C197">
        <f>IF('Per Invoice'!$V196="","",'Per Invoice'!G196)</f>
        <v/>
      </c>
      <c r="D197">
        <f>IF('Per Invoice'!$V196="","",'Per Invoice'!H196)</f>
        <v/>
      </c>
      <c r="E197">
        <f>IF('Per Invoice'!$V196="","",'Per Invoice'!F196)</f>
        <v/>
      </c>
      <c r="F197" s="7">
        <f>IF('Per Invoice'!$V196="","",'Per Invoice'!P196)</f>
        <v/>
      </c>
      <c r="G197" s="7">
        <f>IF('Per Invoice'!$V196="","",'Per Invoice'!Q196)</f>
        <v/>
      </c>
      <c r="H197" s="7">
        <f>IF('Per Invoice'!$V196="","",'Per Invoice'!M196)</f>
        <v/>
      </c>
      <c r="I197" s="7">
        <f>IF('Per Invoice'!$V196="","",'Per Invoice'!N196)</f>
        <v/>
      </c>
      <c r="J197" s="7">
        <f>IF('Per Invoice'!$V196="","",'Per Invoice'!K196)</f>
        <v/>
      </c>
      <c r="K197" s="7">
        <f>IF('Per Invoice'!$V196="","",'Per Invoice'!T196)</f>
        <v/>
      </c>
      <c r="L197" s="7">
        <f>IF('Per Invoice'!$V196="","",'Per Invoice'!S196)</f>
        <v/>
      </c>
    </row>
    <row r="198">
      <c r="A198">
        <f>IF('Per Invoice'!$V197="","",ROWS($A$3:A198))</f>
        <v/>
      </c>
      <c r="B198" s="11">
        <f>IF('Per Invoice'!$V197="","",'Per Invoice'!E197)</f>
        <v/>
      </c>
      <c r="C198">
        <f>IF('Per Invoice'!$V197="","",'Per Invoice'!G197)</f>
        <v/>
      </c>
      <c r="D198">
        <f>IF('Per Invoice'!$V197="","",'Per Invoice'!H197)</f>
        <v/>
      </c>
      <c r="E198">
        <f>IF('Per Invoice'!$V197="","",'Per Invoice'!F197)</f>
        <v/>
      </c>
      <c r="F198" s="7">
        <f>IF('Per Invoice'!$V197="","",'Per Invoice'!P197)</f>
        <v/>
      </c>
      <c r="G198" s="7">
        <f>IF('Per Invoice'!$V197="","",'Per Invoice'!Q197)</f>
        <v/>
      </c>
      <c r="H198" s="7">
        <f>IF('Per Invoice'!$V197="","",'Per Invoice'!M197)</f>
        <v/>
      </c>
      <c r="I198" s="7">
        <f>IF('Per Invoice'!$V197="","",'Per Invoice'!N197)</f>
        <v/>
      </c>
      <c r="J198" s="7">
        <f>IF('Per Invoice'!$V197="","",'Per Invoice'!K197)</f>
        <v/>
      </c>
      <c r="K198" s="7">
        <f>IF('Per Invoice'!$V197="","",'Per Invoice'!T197)</f>
        <v/>
      </c>
      <c r="L198" s="7">
        <f>IF('Per Invoice'!$V197="","",'Per Invoice'!S197)</f>
        <v/>
      </c>
    </row>
    <row r="199">
      <c r="A199">
        <f>IF('Per Invoice'!$V198="","",ROWS($A$3:A199))</f>
        <v/>
      </c>
      <c r="B199" s="11">
        <f>IF('Per Invoice'!$V198="","",'Per Invoice'!E198)</f>
        <v/>
      </c>
      <c r="C199">
        <f>IF('Per Invoice'!$V198="","",'Per Invoice'!G198)</f>
        <v/>
      </c>
      <c r="D199">
        <f>IF('Per Invoice'!$V198="","",'Per Invoice'!H198)</f>
        <v/>
      </c>
      <c r="E199">
        <f>IF('Per Invoice'!$V198="","",'Per Invoice'!F198)</f>
        <v/>
      </c>
      <c r="F199" s="7">
        <f>IF('Per Invoice'!$V198="","",'Per Invoice'!P198)</f>
        <v/>
      </c>
      <c r="G199" s="7">
        <f>IF('Per Invoice'!$V198="","",'Per Invoice'!Q198)</f>
        <v/>
      </c>
      <c r="H199" s="7">
        <f>IF('Per Invoice'!$V198="","",'Per Invoice'!M198)</f>
        <v/>
      </c>
      <c r="I199" s="7">
        <f>IF('Per Invoice'!$V198="","",'Per Invoice'!N198)</f>
        <v/>
      </c>
      <c r="J199" s="7">
        <f>IF('Per Invoice'!$V198="","",'Per Invoice'!K198)</f>
        <v/>
      </c>
      <c r="K199" s="7">
        <f>IF('Per Invoice'!$V198="","",'Per Invoice'!T198)</f>
        <v/>
      </c>
      <c r="L199" s="7">
        <f>IF('Per Invoice'!$V198="","",'Per Invoice'!S198)</f>
        <v/>
      </c>
    </row>
    <row r="200">
      <c r="A200">
        <f>IF('Per Invoice'!$V199="","",ROWS($A$3:A200))</f>
        <v/>
      </c>
      <c r="B200" s="11">
        <f>IF('Per Invoice'!$V199="","",'Per Invoice'!E199)</f>
        <v/>
      </c>
      <c r="C200">
        <f>IF('Per Invoice'!$V199="","",'Per Invoice'!G199)</f>
        <v/>
      </c>
      <c r="D200">
        <f>IF('Per Invoice'!$V199="","",'Per Invoice'!H199)</f>
        <v/>
      </c>
      <c r="E200">
        <f>IF('Per Invoice'!$V199="","",'Per Invoice'!F199)</f>
        <v/>
      </c>
      <c r="F200" s="7">
        <f>IF('Per Invoice'!$V199="","",'Per Invoice'!P199)</f>
        <v/>
      </c>
      <c r="G200" s="7">
        <f>IF('Per Invoice'!$V199="","",'Per Invoice'!Q199)</f>
        <v/>
      </c>
      <c r="H200" s="7">
        <f>IF('Per Invoice'!$V199="","",'Per Invoice'!M199)</f>
        <v/>
      </c>
      <c r="I200" s="7">
        <f>IF('Per Invoice'!$V199="","",'Per Invoice'!N199)</f>
        <v/>
      </c>
      <c r="J200" s="7">
        <f>IF('Per Invoice'!$V199="","",'Per Invoice'!K199)</f>
        <v/>
      </c>
      <c r="K200" s="7">
        <f>IF('Per Invoice'!$V199="","",'Per Invoice'!T199)</f>
        <v/>
      </c>
      <c r="L200" s="7">
        <f>IF('Per Invoice'!$V199="","",'Per Invoice'!S199)</f>
        <v/>
      </c>
    </row>
    <row r="201">
      <c r="A201">
        <f>IF('Per Invoice'!$V200="","",ROWS($A$3:A201))</f>
        <v/>
      </c>
      <c r="B201" s="11">
        <f>IF('Per Invoice'!$V200="","",'Per Invoice'!E200)</f>
        <v/>
      </c>
      <c r="C201">
        <f>IF('Per Invoice'!$V200="","",'Per Invoice'!G200)</f>
        <v/>
      </c>
      <c r="D201">
        <f>IF('Per Invoice'!$V200="","",'Per Invoice'!H200)</f>
        <v/>
      </c>
      <c r="E201">
        <f>IF('Per Invoice'!$V200="","",'Per Invoice'!F200)</f>
        <v/>
      </c>
      <c r="F201" s="7">
        <f>IF('Per Invoice'!$V200="","",'Per Invoice'!P200)</f>
        <v/>
      </c>
      <c r="G201" s="7">
        <f>IF('Per Invoice'!$V200="","",'Per Invoice'!Q200)</f>
        <v/>
      </c>
      <c r="H201" s="7">
        <f>IF('Per Invoice'!$V200="","",'Per Invoice'!M200)</f>
        <v/>
      </c>
      <c r="I201" s="7">
        <f>IF('Per Invoice'!$V200="","",'Per Invoice'!N200)</f>
        <v/>
      </c>
      <c r="J201" s="7">
        <f>IF('Per Invoice'!$V200="","",'Per Invoice'!K200)</f>
        <v/>
      </c>
      <c r="K201" s="7">
        <f>IF('Per Invoice'!$V200="","",'Per Invoice'!T200)</f>
        <v/>
      </c>
      <c r="L201" s="7">
        <f>IF('Per Invoice'!$V200="","",'Per Invoice'!S200)</f>
        <v/>
      </c>
    </row>
    <row r="202">
      <c r="A202">
        <f>IF('Per Invoice'!$V201="","",ROWS($A$3:A202))</f>
        <v/>
      </c>
      <c r="B202" s="11">
        <f>IF('Per Invoice'!$V201="","",'Per Invoice'!E201)</f>
        <v/>
      </c>
      <c r="C202">
        <f>IF('Per Invoice'!$V201="","",'Per Invoice'!G201)</f>
        <v/>
      </c>
      <c r="D202">
        <f>IF('Per Invoice'!$V201="","",'Per Invoice'!H201)</f>
        <v/>
      </c>
      <c r="E202">
        <f>IF('Per Invoice'!$V201="","",'Per Invoice'!F201)</f>
        <v/>
      </c>
      <c r="F202" s="7">
        <f>IF('Per Invoice'!$V201="","",'Per Invoice'!P201)</f>
        <v/>
      </c>
      <c r="G202" s="7">
        <f>IF('Per Invoice'!$V201="","",'Per Invoice'!Q201)</f>
        <v/>
      </c>
      <c r="H202" s="7">
        <f>IF('Per Invoice'!$V201="","",'Per Invoice'!M201)</f>
        <v/>
      </c>
      <c r="I202" s="7">
        <f>IF('Per Invoice'!$V201="","",'Per Invoice'!N201)</f>
        <v/>
      </c>
      <c r="J202" s="7">
        <f>IF('Per Invoice'!$V201="","",'Per Invoice'!K201)</f>
        <v/>
      </c>
      <c r="K202" s="7">
        <f>IF('Per Invoice'!$V201="","",'Per Invoice'!T201)</f>
        <v/>
      </c>
      <c r="L202" s="7">
        <f>IF('Per Invoice'!$V201="","",'Per Invoice'!S201)</f>
        <v/>
      </c>
    </row>
    <row r="203">
      <c r="A203">
        <f>IF('Per Invoice'!$V202="","",ROWS($A$3:A203))</f>
        <v/>
      </c>
      <c r="B203" s="11">
        <f>IF('Per Invoice'!$V202="","",'Per Invoice'!E202)</f>
        <v/>
      </c>
      <c r="C203">
        <f>IF('Per Invoice'!$V202="","",'Per Invoice'!G202)</f>
        <v/>
      </c>
      <c r="D203">
        <f>IF('Per Invoice'!$V202="","",'Per Invoice'!H202)</f>
        <v/>
      </c>
      <c r="E203">
        <f>IF('Per Invoice'!$V202="","",'Per Invoice'!F202)</f>
        <v/>
      </c>
      <c r="F203" s="7">
        <f>IF('Per Invoice'!$V202="","",'Per Invoice'!P202)</f>
        <v/>
      </c>
      <c r="G203" s="7">
        <f>IF('Per Invoice'!$V202="","",'Per Invoice'!Q202)</f>
        <v/>
      </c>
      <c r="H203" s="7">
        <f>IF('Per Invoice'!$V202="","",'Per Invoice'!M202)</f>
        <v/>
      </c>
      <c r="I203" s="7">
        <f>IF('Per Invoice'!$V202="","",'Per Invoice'!N202)</f>
        <v/>
      </c>
      <c r="J203" s="7">
        <f>IF('Per Invoice'!$V202="","",'Per Invoice'!K202)</f>
        <v/>
      </c>
      <c r="K203" s="7">
        <f>IF('Per Invoice'!$V202="","",'Per Invoice'!T202)</f>
        <v/>
      </c>
      <c r="L203" s="7">
        <f>IF('Per Invoice'!$V202="","",'Per Invoice'!S202)</f>
        <v/>
      </c>
    </row>
    <row r="204">
      <c r="A204">
        <f>IF('Per Invoice'!$V203="","",ROWS($A$3:A204))</f>
        <v/>
      </c>
      <c r="B204" s="11">
        <f>IF('Per Invoice'!$V203="","",'Per Invoice'!E203)</f>
        <v/>
      </c>
      <c r="C204">
        <f>IF('Per Invoice'!$V203="","",'Per Invoice'!G203)</f>
        <v/>
      </c>
      <c r="D204">
        <f>IF('Per Invoice'!$V203="","",'Per Invoice'!H203)</f>
        <v/>
      </c>
      <c r="E204">
        <f>IF('Per Invoice'!$V203="","",'Per Invoice'!F203)</f>
        <v/>
      </c>
      <c r="F204" s="7">
        <f>IF('Per Invoice'!$V203="","",'Per Invoice'!P203)</f>
        <v/>
      </c>
      <c r="G204" s="7">
        <f>IF('Per Invoice'!$V203="","",'Per Invoice'!Q203)</f>
        <v/>
      </c>
      <c r="H204" s="7">
        <f>IF('Per Invoice'!$V203="","",'Per Invoice'!M203)</f>
        <v/>
      </c>
      <c r="I204" s="7">
        <f>IF('Per Invoice'!$V203="","",'Per Invoice'!N203)</f>
        <v/>
      </c>
      <c r="J204" s="7">
        <f>IF('Per Invoice'!$V203="","",'Per Invoice'!K203)</f>
        <v/>
      </c>
      <c r="K204" s="7">
        <f>IF('Per Invoice'!$V203="","",'Per Invoice'!T203)</f>
        <v/>
      </c>
      <c r="L204" s="7">
        <f>IF('Per Invoice'!$V203="","",'Per Invoice'!S203)</f>
        <v/>
      </c>
    </row>
    <row r="205">
      <c r="A205">
        <f>IF('Per Invoice'!$V204="","",ROWS($A$3:A205))</f>
        <v/>
      </c>
      <c r="B205" s="11">
        <f>IF('Per Invoice'!$V204="","",'Per Invoice'!E204)</f>
        <v/>
      </c>
      <c r="C205">
        <f>IF('Per Invoice'!$V204="","",'Per Invoice'!G204)</f>
        <v/>
      </c>
      <c r="D205">
        <f>IF('Per Invoice'!$V204="","",'Per Invoice'!H204)</f>
        <v/>
      </c>
      <c r="E205">
        <f>IF('Per Invoice'!$V204="","",'Per Invoice'!F204)</f>
        <v/>
      </c>
      <c r="F205" s="7">
        <f>IF('Per Invoice'!$V204="","",'Per Invoice'!P204)</f>
        <v/>
      </c>
      <c r="G205" s="7">
        <f>IF('Per Invoice'!$V204="","",'Per Invoice'!Q204)</f>
        <v/>
      </c>
      <c r="H205" s="7">
        <f>IF('Per Invoice'!$V204="","",'Per Invoice'!M204)</f>
        <v/>
      </c>
      <c r="I205" s="7">
        <f>IF('Per Invoice'!$V204="","",'Per Invoice'!N204)</f>
        <v/>
      </c>
      <c r="J205" s="7">
        <f>IF('Per Invoice'!$V204="","",'Per Invoice'!K204)</f>
        <v/>
      </c>
      <c r="K205" s="7">
        <f>IF('Per Invoice'!$V204="","",'Per Invoice'!T204)</f>
        <v/>
      </c>
      <c r="L205" s="7">
        <f>IF('Per Invoice'!$V204="","",'Per Invoice'!S204)</f>
        <v/>
      </c>
    </row>
    <row r="206">
      <c r="A206">
        <f>IF('Per Invoice'!$V205="","",ROWS($A$3:A206))</f>
        <v/>
      </c>
      <c r="B206" s="11">
        <f>IF('Per Invoice'!$V205="","",'Per Invoice'!E205)</f>
        <v/>
      </c>
      <c r="C206">
        <f>IF('Per Invoice'!$V205="","",'Per Invoice'!G205)</f>
        <v/>
      </c>
      <c r="D206">
        <f>IF('Per Invoice'!$V205="","",'Per Invoice'!H205)</f>
        <v/>
      </c>
      <c r="E206">
        <f>IF('Per Invoice'!$V205="","",'Per Invoice'!F205)</f>
        <v/>
      </c>
      <c r="F206" s="7">
        <f>IF('Per Invoice'!$V205="","",'Per Invoice'!P205)</f>
        <v/>
      </c>
      <c r="G206" s="7">
        <f>IF('Per Invoice'!$V205="","",'Per Invoice'!Q205)</f>
        <v/>
      </c>
      <c r="H206" s="7">
        <f>IF('Per Invoice'!$V205="","",'Per Invoice'!M205)</f>
        <v/>
      </c>
      <c r="I206" s="7">
        <f>IF('Per Invoice'!$V205="","",'Per Invoice'!N205)</f>
        <v/>
      </c>
      <c r="J206" s="7">
        <f>IF('Per Invoice'!$V205="","",'Per Invoice'!K205)</f>
        <v/>
      </c>
      <c r="K206" s="7">
        <f>IF('Per Invoice'!$V205="","",'Per Invoice'!T205)</f>
        <v/>
      </c>
      <c r="L206" s="7">
        <f>IF('Per Invoice'!$V205="","",'Per Invoice'!S205)</f>
        <v/>
      </c>
    </row>
    <row r="207">
      <c r="A207">
        <f>IF('Per Invoice'!$V206="","",ROWS($A$3:A207))</f>
        <v/>
      </c>
      <c r="B207" s="11">
        <f>IF('Per Invoice'!$V206="","",'Per Invoice'!E206)</f>
        <v/>
      </c>
      <c r="C207">
        <f>IF('Per Invoice'!$V206="","",'Per Invoice'!G206)</f>
        <v/>
      </c>
      <c r="D207">
        <f>IF('Per Invoice'!$V206="","",'Per Invoice'!H206)</f>
        <v/>
      </c>
      <c r="E207">
        <f>IF('Per Invoice'!$V206="","",'Per Invoice'!F206)</f>
        <v/>
      </c>
      <c r="F207" s="7">
        <f>IF('Per Invoice'!$V206="","",'Per Invoice'!P206)</f>
        <v/>
      </c>
      <c r="G207" s="7">
        <f>IF('Per Invoice'!$V206="","",'Per Invoice'!Q206)</f>
        <v/>
      </c>
      <c r="H207" s="7">
        <f>IF('Per Invoice'!$V206="","",'Per Invoice'!M206)</f>
        <v/>
      </c>
      <c r="I207" s="7">
        <f>IF('Per Invoice'!$V206="","",'Per Invoice'!N206)</f>
        <v/>
      </c>
      <c r="J207" s="7">
        <f>IF('Per Invoice'!$V206="","",'Per Invoice'!K206)</f>
        <v/>
      </c>
      <c r="K207" s="7">
        <f>IF('Per Invoice'!$V206="","",'Per Invoice'!T206)</f>
        <v/>
      </c>
      <c r="L207" s="7">
        <f>IF('Per Invoice'!$V206="","",'Per Invoice'!S206)</f>
        <v/>
      </c>
    </row>
    <row r="208">
      <c r="A208">
        <f>IF('Per Invoice'!$V207="","",ROWS($A$3:A208))</f>
        <v/>
      </c>
      <c r="B208" s="11">
        <f>IF('Per Invoice'!$V207="","",'Per Invoice'!E207)</f>
        <v/>
      </c>
      <c r="C208">
        <f>IF('Per Invoice'!$V207="","",'Per Invoice'!G207)</f>
        <v/>
      </c>
      <c r="D208">
        <f>IF('Per Invoice'!$V207="","",'Per Invoice'!H207)</f>
        <v/>
      </c>
      <c r="E208">
        <f>IF('Per Invoice'!$V207="","",'Per Invoice'!F207)</f>
        <v/>
      </c>
      <c r="F208" s="7">
        <f>IF('Per Invoice'!$V207="","",'Per Invoice'!P207)</f>
        <v/>
      </c>
      <c r="G208" s="7">
        <f>IF('Per Invoice'!$V207="","",'Per Invoice'!Q207)</f>
        <v/>
      </c>
      <c r="H208" s="7">
        <f>IF('Per Invoice'!$V207="","",'Per Invoice'!M207)</f>
        <v/>
      </c>
      <c r="I208" s="7">
        <f>IF('Per Invoice'!$V207="","",'Per Invoice'!N207)</f>
        <v/>
      </c>
      <c r="J208" s="7">
        <f>IF('Per Invoice'!$V207="","",'Per Invoice'!K207)</f>
        <v/>
      </c>
      <c r="K208" s="7">
        <f>IF('Per Invoice'!$V207="","",'Per Invoice'!T207)</f>
        <v/>
      </c>
      <c r="L208" s="7">
        <f>IF('Per Invoice'!$V207="","",'Per Invoice'!S207)</f>
        <v/>
      </c>
    </row>
    <row r="209">
      <c r="A209">
        <f>IF('Per Invoice'!$V208="","",ROWS($A$3:A209))</f>
        <v/>
      </c>
      <c r="B209" s="11">
        <f>IF('Per Invoice'!$V208="","",'Per Invoice'!E208)</f>
        <v/>
      </c>
      <c r="C209">
        <f>IF('Per Invoice'!$V208="","",'Per Invoice'!G208)</f>
        <v/>
      </c>
      <c r="D209">
        <f>IF('Per Invoice'!$V208="","",'Per Invoice'!H208)</f>
        <v/>
      </c>
      <c r="E209">
        <f>IF('Per Invoice'!$V208="","",'Per Invoice'!F208)</f>
        <v/>
      </c>
      <c r="F209" s="7">
        <f>IF('Per Invoice'!$V208="","",'Per Invoice'!P208)</f>
        <v/>
      </c>
      <c r="G209" s="7">
        <f>IF('Per Invoice'!$V208="","",'Per Invoice'!Q208)</f>
        <v/>
      </c>
      <c r="H209" s="7">
        <f>IF('Per Invoice'!$V208="","",'Per Invoice'!M208)</f>
        <v/>
      </c>
      <c r="I209" s="7">
        <f>IF('Per Invoice'!$V208="","",'Per Invoice'!N208)</f>
        <v/>
      </c>
      <c r="J209" s="7">
        <f>IF('Per Invoice'!$V208="","",'Per Invoice'!K208)</f>
        <v/>
      </c>
      <c r="K209" s="7">
        <f>IF('Per Invoice'!$V208="","",'Per Invoice'!T208)</f>
        <v/>
      </c>
      <c r="L209" s="7">
        <f>IF('Per Invoice'!$V208="","",'Per Invoice'!S208)</f>
        <v/>
      </c>
    </row>
    <row r="210">
      <c r="A210">
        <f>IF('Per Invoice'!$V209="","",ROWS($A$3:A210))</f>
        <v/>
      </c>
      <c r="B210" s="11">
        <f>IF('Per Invoice'!$V209="","",'Per Invoice'!E209)</f>
        <v/>
      </c>
      <c r="C210">
        <f>IF('Per Invoice'!$V209="","",'Per Invoice'!G209)</f>
        <v/>
      </c>
      <c r="D210">
        <f>IF('Per Invoice'!$V209="","",'Per Invoice'!H209)</f>
        <v/>
      </c>
      <c r="E210">
        <f>IF('Per Invoice'!$V209="","",'Per Invoice'!F209)</f>
        <v/>
      </c>
      <c r="F210" s="7">
        <f>IF('Per Invoice'!$V209="","",'Per Invoice'!P209)</f>
        <v/>
      </c>
      <c r="G210" s="7">
        <f>IF('Per Invoice'!$V209="","",'Per Invoice'!Q209)</f>
        <v/>
      </c>
      <c r="H210" s="7">
        <f>IF('Per Invoice'!$V209="","",'Per Invoice'!M209)</f>
        <v/>
      </c>
      <c r="I210" s="7">
        <f>IF('Per Invoice'!$V209="","",'Per Invoice'!N209)</f>
        <v/>
      </c>
      <c r="J210" s="7">
        <f>IF('Per Invoice'!$V209="","",'Per Invoice'!K209)</f>
        <v/>
      </c>
      <c r="K210" s="7">
        <f>IF('Per Invoice'!$V209="","",'Per Invoice'!T209)</f>
        <v/>
      </c>
      <c r="L210" s="7">
        <f>IF('Per Invoice'!$V209="","",'Per Invoice'!S209)</f>
        <v/>
      </c>
    </row>
    <row r="211">
      <c r="A211">
        <f>IF('Per Invoice'!$V210="","",ROWS($A$3:A211))</f>
        <v/>
      </c>
      <c r="B211" s="11">
        <f>IF('Per Invoice'!$V210="","",'Per Invoice'!E210)</f>
        <v/>
      </c>
      <c r="C211">
        <f>IF('Per Invoice'!$V210="","",'Per Invoice'!G210)</f>
        <v/>
      </c>
      <c r="D211">
        <f>IF('Per Invoice'!$V210="","",'Per Invoice'!H210)</f>
        <v/>
      </c>
      <c r="E211">
        <f>IF('Per Invoice'!$V210="","",'Per Invoice'!F210)</f>
        <v/>
      </c>
      <c r="F211" s="7">
        <f>IF('Per Invoice'!$V210="","",'Per Invoice'!P210)</f>
        <v/>
      </c>
      <c r="G211" s="7">
        <f>IF('Per Invoice'!$V210="","",'Per Invoice'!Q210)</f>
        <v/>
      </c>
      <c r="H211" s="7">
        <f>IF('Per Invoice'!$V210="","",'Per Invoice'!M210)</f>
        <v/>
      </c>
      <c r="I211" s="7">
        <f>IF('Per Invoice'!$V210="","",'Per Invoice'!N210)</f>
        <v/>
      </c>
      <c r="J211" s="7">
        <f>IF('Per Invoice'!$V210="","",'Per Invoice'!K210)</f>
        <v/>
      </c>
      <c r="K211" s="7">
        <f>IF('Per Invoice'!$V210="","",'Per Invoice'!T210)</f>
        <v/>
      </c>
      <c r="L211" s="7">
        <f>IF('Per Invoice'!$V210="","",'Per Invoice'!S210)</f>
        <v/>
      </c>
    </row>
    <row r="212">
      <c r="A212">
        <f>IF('Per Invoice'!$V211="","",ROWS($A$3:A212))</f>
        <v/>
      </c>
      <c r="B212" s="11">
        <f>IF('Per Invoice'!$V211="","",'Per Invoice'!E211)</f>
        <v/>
      </c>
      <c r="C212">
        <f>IF('Per Invoice'!$V211="","",'Per Invoice'!G211)</f>
        <v/>
      </c>
      <c r="D212">
        <f>IF('Per Invoice'!$V211="","",'Per Invoice'!H211)</f>
        <v/>
      </c>
      <c r="E212">
        <f>IF('Per Invoice'!$V211="","",'Per Invoice'!F211)</f>
        <v/>
      </c>
      <c r="F212" s="7">
        <f>IF('Per Invoice'!$V211="","",'Per Invoice'!P211)</f>
        <v/>
      </c>
      <c r="G212" s="7">
        <f>IF('Per Invoice'!$V211="","",'Per Invoice'!Q211)</f>
        <v/>
      </c>
      <c r="H212" s="7">
        <f>IF('Per Invoice'!$V211="","",'Per Invoice'!M211)</f>
        <v/>
      </c>
      <c r="I212" s="7">
        <f>IF('Per Invoice'!$V211="","",'Per Invoice'!N211)</f>
        <v/>
      </c>
      <c r="J212" s="7">
        <f>IF('Per Invoice'!$V211="","",'Per Invoice'!K211)</f>
        <v/>
      </c>
      <c r="K212" s="7">
        <f>IF('Per Invoice'!$V211="","",'Per Invoice'!T211)</f>
        <v/>
      </c>
      <c r="L212" s="7">
        <f>IF('Per Invoice'!$V211="","",'Per Invoice'!S211)</f>
        <v/>
      </c>
    </row>
    <row r="213">
      <c r="A213">
        <f>IF('Per Invoice'!$V212="","",ROWS($A$3:A213))</f>
        <v/>
      </c>
      <c r="B213" s="11">
        <f>IF('Per Invoice'!$V212="","",'Per Invoice'!E212)</f>
        <v/>
      </c>
      <c r="C213">
        <f>IF('Per Invoice'!$V212="","",'Per Invoice'!G212)</f>
        <v/>
      </c>
      <c r="D213">
        <f>IF('Per Invoice'!$V212="","",'Per Invoice'!H212)</f>
        <v/>
      </c>
      <c r="E213">
        <f>IF('Per Invoice'!$V212="","",'Per Invoice'!F212)</f>
        <v/>
      </c>
      <c r="F213" s="7">
        <f>IF('Per Invoice'!$V212="","",'Per Invoice'!P212)</f>
        <v/>
      </c>
      <c r="G213" s="7">
        <f>IF('Per Invoice'!$V212="","",'Per Invoice'!Q212)</f>
        <v/>
      </c>
      <c r="H213" s="7">
        <f>IF('Per Invoice'!$V212="","",'Per Invoice'!M212)</f>
        <v/>
      </c>
      <c r="I213" s="7">
        <f>IF('Per Invoice'!$V212="","",'Per Invoice'!N212)</f>
        <v/>
      </c>
      <c r="J213" s="7">
        <f>IF('Per Invoice'!$V212="","",'Per Invoice'!K212)</f>
        <v/>
      </c>
      <c r="K213" s="7">
        <f>IF('Per Invoice'!$V212="","",'Per Invoice'!T212)</f>
        <v/>
      </c>
      <c r="L213" s="7">
        <f>IF('Per Invoice'!$V212="","",'Per Invoice'!S212)</f>
        <v/>
      </c>
    </row>
    <row r="214">
      <c r="A214">
        <f>IF('Per Invoice'!$V213="","",ROWS($A$3:A214))</f>
        <v/>
      </c>
      <c r="B214" s="11">
        <f>IF('Per Invoice'!$V213="","",'Per Invoice'!E213)</f>
        <v/>
      </c>
      <c r="C214">
        <f>IF('Per Invoice'!$V213="","",'Per Invoice'!G213)</f>
        <v/>
      </c>
      <c r="D214">
        <f>IF('Per Invoice'!$V213="","",'Per Invoice'!H213)</f>
        <v/>
      </c>
      <c r="E214">
        <f>IF('Per Invoice'!$V213="","",'Per Invoice'!F213)</f>
        <v/>
      </c>
      <c r="F214" s="7">
        <f>IF('Per Invoice'!$V213="","",'Per Invoice'!P213)</f>
        <v/>
      </c>
      <c r="G214" s="7">
        <f>IF('Per Invoice'!$V213="","",'Per Invoice'!Q213)</f>
        <v/>
      </c>
      <c r="H214" s="7">
        <f>IF('Per Invoice'!$V213="","",'Per Invoice'!M213)</f>
        <v/>
      </c>
      <c r="I214" s="7">
        <f>IF('Per Invoice'!$V213="","",'Per Invoice'!N213)</f>
        <v/>
      </c>
      <c r="J214" s="7">
        <f>IF('Per Invoice'!$V213="","",'Per Invoice'!K213)</f>
        <v/>
      </c>
      <c r="K214" s="7">
        <f>IF('Per Invoice'!$V213="","",'Per Invoice'!T213)</f>
        <v/>
      </c>
      <c r="L214" s="7">
        <f>IF('Per Invoice'!$V213="","",'Per Invoice'!S213)</f>
        <v/>
      </c>
    </row>
    <row r="215">
      <c r="A215">
        <f>IF('Per Invoice'!$V214="","",ROWS($A$3:A215))</f>
        <v/>
      </c>
      <c r="B215" s="11">
        <f>IF('Per Invoice'!$V214="","",'Per Invoice'!E214)</f>
        <v/>
      </c>
      <c r="C215">
        <f>IF('Per Invoice'!$V214="","",'Per Invoice'!G214)</f>
        <v/>
      </c>
      <c r="D215">
        <f>IF('Per Invoice'!$V214="","",'Per Invoice'!H214)</f>
        <v/>
      </c>
      <c r="E215">
        <f>IF('Per Invoice'!$V214="","",'Per Invoice'!F214)</f>
        <v/>
      </c>
      <c r="F215" s="7">
        <f>IF('Per Invoice'!$V214="","",'Per Invoice'!P214)</f>
        <v/>
      </c>
      <c r="G215" s="7">
        <f>IF('Per Invoice'!$V214="","",'Per Invoice'!Q214)</f>
        <v/>
      </c>
      <c r="H215" s="7">
        <f>IF('Per Invoice'!$V214="","",'Per Invoice'!M214)</f>
        <v/>
      </c>
      <c r="I215" s="7">
        <f>IF('Per Invoice'!$V214="","",'Per Invoice'!N214)</f>
        <v/>
      </c>
      <c r="J215" s="7">
        <f>IF('Per Invoice'!$V214="","",'Per Invoice'!K214)</f>
        <v/>
      </c>
      <c r="K215" s="7">
        <f>IF('Per Invoice'!$V214="","",'Per Invoice'!T214)</f>
        <v/>
      </c>
      <c r="L215" s="7">
        <f>IF('Per Invoice'!$V214="","",'Per Invoice'!S214)</f>
        <v/>
      </c>
    </row>
    <row r="216">
      <c r="A216">
        <f>IF('Per Invoice'!$V215="","",ROWS($A$3:A216))</f>
        <v/>
      </c>
      <c r="B216" s="11">
        <f>IF('Per Invoice'!$V215="","",'Per Invoice'!E215)</f>
        <v/>
      </c>
      <c r="C216">
        <f>IF('Per Invoice'!$V215="","",'Per Invoice'!G215)</f>
        <v/>
      </c>
      <c r="D216">
        <f>IF('Per Invoice'!$V215="","",'Per Invoice'!H215)</f>
        <v/>
      </c>
      <c r="E216">
        <f>IF('Per Invoice'!$V215="","",'Per Invoice'!F215)</f>
        <v/>
      </c>
      <c r="F216" s="7">
        <f>IF('Per Invoice'!$V215="","",'Per Invoice'!P215)</f>
        <v/>
      </c>
      <c r="G216" s="7">
        <f>IF('Per Invoice'!$V215="","",'Per Invoice'!Q215)</f>
        <v/>
      </c>
      <c r="H216" s="7">
        <f>IF('Per Invoice'!$V215="","",'Per Invoice'!M215)</f>
        <v/>
      </c>
      <c r="I216" s="7">
        <f>IF('Per Invoice'!$V215="","",'Per Invoice'!N215)</f>
        <v/>
      </c>
      <c r="J216" s="7">
        <f>IF('Per Invoice'!$V215="","",'Per Invoice'!K215)</f>
        <v/>
      </c>
      <c r="K216" s="7">
        <f>IF('Per Invoice'!$V215="","",'Per Invoice'!T215)</f>
        <v/>
      </c>
      <c r="L216" s="7">
        <f>IF('Per Invoice'!$V215="","",'Per Invoice'!S215)</f>
        <v/>
      </c>
    </row>
    <row r="217">
      <c r="A217">
        <f>IF('Per Invoice'!$V216="","",ROWS($A$3:A217))</f>
        <v/>
      </c>
      <c r="B217" s="11">
        <f>IF('Per Invoice'!$V216="","",'Per Invoice'!E216)</f>
        <v/>
      </c>
      <c r="C217">
        <f>IF('Per Invoice'!$V216="","",'Per Invoice'!G216)</f>
        <v/>
      </c>
      <c r="D217">
        <f>IF('Per Invoice'!$V216="","",'Per Invoice'!H216)</f>
        <v/>
      </c>
      <c r="E217">
        <f>IF('Per Invoice'!$V216="","",'Per Invoice'!F216)</f>
        <v/>
      </c>
      <c r="F217" s="7">
        <f>IF('Per Invoice'!$V216="","",'Per Invoice'!P216)</f>
        <v/>
      </c>
      <c r="G217" s="7">
        <f>IF('Per Invoice'!$V216="","",'Per Invoice'!Q216)</f>
        <v/>
      </c>
      <c r="H217" s="7">
        <f>IF('Per Invoice'!$V216="","",'Per Invoice'!M216)</f>
        <v/>
      </c>
      <c r="I217" s="7">
        <f>IF('Per Invoice'!$V216="","",'Per Invoice'!N216)</f>
        <v/>
      </c>
      <c r="J217" s="7">
        <f>IF('Per Invoice'!$V216="","",'Per Invoice'!K216)</f>
        <v/>
      </c>
      <c r="K217" s="7">
        <f>IF('Per Invoice'!$V216="","",'Per Invoice'!T216)</f>
        <v/>
      </c>
      <c r="L217" s="7">
        <f>IF('Per Invoice'!$V216="","",'Per Invoice'!S216)</f>
        <v/>
      </c>
    </row>
    <row r="218">
      <c r="A218">
        <f>IF('Per Invoice'!$V217="","",ROWS($A$3:A218))</f>
        <v/>
      </c>
      <c r="B218" s="11">
        <f>IF('Per Invoice'!$V217="","",'Per Invoice'!E217)</f>
        <v/>
      </c>
      <c r="C218">
        <f>IF('Per Invoice'!$V217="","",'Per Invoice'!G217)</f>
        <v/>
      </c>
      <c r="D218">
        <f>IF('Per Invoice'!$V217="","",'Per Invoice'!H217)</f>
        <v/>
      </c>
      <c r="E218">
        <f>IF('Per Invoice'!$V217="","",'Per Invoice'!F217)</f>
        <v/>
      </c>
      <c r="F218" s="7">
        <f>IF('Per Invoice'!$V217="","",'Per Invoice'!P217)</f>
        <v/>
      </c>
      <c r="G218" s="7">
        <f>IF('Per Invoice'!$V217="","",'Per Invoice'!Q217)</f>
        <v/>
      </c>
      <c r="H218" s="7">
        <f>IF('Per Invoice'!$V217="","",'Per Invoice'!M217)</f>
        <v/>
      </c>
      <c r="I218" s="7">
        <f>IF('Per Invoice'!$V217="","",'Per Invoice'!N217)</f>
        <v/>
      </c>
      <c r="J218" s="7">
        <f>IF('Per Invoice'!$V217="","",'Per Invoice'!K217)</f>
        <v/>
      </c>
      <c r="K218" s="7">
        <f>IF('Per Invoice'!$V217="","",'Per Invoice'!T217)</f>
        <v/>
      </c>
      <c r="L218" s="7">
        <f>IF('Per Invoice'!$V217="","",'Per Invoice'!S217)</f>
        <v/>
      </c>
    </row>
    <row r="219">
      <c r="A219">
        <f>IF('Per Invoice'!$V218="","",ROWS($A$3:A219))</f>
        <v/>
      </c>
      <c r="B219" s="11">
        <f>IF('Per Invoice'!$V218="","",'Per Invoice'!E218)</f>
        <v/>
      </c>
      <c r="C219">
        <f>IF('Per Invoice'!$V218="","",'Per Invoice'!G218)</f>
        <v/>
      </c>
      <c r="D219">
        <f>IF('Per Invoice'!$V218="","",'Per Invoice'!H218)</f>
        <v/>
      </c>
      <c r="E219">
        <f>IF('Per Invoice'!$V218="","",'Per Invoice'!F218)</f>
        <v/>
      </c>
      <c r="F219" s="7">
        <f>IF('Per Invoice'!$V218="","",'Per Invoice'!P218)</f>
        <v/>
      </c>
      <c r="G219" s="7">
        <f>IF('Per Invoice'!$V218="","",'Per Invoice'!Q218)</f>
        <v/>
      </c>
      <c r="H219" s="7">
        <f>IF('Per Invoice'!$V218="","",'Per Invoice'!M218)</f>
        <v/>
      </c>
      <c r="I219" s="7">
        <f>IF('Per Invoice'!$V218="","",'Per Invoice'!N218)</f>
        <v/>
      </c>
      <c r="J219" s="7">
        <f>IF('Per Invoice'!$V218="","",'Per Invoice'!K218)</f>
        <v/>
      </c>
      <c r="K219" s="7">
        <f>IF('Per Invoice'!$V218="","",'Per Invoice'!T218)</f>
        <v/>
      </c>
      <c r="L219" s="7">
        <f>IF('Per Invoice'!$V218="","",'Per Invoice'!S218)</f>
        <v/>
      </c>
    </row>
    <row r="220">
      <c r="A220">
        <f>IF('Per Invoice'!$V219="","",ROWS($A$3:A220))</f>
        <v/>
      </c>
      <c r="B220" s="11">
        <f>IF('Per Invoice'!$V219="","",'Per Invoice'!E219)</f>
        <v/>
      </c>
      <c r="C220">
        <f>IF('Per Invoice'!$V219="","",'Per Invoice'!G219)</f>
        <v/>
      </c>
      <c r="D220">
        <f>IF('Per Invoice'!$V219="","",'Per Invoice'!H219)</f>
        <v/>
      </c>
      <c r="E220">
        <f>IF('Per Invoice'!$V219="","",'Per Invoice'!F219)</f>
        <v/>
      </c>
      <c r="F220" s="7">
        <f>IF('Per Invoice'!$V219="","",'Per Invoice'!P219)</f>
        <v/>
      </c>
      <c r="G220" s="7">
        <f>IF('Per Invoice'!$V219="","",'Per Invoice'!Q219)</f>
        <v/>
      </c>
      <c r="H220" s="7">
        <f>IF('Per Invoice'!$V219="","",'Per Invoice'!M219)</f>
        <v/>
      </c>
      <c r="I220" s="7">
        <f>IF('Per Invoice'!$V219="","",'Per Invoice'!N219)</f>
        <v/>
      </c>
      <c r="J220" s="7">
        <f>IF('Per Invoice'!$V219="","",'Per Invoice'!K219)</f>
        <v/>
      </c>
      <c r="K220" s="7">
        <f>IF('Per Invoice'!$V219="","",'Per Invoice'!T219)</f>
        <v/>
      </c>
      <c r="L220" s="7">
        <f>IF('Per Invoice'!$V219="","",'Per Invoice'!S219)</f>
        <v/>
      </c>
    </row>
    <row r="221">
      <c r="A221">
        <f>IF('Per Invoice'!$V220="","",ROWS($A$3:A221))</f>
        <v/>
      </c>
      <c r="B221" s="11">
        <f>IF('Per Invoice'!$V220="","",'Per Invoice'!E220)</f>
        <v/>
      </c>
      <c r="C221">
        <f>IF('Per Invoice'!$V220="","",'Per Invoice'!G220)</f>
        <v/>
      </c>
      <c r="D221">
        <f>IF('Per Invoice'!$V220="","",'Per Invoice'!H220)</f>
        <v/>
      </c>
      <c r="E221">
        <f>IF('Per Invoice'!$V220="","",'Per Invoice'!F220)</f>
        <v/>
      </c>
      <c r="F221" s="7">
        <f>IF('Per Invoice'!$V220="","",'Per Invoice'!P220)</f>
        <v/>
      </c>
      <c r="G221" s="7">
        <f>IF('Per Invoice'!$V220="","",'Per Invoice'!Q220)</f>
        <v/>
      </c>
      <c r="H221" s="7">
        <f>IF('Per Invoice'!$V220="","",'Per Invoice'!M220)</f>
        <v/>
      </c>
      <c r="I221" s="7">
        <f>IF('Per Invoice'!$V220="","",'Per Invoice'!N220)</f>
        <v/>
      </c>
      <c r="J221" s="7">
        <f>IF('Per Invoice'!$V220="","",'Per Invoice'!K220)</f>
        <v/>
      </c>
      <c r="K221" s="7">
        <f>IF('Per Invoice'!$V220="","",'Per Invoice'!T220)</f>
        <v/>
      </c>
      <c r="L221" s="7">
        <f>IF('Per Invoice'!$V220="","",'Per Invoice'!S220)</f>
        <v/>
      </c>
    </row>
    <row r="222">
      <c r="A222">
        <f>IF('Per Invoice'!$V221="","",ROWS($A$3:A222))</f>
        <v/>
      </c>
      <c r="B222" s="11">
        <f>IF('Per Invoice'!$V221="","",'Per Invoice'!E221)</f>
        <v/>
      </c>
      <c r="C222">
        <f>IF('Per Invoice'!$V221="","",'Per Invoice'!G221)</f>
        <v/>
      </c>
      <c r="D222">
        <f>IF('Per Invoice'!$V221="","",'Per Invoice'!H221)</f>
        <v/>
      </c>
      <c r="E222">
        <f>IF('Per Invoice'!$V221="","",'Per Invoice'!F221)</f>
        <v/>
      </c>
      <c r="F222" s="7">
        <f>IF('Per Invoice'!$V221="","",'Per Invoice'!P221)</f>
        <v/>
      </c>
      <c r="G222" s="7">
        <f>IF('Per Invoice'!$V221="","",'Per Invoice'!Q221)</f>
        <v/>
      </c>
      <c r="H222" s="7">
        <f>IF('Per Invoice'!$V221="","",'Per Invoice'!M221)</f>
        <v/>
      </c>
      <c r="I222" s="7">
        <f>IF('Per Invoice'!$V221="","",'Per Invoice'!N221)</f>
        <v/>
      </c>
      <c r="J222" s="7">
        <f>IF('Per Invoice'!$V221="","",'Per Invoice'!K221)</f>
        <v/>
      </c>
      <c r="K222" s="7">
        <f>IF('Per Invoice'!$V221="","",'Per Invoice'!T221)</f>
        <v/>
      </c>
      <c r="L222" s="7">
        <f>IF('Per Invoice'!$V221="","",'Per Invoice'!S221)</f>
        <v/>
      </c>
    </row>
    <row r="223">
      <c r="A223">
        <f>IF('Per Invoice'!$V222="","",ROWS($A$3:A223))</f>
        <v/>
      </c>
      <c r="B223" s="11">
        <f>IF('Per Invoice'!$V222="","",'Per Invoice'!E222)</f>
        <v/>
      </c>
      <c r="C223">
        <f>IF('Per Invoice'!$V222="","",'Per Invoice'!G222)</f>
        <v/>
      </c>
      <c r="D223">
        <f>IF('Per Invoice'!$V222="","",'Per Invoice'!H222)</f>
        <v/>
      </c>
      <c r="E223">
        <f>IF('Per Invoice'!$V222="","",'Per Invoice'!F222)</f>
        <v/>
      </c>
      <c r="F223" s="7">
        <f>IF('Per Invoice'!$V222="","",'Per Invoice'!P222)</f>
        <v/>
      </c>
      <c r="G223" s="7">
        <f>IF('Per Invoice'!$V222="","",'Per Invoice'!Q222)</f>
        <v/>
      </c>
      <c r="H223" s="7">
        <f>IF('Per Invoice'!$V222="","",'Per Invoice'!M222)</f>
        <v/>
      </c>
      <c r="I223" s="7">
        <f>IF('Per Invoice'!$V222="","",'Per Invoice'!N222)</f>
        <v/>
      </c>
      <c r="J223" s="7">
        <f>IF('Per Invoice'!$V222="","",'Per Invoice'!K222)</f>
        <v/>
      </c>
      <c r="K223" s="7">
        <f>IF('Per Invoice'!$V222="","",'Per Invoice'!T222)</f>
        <v/>
      </c>
      <c r="L223" s="7">
        <f>IF('Per Invoice'!$V222="","",'Per Invoice'!S222)</f>
        <v/>
      </c>
    </row>
    <row r="224">
      <c r="A224">
        <f>IF('Per Invoice'!$V223="","",ROWS($A$3:A224))</f>
        <v/>
      </c>
      <c r="B224" s="11">
        <f>IF('Per Invoice'!$V223="","",'Per Invoice'!E223)</f>
        <v/>
      </c>
      <c r="C224">
        <f>IF('Per Invoice'!$V223="","",'Per Invoice'!G223)</f>
        <v/>
      </c>
      <c r="D224">
        <f>IF('Per Invoice'!$V223="","",'Per Invoice'!H223)</f>
        <v/>
      </c>
      <c r="E224">
        <f>IF('Per Invoice'!$V223="","",'Per Invoice'!F223)</f>
        <v/>
      </c>
      <c r="F224" s="7">
        <f>IF('Per Invoice'!$V223="","",'Per Invoice'!P223)</f>
        <v/>
      </c>
      <c r="G224" s="7">
        <f>IF('Per Invoice'!$V223="","",'Per Invoice'!Q223)</f>
        <v/>
      </c>
      <c r="H224" s="7">
        <f>IF('Per Invoice'!$V223="","",'Per Invoice'!M223)</f>
        <v/>
      </c>
      <c r="I224" s="7">
        <f>IF('Per Invoice'!$V223="","",'Per Invoice'!N223)</f>
        <v/>
      </c>
      <c r="J224" s="7">
        <f>IF('Per Invoice'!$V223="","",'Per Invoice'!K223)</f>
        <v/>
      </c>
      <c r="K224" s="7">
        <f>IF('Per Invoice'!$V223="","",'Per Invoice'!T223)</f>
        <v/>
      </c>
      <c r="L224" s="7">
        <f>IF('Per Invoice'!$V223="","",'Per Invoice'!S223)</f>
        <v/>
      </c>
    </row>
    <row r="225">
      <c r="A225">
        <f>IF('Per Invoice'!$V224="","",ROWS($A$3:A225))</f>
        <v/>
      </c>
      <c r="B225" s="11">
        <f>IF('Per Invoice'!$V224="","",'Per Invoice'!E224)</f>
        <v/>
      </c>
      <c r="C225">
        <f>IF('Per Invoice'!$V224="","",'Per Invoice'!G224)</f>
        <v/>
      </c>
      <c r="D225">
        <f>IF('Per Invoice'!$V224="","",'Per Invoice'!H224)</f>
        <v/>
      </c>
      <c r="E225">
        <f>IF('Per Invoice'!$V224="","",'Per Invoice'!F224)</f>
        <v/>
      </c>
      <c r="F225" s="7">
        <f>IF('Per Invoice'!$V224="","",'Per Invoice'!P224)</f>
        <v/>
      </c>
      <c r="G225" s="7">
        <f>IF('Per Invoice'!$V224="","",'Per Invoice'!Q224)</f>
        <v/>
      </c>
      <c r="H225" s="7">
        <f>IF('Per Invoice'!$V224="","",'Per Invoice'!M224)</f>
        <v/>
      </c>
      <c r="I225" s="7">
        <f>IF('Per Invoice'!$V224="","",'Per Invoice'!N224)</f>
        <v/>
      </c>
      <c r="J225" s="7">
        <f>IF('Per Invoice'!$V224="","",'Per Invoice'!K224)</f>
        <v/>
      </c>
      <c r="K225" s="7">
        <f>IF('Per Invoice'!$V224="","",'Per Invoice'!T224)</f>
        <v/>
      </c>
      <c r="L225" s="7">
        <f>IF('Per Invoice'!$V224="","",'Per Invoice'!S224)</f>
        <v/>
      </c>
    </row>
    <row r="226">
      <c r="A226">
        <f>IF('Per Invoice'!$V225="","",ROWS($A$3:A226))</f>
        <v/>
      </c>
      <c r="B226" s="11">
        <f>IF('Per Invoice'!$V225="","",'Per Invoice'!E225)</f>
        <v/>
      </c>
      <c r="C226">
        <f>IF('Per Invoice'!$V225="","",'Per Invoice'!G225)</f>
        <v/>
      </c>
      <c r="D226">
        <f>IF('Per Invoice'!$V225="","",'Per Invoice'!H225)</f>
        <v/>
      </c>
      <c r="E226">
        <f>IF('Per Invoice'!$V225="","",'Per Invoice'!F225)</f>
        <v/>
      </c>
      <c r="F226" s="7">
        <f>IF('Per Invoice'!$V225="","",'Per Invoice'!P225)</f>
        <v/>
      </c>
      <c r="G226" s="7">
        <f>IF('Per Invoice'!$V225="","",'Per Invoice'!Q225)</f>
        <v/>
      </c>
      <c r="H226" s="7">
        <f>IF('Per Invoice'!$V225="","",'Per Invoice'!M225)</f>
        <v/>
      </c>
      <c r="I226" s="7">
        <f>IF('Per Invoice'!$V225="","",'Per Invoice'!N225)</f>
        <v/>
      </c>
      <c r="J226" s="7">
        <f>IF('Per Invoice'!$V225="","",'Per Invoice'!K225)</f>
        <v/>
      </c>
      <c r="K226" s="7">
        <f>IF('Per Invoice'!$V225="","",'Per Invoice'!T225)</f>
        <v/>
      </c>
      <c r="L226" s="7">
        <f>IF('Per Invoice'!$V225="","",'Per Invoice'!S225)</f>
        <v/>
      </c>
    </row>
    <row r="227">
      <c r="A227">
        <f>IF('Per Invoice'!$V226="","",ROWS($A$3:A227))</f>
        <v/>
      </c>
      <c r="B227" s="11">
        <f>IF('Per Invoice'!$V226="","",'Per Invoice'!E226)</f>
        <v/>
      </c>
      <c r="C227">
        <f>IF('Per Invoice'!$V226="","",'Per Invoice'!G226)</f>
        <v/>
      </c>
      <c r="D227">
        <f>IF('Per Invoice'!$V226="","",'Per Invoice'!H226)</f>
        <v/>
      </c>
      <c r="E227">
        <f>IF('Per Invoice'!$V226="","",'Per Invoice'!F226)</f>
        <v/>
      </c>
      <c r="F227" s="7">
        <f>IF('Per Invoice'!$V226="","",'Per Invoice'!P226)</f>
        <v/>
      </c>
      <c r="G227" s="7">
        <f>IF('Per Invoice'!$V226="","",'Per Invoice'!Q226)</f>
        <v/>
      </c>
      <c r="H227" s="7">
        <f>IF('Per Invoice'!$V226="","",'Per Invoice'!M226)</f>
        <v/>
      </c>
      <c r="I227" s="7">
        <f>IF('Per Invoice'!$V226="","",'Per Invoice'!N226)</f>
        <v/>
      </c>
      <c r="J227" s="7">
        <f>IF('Per Invoice'!$V226="","",'Per Invoice'!K226)</f>
        <v/>
      </c>
      <c r="K227" s="7">
        <f>IF('Per Invoice'!$V226="","",'Per Invoice'!T226)</f>
        <v/>
      </c>
      <c r="L227" s="7">
        <f>IF('Per Invoice'!$V226="","",'Per Invoice'!S226)</f>
        <v/>
      </c>
    </row>
    <row r="228">
      <c r="A228">
        <f>IF('Per Invoice'!$V227="","",ROWS($A$3:A228))</f>
        <v/>
      </c>
      <c r="B228" s="11">
        <f>IF('Per Invoice'!$V227="","",'Per Invoice'!E227)</f>
        <v/>
      </c>
      <c r="C228">
        <f>IF('Per Invoice'!$V227="","",'Per Invoice'!G227)</f>
        <v/>
      </c>
      <c r="D228">
        <f>IF('Per Invoice'!$V227="","",'Per Invoice'!H227)</f>
        <v/>
      </c>
      <c r="E228">
        <f>IF('Per Invoice'!$V227="","",'Per Invoice'!F227)</f>
        <v/>
      </c>
      <c r="F228" s="7">
        <f>IF('Per Invoice'!$V227="","",'Per Invoice'!P227)</f>
        <v/>
      </c>
      <c r="G228" s="7">
        <f>IF('Per Invoice'!$V227="","",'Per Invoice'!Q227)</f>
        <v/>
      </c>
      <c r="H228" s="7">
        <f>IF('Per Invoice'!$V227="","",'Per Invoice'!M227)</f>
        <v/>
      </c>
      <c r="I228" s="7">
        <f>IF('Per Invoice'!$V227="","",'Per Invoice'!N227)</f>
        <v/>
      </c>
      <c r="J228" s="7">
        <f>IF('Per Invoice'!$V227="","",'Per Invoice'!K227)</f>
        <v/>
      </c>
      <c r="K228" s="7">
        <f>IF('Per Invoice'!$V227="","",'Per Invoice'!T227)</f>
        <v/>
      </c>
      <c r="L228" s="7">
        <f>IF('Per Invoice'!$V227="","",'Per Invoice'!S227)</f>
        <v/>
      </c>
    </row>
    <row r="229">
      <c r="A229">
        <f>IF('Per Invoice'!$V228="","",ROWS($A$3:A229))</f>
        <v/>
      </c>
      <c r="B229" s="11">
        <f>IF('Per Invoice'!$V228="","",'Per Invoice'!E228)</f>
        <v/>
      </c>
      <c r="C229">
        <f>IF('Per Invoice'!$V228="","",'Per Invoice'!G228)</f>
        <v/>
      </c>
      <c r="D229">
        <f>IF('Per Invoice'!$V228="","",'Per Invoice'!H228)</f>
        <v/>
      </c>
      <c r="E229">
        <f>IF('Per Invoice'!$V228="","",'Per Invoice'!F228)</f>
        <v/>
      </c>
      <c r="F229" s="7">
        <f>IF('Per Invoice'!$V228="","",'Per Invoice'!P228)</f>
        <v/>
      </c>
      <c r="G229" s="7">
        <f>IF('Per Invoice'!$V228="","",'Per Invoice'!Q228)</f>
        <v/>
      </c>
      <c r="H229" s="7">
        <f>IF('Per Invoice'!$V228="","",'Per Invoice'!M228)</f>
        <v/>
      </c>
      <c r="I229" s="7">
        <f>IF('Per Invoice'!$V228="","",'Per Invoice'!N228)</f>
        <v/>
      </c>
      <c r="J229" s="7">
        <f>IF('Per Invoice'!$V228="","",'Per Invoice'!K228)</f>
        <v/>
      </c>
      <c r="K229" s="7">
        <f>IF('Per Invoice'!$V228="","",'Per Invoice'!T228)</f>
        <v/>
      </c>
      <c r="L229" s="7">
        <f>IF('Per Invoice'!$V228="","",'Per Invoice'!S228)</f>
        <v/>
      </c>
    </row>
    <row r="230">
      <c r="A230">
        <f>IF('Per Invoice'!$V229="","",ROWS($A$3:A230))</f>
        <v/>
      </c>
      <c r="B230" s="11">
        <f>IF('Per Invoice'!$V229="","",'Per Invoice'!E229)</f>
        <v/>
      </c>
      <c r="C230">
        <f>IF('Per Invoice'!$V229="","",'Per Invoice'!G229)</f>
        <v/>
      </c>
      <c r="D230">
        <f>IF('Per Invoice'!$V229="","",'Per Invoice'!H229)</f>
        <v/>
      </c>
      <c r="E230">
        <f>IF('Per Invoice'!$V229="","",'Per Invoice'!F229)</f>
        <v/>
      </c>
      <c r="F230" s="7">
        <f>IF('Per Invoice'!$V229="","",'Per Invoice'!P229)</f>
        <v/>
      </c>
      <c r="G230" s="7">
        <f>IF('Per Invoice'!$V229="","",'Per Invoice'!Q229)</f>
        <v/>
      </c>
      <c r="H230" s="7">
        <f>IF('Per Invoice'!$V229="","",'Per Invoice'!M229)</f>
        <v/>
      </c>
      <c r="I230" s="7">
        <f>IF('Per Invoice'!$V229="","",'Per Invoice'!N229)</f>
        <v/>
      </c>
      <c r="J230" s="7">
        <f>IF('Per Invoice'!$V229="","",'Per Invoice'!K229)</f>
        <v/>
      </c>
      <c r="K230" s="7">
        <f>IF('Per Invoice'!$V229="","",'Per Invoice'!T229)</f>
        <v/>
      </c>
      <c r="L230" s="7">
        <f>IF('Per Invoice'!$V229="","",'Per Invoice'!S229)</f>
        <v/>
      </c>
    </row>
    <row r="231">
      <c r="A231">
        <f>IF('Per Invoice'!$V230="","",ROWS($A$3:A231))</f>
        <v/>
      </c>
      <c r="B231" s="11">
        <f>IF('Per Invoice'!$V230="","",'Per Invoice'!E230)</f>
        <v/>
      </c>
      <c r="C231">
        <f>IF('Per Invoice'!$V230="","",'Per Invoice'!G230)</f>
        <v/>
      </c>
      <c r="D231">
        <f>IF('Per Invoice'!$V230="","",'Per Invoice'!H230)</f>
        <v/>
      </c>
      <c r="E231">
        <f>IF('Per Invoice'!$V230="","",'Per Invoice'!F230)</f>
        <v/>
      </c>
      <c r="F231" s="7">
        <f>IF('Per Invoice'!$V230="","",'Per Invoice'!P230)</f>
        <v/>
      </c>
      <c r="G231" s="7">
        <f>IF('Per Invoice'!$V230="","",'Per Invoice'!Q230)</f>
        <v/>
      </c>
      <c r="H231" s="7">
        <f>IF('Per Invoice'!$V230="","",'Per Invoice'!M230)</f>
        <v/>
      </c>
      <c r="I231" s="7">
        <f>IF('Per Invoice'!$V230="","",'Per Invoice'!N230)</f>
        <v/>
      </c>
      <c r="J231" s="7">
        <f>IF('Per Invoice'!$V230="","",'Per Invoice'!K230)</f>
        <v/>
      </c>
      <c r="K231" s="7">
        <f>IF('Per Invoice'!$V230="","",'Per Invoice'!T230)</f>
        <v/>
      </c>
      <c r="L231" s="7">
        <f>IF('Per Invoice'!$V230="","",'Per Invoice'!S230)</f>
        <v/>
      </c>
    </row>
    <row r="232">
      <c r="A232">
        <f>IF('Per Invoice'!$V231="","",ROWS($A$3:A232))</f>
        <v/>
      </c>
      <c r="B232" s="11">
        <f>IF('Per Invoice'!$V231="","",'Per Invoice'!E231)</f>
        <v/>
      </c>
      <c r="C232">
        <f>IF('Per Invoice'!$V231="","",'Per Invoice'!G231)</f>
        <v/>
      </c>
      <c r="D232">
        <f>IF('Per Invoice'!$V231="","",'Per Invoice'!H231)</f>
        <v/>
      </c>
      <c r="E232">
        <f>IF('Per Invoice'!$V231="","",'Per Invoice'!F231)</f>
        <v/>
      </c>
      <c r="F232" s="7">
        <f>IF('Per Invoice'!$V231="","",'Per Invoice'!P231)</f>
        <v/>
      </c>
      <c r="G232" s="7">
        <f>IF('Per Invoice'!$V231="","",'Per Invoice'!Q231)</f>
        <v/>
      </c>
      <c r="H232" s="7">
        <f>IF('Per Invoice'!$V231="","",'Per Invoice'!M231)</f>
        <v/>
      </c>
      <c r="I232" s="7">
        <f>IF('Per Invoice'!$V231="","",'Per Invoice'!N231)</f>
        <v/>
      </c>
      <c r="J232" s="7">
        <f>IF('Per Invoice'!$V231="","",'Per Invoice'!K231)</f>
        <v/>
      </c>
      <c r="K232" s="7">
        <f>IF('Per Invoice'!$V231="","",'Per Invoice'!T231)</f>
        <v/>
      </c>
      <c r="L232" s="7">
        <f>IF('Per Invoice'!$V231="","",'Per Invoice'!S231)</f>
        <v/>
      </c>
    </row>
    <row r="233">
      <c r="A233">
        <f>IF('Per Invoice'!$V232="","",ROWS($A$3:A233))</f>
        <v/>
      </c>
      <c r="B233" s="11">
        <f>IF('Per Invoice'!$V232="","",'Per Invoice'!E232)</f>
        <v/>
      </c>
      <c r="C233">
        <f>IF('Per Invoice'!$V232="","",'Per Invoice'!G232)</f>
        <v/>
      </c>
      <c r="D233">
        <f>IF('Per Invoice'!$V232="","",'Per Invoice'!H232)</f>
        <v/>
      </c>
      <c r="E233">
        <f>IF('Per Invoice'!$V232="","",'Per Invoice'!F232)</f>
        <v/>
      </c>
      <c r="F233" s="7">
        <f>IF('Per Invoice'!$V232="","",'Per Invoice'!P232)</f>
        <v/>
      </c>
      <c r="G233" s="7">
        <f>IF('Per Invoice'!$V232="","",'Per Invoice'!Q232)</f>
        <v/>
      </c>
      <c r="H233" s="7">
        <f>IF('Per Invoice'!$V232="","",'Per Invoice'!M232)</f>
        <v/>
      </c>
      <c r="I233" s="7">
        <f>IF('Per Invoice'!$V232="","",'Per Invoice'!N232)</f>
        <v/>
      </c>
      <c r="J233" s="7">
        <f>IF('Per Invoice'!$V232="","",'Per Invoice'!K232)</f>
        <v/>
      </c>
      <c r="K233" s="7">
        <f>IF('Per Invoice'!$V232="","",'Per Invoice'!T232)</f>
        <v/>
      </c>
      <c r="L233" s="7">
        <f>IF('Per Invoice'!$V232="","",'Per Invoice'!S232)</f>
        <v/>
      </c>
    </row>
    <row r="234">
      <c r="A234">
        <f>IF('Per Invoice'!$V233="","",ROWS($A$3:A234))</f>
        <v/>
      </c>
      <c r="B234" s="11">
        <f>IF('Per Invoice'!$V233="","",'Per Invoice'!E233)</f>
        <v/>
      </c>
      <c r="C234">
        <f>IF('Per Invoice'!$V233="","",'Per Invoice'!G233)</f>
        <v/>
      </c>
      <c r="D234">
        <f>IF('Per Invoice'!$V233="","",'Per Invoice'!H233)</f>
        <v/>
      </c>
      <c r="E234">
        <f>IF('Per Invoice'!$V233="","",'Per Invoice'!F233)</f>
        <v/>
      </c>
      <c r="F234" s="7">
        <f>IF('Per Invoice'!$V233="","",'Per Invoice'!P233)</f>
        <v/>
      </c>
      <c r="G234" s="7">
        <f>IF('Per Invoice'!$V233="","",'Per Invoice'!Q233)</f>
        <v/>
      </c>
      <c r="H234" s="7">
        <f>IF('Per Invoice'!$V233="","",'Per Invoice'!M233)</f>
        <v/>
      </c>
      <c r="I234" s="7">
        <f>IF('Per Invoice'!$V233="","",'Per Invoice'!N233)</f>
        <v/>
      </c>
      <c r="J234" s="7">
        <f>IF('Per Invoice'!$V233="","",'Per Invoice'!K233)</f>
        <v/>
      </c>
      <c r="K234" s="7">
        <f>IF('Per Invoice'!$V233="","",'Per Invoice'!T233)</f>
        <v/>
      </c>
      <c r="L234" s="7">
        <f>IF('Per Invoice'!$V233="","",'Per Invoice'!S233)</f>
        <v/>
      </c>
    </row>
    <row r="235">
      <c r="A235">
        <f>IF('Per Invoice'!$V234="","",ROWS($A$3:A235))</f>
        <v/>
      </c>
      <c r="B235" s="11">
        <f>IF('Per Invoice'!$V234="","",'Per Invoice'!E234)</f>
        <v/>
      </c>
      <c r="C235">
        <f>IF('Per Invoice'!$V234="","",'Per Invoice'!G234)</f>
        <v/>
      </c>
      <c r="D235">
        <f>IF('Per Invoice'!$V234="","",'Per Invoice'!H234)</f>
        <v/>
      </c>
      <c r="E235">
        <f>IF('Per Invoice'!$V234="","",'Per Invoice'!F234)</f>
        <v/>
      </c>
      <c r="F235" s="7">
        <f>IF('Per Invoice'!$V234="","",'Per Invoice'!P234)</f>
        <v/>
      </c>
      <c r="G235" s="7">
        <f>IF('Per Invoice'!$V234="","",'Per Invoice'!Q234)</f>
        <v/>
      </c>
      <c r="H235" s="7">
        <f>IF('Per Invoice'!$V234="","",'Per Invoice'!M234)</f>
        <v/>
      </c>
      <c r="I235" s="7">
        <f>IF('Per Invoice'!$V234="","",'Per Invoice'!N234)</f>
        <v/>
      </c>
      <c r="J235" s="7">
        <f>IF('Per Invoice'!$V234="","",'Per Invoice'!K234)</f>
        <v/>
      </c>
      <c r="K235" s="7">
        <f>IF('Per Invoice'!$V234="","",'Per Invoice'!T234)</f>
        <v/>
      </c>
      <c r="L235" s="7">
        <f>IF('Per Invoice'!$V234="","",'Per Invoice'!S234)</f>
        <v/>
      </c>
    </row>
    <row r="236">
      <c r="A236">
        <f>IF('Per Invoice'!$V235="","",ROWS($A$3:A236))</f>
        <v/>
      </c>
      <c r="B236" s="11">
        <f>IF('Per Invoice'!$V235="","",'Per Invoice'!E235)</f>
        <v/>
      </c>
      <c r="C236">
        <f>IF('Per Invoice'!$V235="","",'Per Invoice'!G235)</f>
        <v/>
      </c>
      <c r="D236">
        <f>IF('Per Invoice'!$V235="","",'Per Invoice'!H235)</f>
        <v/>
      </c>
      <c r="E236">
        <f>IF('Per Invoice'!$V235="","",'Per Invoice'!F235)</f>
        <v/>
      </c>
      <c r="F236" s="7">
        <f>IF('Per Invoice'!$V235="","",'Per Invoice'!P235)</f>
        <v/>
      </c>
      <c r="G236" s="7">
        <f>IF('Per Invoice'!$V235="","",'Per Invoice'!Q235)</f>
        <v/>
      </c>
      <c r="H236" s="7">
        <f>IF('Per Invoice'!$V235="","",'Per Invoice'!M235)</f>
        <v/>
      </c>
      <c r="I236" s="7">
        <f>IF('Per Invoice'!$V235="","",'Per Invoice'!N235)</f>
        <v/>
      </c>
      <c r="J236" s="7">
        <f>IF('Per Invoice'!$V235="","",'Per Invoice'!K235)</f>
        <v/>
      </c>
      <c r="K236" s="7">
        <f>IF('Per Invoice'!$V235="","",'Per Invoice'!T235)</f>
        <v/>
      </c>
      <c r="L236" s="7">
        <f>IF('Per Invoice'!$V235="","",'Per Invoice'!S235)</f>
        <v/>
      </c>
    </row>
    <row r="237">
      <c r="A237">
        <f>IF('Per Invoice'!$V236="","",ROWS($A$3:A237))</f>
        <v/>
      </c>
      <c r="B237" s="11">
        <f>IF('Per Invoice'!$V236="","",'Per Invoice'!E236)</f>
        <v/>
      </c>
      <c r="C237">
        <f>IF('Per Invoice'!$V236="","",'Per Invoice'!G236)</f>
        <v/>
      </c>
      <c r="D237">
        <f>IF('Per Invoice'!$V236="","",'Per Invoice'!H236)</f>
        <v/>
      </c>
      <c r="E237">
        <f>IF('Per Invoice'!$V236="","",'Per Invoice'!F236)</f>
        <v/>
      </c>
      <c r="F237" s="7">
        <f>IF('Per Invoice'!$V236="","",'Per Invoice'!P236)</f>
        <v/>
      </c>
      <c r="G237" s="7">
        <f>IF('Per Invoice'!$V236="","",'Per Invoice'!Q236)</f>
        <v/>
      </c>
      <c r="H237" s="7">
        <f>IF('Per Invoice'!$V236="","",'Per Invoice'!M236)</f>
        <v/>
      </c>
      <c r="I237" s="7">
        <f>IF('Per Invoice'!$V236="","",'Per Invoice'!N236)</f>
        <v/>
      </c>
      <c r="J237" s="7">
        <f>IF('Per Invoice'!$V236="","",'Per Invoice'!K236)</f>
        <v/>
      </c>
      <c r="K237" s="7">
        <f>IF('Per Invoice'!$V236="","",'Per Invoice'!T236)</f>
        <v/>
      </c>
      <c r="L237" s="7">
        <f>IF('Per Invoice'!$V236="","",'Per Invoice'!S236)</f>
        <v/>
      </c>
    </row>
    <row r="238">
      <c r="A238">
        <f>IF('Per Invoice'!$V237="","",ROWS($A$3:A238))</f>
        <v/>
      </c>
      <c r="B238" s="11">
        <f>IF('Per Invoice'!$V237="","",'Per Invoice'!E237)</f>
        <v/>
      </c>
      <c r="C238">
        <f>IF('Per Invoice'!$V237="","",'Per Invoice'!G237)</f>
        <v/>
      </c>
      <c r="D238">
        <f>IF('Per Invoice'!$V237="","",'Per Invoice'!H237)</f>
        <v/>
      </c>
      <c r="E238">
        <f>IF('Per Invoice'!$V237="","",'Per Invoice'!F237)</f>
        <v/>
      </c>
      <c r="F238" s="7">
        <f>IF('Per Invoice'!$V237="","",'Per Invoice'!P237)</f>
        <v/>
      </c>
      <c r="G238" s="7">
        <f>IF('Per Invoice'!$V237="","",'Per Invoice'!Q237)</f>
        <v/>
      </c>
      <c r="H238" s="7">
        <f>IF('Per Invoice'!$V237="","",'Per Invoice'!M237)</f>
        <v/>
      </c>
      <c r="I238" s="7">
        <f>IF('Per Invoice'!$V237="","",'Per Invoice'!N237)</f>
        <v/>
      </c>
      <c r="J238" s="7">
        <f>IF('Per Invoice'!$V237="","",'Per Invoice'!K237)</f>
        <v/>
      </c>
      <c r="K238" s="7">
        <f>IF('Per Invoice'!$V237="","",'Per Invoice'!T237)</f>
        <v/>
      </c>
      <c r="L238" s="7">
        <f>IF('Per Invoice'!$V237="","",'Per Invoice'!S237)</f>
        <v/>
      </c>
    </row>
    <row r="239">
      <c r="A239">
        <f>IF('Per Invoice'!$V238="","",ROWS($A$3:A239))</f>
        <v/>
      </c>
      <c r="B239" s="11">
        <f>IF('Per Invoice'!$V238="","",'Per Invoice'!E238)</f>
        <v/>
      </c>
      <c r="C239">
        <f>IF('Per Invoice'!$V238="","",'Per Invoice'!G238)</f>
        <v/>
      </c>
      <c r="D239">
        <f>IF('Per Invoice'!$V238="","",'Per Invoice'!H238)</f>
        <v/>
      </c>
      <c r="E239">
        <f>IF('Per Invoice'!$V238="","",'Per Invoice'!F238)</f>
        <v/>
      </c>
      <c r="F239" s="7">
        <f>IF('Per Invoice'!$V238="","",'Per Invoice'!P238)</f>
        <v/>
      </c>
      <c r="G239" s="7">
        <f>IF('Per Invoice'!$V238="","",'Per Invoice'!Q238)</f>
        <v/>
      </c>
      <c r="H239" s="7">
        <f>IF('Per Invoice'!$V238="","",'Per Invoice'!M238)</f>
        <v/>
      </c>
      <c r="I239" s="7">
        <f>IF('Per Invoice'!$V238="","",'Per Invoice'!N238)</f>
        <v/>
      </c>
      <c r="J239" s="7">
        <f>IF('Per Invoice'!$V238="","",'Per Invoice'!K238)</f>
        <v/>
      </c>
      <c r="K239" s="7">
        <f>IF('Per Invoice'!$V238="","",'Per Invoice'!T238)</f>
        <v/>
      </c>
      <c r="L239" s="7">
        <f>IF('Per Invoice'!$V238="","",'Per Invoice'!S238)</f>
        <v/>
      </c>
    </row>
    <row r="240">
      <c r="A240">
        <f>IF('Per Invoice'!$V239="","",ROWS($A$3:A240))</f>
        <v/>
      </c>
      <c r="B240" s="11">
        <f>IF('Per Invoice'!$V239="","",'Per Invoice'!E239)</f>
        <v/>
      </c>
      <c r="C240">
        <f>IF('Per Invoice'!$V239="","",'Per Invoice'!G239)</f>
        <v/>
      </c>
      <c r="D240">
        <f>IF('Per Invoice'!$V239="","",'Per Invoice'!H239)</f>
        <v/>
      </c>
      <c r="E240">
        <f>IF('Per Invoice'!$V239="","",'Per Invoice'!F239)</f>
        <v/>
      </c>
      <c r="F240" s="7">
        <f>IF('Per Invoice'!$V239="","",'Per Invoice'!P239)</f>
        <v/>
      </c>
      <c r="G240" s="7">
        <f>IF('Per Invoice'!$V239="","",'Per Invoice'!Q239)</f>
        <v/>
      </c>
      <c r="H240" s="7">
        <f>IF('Per Invoice'!$V239="","",'Per Invoice'!M239)</f>
        <v/>
      </c>
      <c r="I240" s="7">
        <f>IF('Per Invoice'!$V239="","",'Per Invoice'!N239)</f>
        <v/>
      </c>
      <c r="J240" s="7">
        <f>IF('Per Invoice'!$V239="","",'Per Invoice'!K239)</f>
        <v/>
      </c>
      <c r="K240" s="7">
        <f>IF('Per Invoice'!$V239="","",'Per Invoice'!T239)</f>
        <v/>
      </c>
      <c r="L240" s="7">
        <f>IF('Per Invoice'!$V239="","",'Per Invoice'!S239)</f>
        <v/>
      </c>
    </row>
    <row r="241">
      <c r="A241">
        <f>IF('Per Invoice'!$V240="","",ROWS($A$3:A241))</f>
        <v/>
      </c>
      <c r="B241" s="11">
        <f>IF('Per Invoice'!$V240="","",'Per Invoice'!E240)</f>
        <v/>
      </c>
      <c r="C241">
        <f>IF('Per Invoice'!$V240="","",'Per Invoice'!G240)</f>
        <v/>
      </c>
      <c r="D241">
        <f>IF('Per Invoice'!$V240="","",'Per Invoice'!H240)</f>
        <v/>
      </c>
      <c r="E241">
        <f>IF('Per Invoice'!$V240="","",'Per Invoice'!F240)</f>
        <v/>
      </c>
      <c r="F241" s="7">
        <f>IF('Per Invoice'!$V240="","",'Per Invoice'!P240)</f>
        <v/>
      </c>
      <c r="G241" s="7">
        <f>IF('Per Invoice'!$V240="","",'Per Invoice'!Q240)</f>
        <v/>
      </c>
      <c r="H241" s="7">
        <f>IF('Per Invoice'!$V240="","",'Per Invoice'!M240)</f>
        <v/>
      </c>
      <c r="I241" s="7">
        <f>IF('Per Invoice'!$V240="","",'Per Invoice'!N240)</f>
        <v/>
      </c>
      <c r="J241" s="7">
        <f>IF('Per Invoice'!$V240="","",'Per Invoice'!K240)</f>
        <v/>
      </c>
      <c r="K241" s="7">
        <f>IF('Per Invoice'!$V240="","",'Per Invoice'!T240)</f>
        <v/>
      </c>
      <c r="L241" s="7">
        <f>IF('Per Invoice'!$V240="","",'Per Invoice'!S240)</f>
        <v/>
      </c>
    </row>
    <row r="242">
      <c r="A242">
        <f>IF('Per Invoice'!$V241="","",ROWS($A$3:A242))</f>
        <v/>
      </c>
      <c r="B242" s="11">
        <f>IF('Per Invoice'!$V241="","",'Per Invoice'!E241)</f>
        <v/>
      </c>
      <c r="C242">
        <f>IF('Per Invoice'!$V241="","",'Per Invoice'!G241)</f>
        <v/>
      </c>
      <c r="D242">
        <f>IF('Per Invoice'!$V241="","",'Per Invoice'!H241)</f>
        <v/>
      </c>
      <c r="E242">
        <f>IF('Per Invoice'!$V241="","",'Per Invoice'!F241)</f>
        <v/>
      </c>
      <c r="F242" s="7">
        <f>IF('Per Invoice'!$V241="","",'Per Invoice'!P241)</f>
        <v/>
      </c>
      <c r="G242" s="7">
        <f>IF('Per Invoice'!$V241="","",'Per Invoice'!Q241)</f>
        <v/>
      </c>
      <c r="H242" s="7">
        <f>IF('Per Invoice'!$V241="","",'Per Invoice'!M241)</f>
        <v/>
      </c>
      <c r="I242" s="7">
        <f>IF('Per Invoice'!$V241="","",'Per Invoice'!N241)</f>
        <v/>
      </c>
      <c r="J242" s="7">
        <f>IF('Per Invoice'!$V241="","",'Per Invoice'!K241)</f>
        <v/>
      </c>
      <c r="K242" s="7">
        <f>IF('Per Invoice'!$V241="","",'Per Invoice'!T241)</f>
        <v/>
      </c>
      <c r="L242" s="7">
        <f>IF('Per Invoice'!$V241="","",'Per Invoice'!S241)</f>
        <v/>
      </c>
    </row>
    <row r="243">
      <c r="A243">
        <f>IF('Per Invoice'!$V242="","",ROWS($A$3:A243))</f>
        <v/>
      </c>
      <c r="B243" s="11">
        <f>IF('Per Invoice'!$V242="","",'Per Invoice'!E242)</f>
        <v/>
      </c>
      <c r="C243">
        <f>IF('Per Invoice'!$V242="","",'Per Invoice'!G242)</f>
        <v/>
      </c>
      <c r="D243">
        <f>IF('Per Invoice'!$V242="","",'Per Invoice'!H242)</f>
        <v/>
      </c>
      <c r="E243">
        <f>IF('Per Invoice'!$V242="","",'Per Invoice'!F242)</f>
        <v/>
      </c>
      <c r="F243" s="7">
        <f>IF('Per Invoice'!$V242="","",'Per Invoice'!P242)</f>
        <v/>
      </c>
      <c r="G243" s="7">
        <f>IF('Per Invoice'!$V242="","",'Per Invoice'!Q242)</f>
        <v/>
      </c>
      <c r="H243" s="7">
        <f>IF('Per Invoice'!$V242="","",'Per Invoice'!M242)</f>
        <v/>
      </c>
      <c r="I243" s="7">
        <f>IF('Per Invoice'!$V242="","",'Per Invoice'!N242)</f>
        <v/>
      </c>
      <c r="J243" s="7">
        <f>IF('Per Invoice'!$V242="","",'Per Invoice'!K242)</f>
        <v/>
      </c>
      <c r="K243" s="7">
        <f>IF('Per Invoice'!$V242="","",'Per Invoice'!T242)</f>
        <v/>
      </c>
      <c r="L243" s="7">
        <f>IF('Per Invoice'!$V242="","",'Per Invoice'!S242)</f>
        <v/>
      </c>
    </row>
    <row r="244">
      <c r="A244">
        <f>IF('Per Invoice'!$V243="","",ROWS($A$3:A244))</f>
        <v/>
      </c>
      <c r="B244" s="11">
        <f>IF('Per Invoice'!$V243="","",'Per Invoice'!E243)</f>
        <v/>
      </c>
      <c r="C244">
        <f>IF('Per Invoice'!$V243="","",'Per Invoice'!G243)</f>
        <v/>
      </c>
      <c r="D244">
        <f>IF('Per Invoice'!$V243="","",'Per Invoice'!H243)</f>
        <v/>
      </c>
      <c r="E244">
        <f>IF('Per Invoice'!$V243="","",'Per Invoice'!F243)</f>
        <v/>
      </c>
      <c r="F244" s="7">
        <f>IF('Per Invoice'!$V243="","",'Per Invoice'!P243)</f>
        <v/>
      </c>
      <c r="G244" s="7">
        <f>IF('Per Invoice'!$V243="","",'Per Invoice'!Q243)</f>
        <v/>
      </c>
      <c r="H244" s="7">
        <f>IF('Per Invoice'!$V243="","",'Per Invoice'!M243)</f>
        <v/>
      </c>
      <c r="I244" s="7">
        <f>IF('Per Invoice'!$V243="","",'Per Invoice'!N243)</f>
        <v/>
      </c>
      <c r="J244" s="7">
        <f>IF('Per Invoice'!$V243="","",'Per Invoice'!K243)</f>
        <v/>
      </c>
      <c r="K244" s="7">
        <f>IF('Per Invoice'!$V243="","",'Per Invoice'!T243)</f>
        <v/>
      </c>
      <c r="L244" s="7">
        <f>IF('Per Invoice'!$V243="","",'Per Invoice'!S243)</f>
        <v/>
      </c>
    </row>
    <row r="245">
      <c r="A245">
        <f>IF('Per Invoice'!$V244="","",ROWS($A$3:A245))</f>
        <v/>
      </c>
      <c r="B245" s="11">
        <f>IF('Per Invoice'!$V244="","",'Per Invoice'!E244)</f>
        <v/>
      </c>
      <c r="C245">
        <f>IF('Per Invoice'!$V244="","",'Per Invoice'!G244)</f>
        <v/>
      </c>
      <c r="D245">
        <f>IF('Per Invoice'!$V244="","",'Per Invoice'!H244)</f>
        <v/>
      </c>
      <c r="E245">
        <f>IF('Per Invoice'!$V244="","",'Per Invoice'!F244)</f>
        <v/>
      </c>
      <c r="F245" s="7">
        <f>IF('Per Invoice'!$V244="","",'Per Invoice'!P244)</f>
        <v/>
      </c>
      <c r="G245" s="7">
        <f>IF('Per Invoice'!$V244="","",'Per Invoice'!Q244)</f>
        <v/>
      </c>
      <c r="H245" s="7">
        <f>IF('Per Invoice'!$V244="","",'Per Invoice'!M244)</f>
        <v/>
      </c>
      <c r="I245" s="7">
        <f>IF('Per Invoice'!$V244="","",'Per Invoice'!N244)</f>
        <v/>
      </c>
      <c r="J245" s="7">
        <f>IF('Per Invoice'!$V244="","",'Per Invoice'!K244)</f>
        <v/>
      </c>
      <c r="K245" s="7">
        <f>IF('Per Invoice'!$V244="","",'Per Invoice'!T244)</f>
        <v/>
      </c>
      <c r="L245" s="7">
        <f>IF('Per Invoice'!$V244="","",'Per Invoice'!S244)</f>
        <v/>
      </c>
    </row>
    <row r="246">
      <c r="A246">
        <f>IF('Per Invoice'!$V245="","",ROWS($A$3:A246))</f>
        <v/>
      </c>
      <c r="B246" s="11">
        <f>IF('Per Invoice'!$V245="","",'Per Invoice'!E245)</f>
        <v/>
      </c>
      <c r="C246">
        <f>IF('Per Invoice'!$V245="","",'Per Invoice'!G245)</f>
        <v/>
      </c>
      <c r="D246">
        <f>IF('Per Invoice'!$V245="","",'Per Invoice'!H245)</f>
        <v/>
      </c>
      <c r="E246">
        <f>IF('Per Invoice'!$V245="","",'Per Invoice'!F245)</f>
        <v/>
      </c>
      <c r="F246" s="7">
        <f>IF('Per Invoice'!$V245="","",'Per Invoice'!P245)</f>
        <v/>
      </c>
      <c r="G246" s="7">
        <f>IF('Per Invoice'!$V245="","",'Per Invoice'!Q245)</f>
        <v/>
      </c>
      <c r="H246" s="7">
        <f>IF('Per Invoice'!$V245="","",'Per Invoice'!M245)</f>
        <v/>
      </c>
      <c r="I246" s="7">
        <f>IF('Per Invoice'!$V245="","",'Per Invoice'!N245)</f>
        <v/>
      </c>
      <c r="J246" s="7">
        <f>IF('Per Invoice'!$V245="","",'Per Invoice'!K245)</f>
        <v/>
      </c>
      <c r="K246" s="7">
        <f>IF('Per Invoice'!$V245="","",'Per Invoice'!T245)</f>
        <v/>
      </c>
      <c r="L246" s="7">
        <f>IF('Per Invoice'!$V245="","",'Per Invoice'!S245)</f>
        <v/>
      </c>
    </row>
    <row r="247">
      <c r="A247">
        <f>IF('Per Invoice'!$V246="","",ROWS($A$3:A247))</f>
        <v/>
      </c>
      <c r="B247" s="11">
        <f>IF('Per Invoice'!$V246="","",'Per Invoice'!E246)</f>
        <v/>
      </c>
      <c r="C247">
        <f>IF('Per Invoice'!$V246="","",'Per Invoice'!G246)</f>
        <v/>
      </c>
      <c r="D247">
        <f>IF('Per Invoice'!$V246="","",'Per Invoice'!H246)</f>
        <v/>
      </c>
      <c r="E247">
        <f>IF('Per Invoice'!$V246="","",'Per Invoice'!F246)</f>
        <v/>
      </c>
      <c r="F247" s="7">
        <f>IF('Per Invoice'!$V246="","",'Per Invoice'!P246)</f>
        <v/>
      </c>
      <c r="G247" s="7">
        <f>IF('Per Invoice'!$V246="","",'Per Invoice'!Q246)</f>
        <v/>
      </c>
      <c r="H247" s="7">
        <f>IF('Per Invoice'!$V246="","",'Per Invoice'!M246)</f>
        <v/>
      </c>
      <c r="I247" s="7">
        <f>IF('Per Invoice'!$V246="","",'Per Invoice'!N246)</f>
        <v/>
      </c>
      <c r="J247" s="7">
        <f>IF('Per Invoice'!$V246="","",'Per Invoice'!K246)</f>
        <v/>
      </c>
      <c r="K247" s="7">
        <f>IF('Per Invoice'!$V246="","",'Per Invoice'!T246)</f>
        <v/>
      </c>
      <c r="L247" s="7">
        <f>IF('Per Invoice'!$V246="","",'Per Invoice'!S246)</f>
        <v/>
      </c>
    </row>
    <row r="248">
      <c r="A248">
        <f>IF('Per Invoice'!$V247="","",ROWS($A$3:A248))</f>
        <v/>
      </c>
      <c r="B248" s="11">
        <f>IF('Per Invoice'!$V247="","",'Per Invoice'!E247)</f>
        <v/>
      </c>
      <c r="C248">
        <f>IF('Per Invoice'!$V247="","",'Per Invoice'!G247)</f>
        <v/>
      </c>
      <c r="D248">
        <f>IF('Per Invoice'!$V247="","",'Per Invoice'!H247)</f>
        <v/>
      </c>
      <c r="E248">
        <f>IF('Per Invoice'!$V247="","",'Per Invoice'!F247)</f>
        <v/>
      </c>
      <c r="F248" s="7">
        <f>IF('Per Invoice'!$V247="","",'Per Invoice'!P247)</f>
        <v/>
      </c>
      <c r="G248" s="7">
        <f>IF('Per Invoice'!$V247="","",'Per Invoice'!Q247)</f>
        <v/>
      </c>
      <c r="H248" s="7">
        <f>IF('Per Invoice'!$V247="","",'Per Invoice'!M247)</f>
        <v/>
      </c>
      <c r="I248" s="7">
        <f>IF('Per Invoice'!$V247="","",'Per Invoice'!N247)</f>
        <v/>
      </c>
      <c r="J248" s="7">
        <f>IF('Per Invoice'!$V247="","",'Per Invoice'!K247)</f>
        <v/>
      </c>
      <c r="K248" s="7">
        <f>IF('Per Invoice'!$V247="","",'Per Invoice'!T247)</f>
        <v/>
      </c>
      <c r="L248" s="7">
        <f>IF('Per Invoice'!$V247="","",'Per Invoice'!S247)</f>
        <v/>
      </c>
    </row>
    <row r="249">
      <c r="A249">
        <f>IF('Per Invoice'!$V248="","",ROWS($A$3:A249))</f>
        <v/>
      </c>
      <c r="B249" s="11">
        <f>IF('Per Invoice'!$V248="","",'Per Invoice'!E248)</f>
        <v/>
      </c>
      <c r="C249">
        <f>IF('Per Invoice'!$V248="","",'Per Invoice'!G248)</f>
        <v/>
      </c>
      <c r="D249">
        <f>IF('Per Invoice'!$V248="","",'Per Invoice'!H248)</f>
        <v/>
      </c>
      <c r="E249">
        <f>IF('Per Invoice'!$V248="","",'Per Invoice'!F248)</f>
        <v/>
      </c>
      <c r="F249" s="7">
        <f>IF('Per Invoice'!$V248="","",'Per Invoice'!P248)</f>
        <v/>
      </c>
      <c r="G249" s="7">
        <f>IF('Per Invoice'!$V248="","",'Per Invoice'!Q248)</f>
        <v/>
      </c>
      <c r="H249" s="7">
        <f>IF('Per Invoice'!$V248="","",'Per Invoice'!M248)</f>
        <v/>
      </c>
      <c r="I249" s="7">
        <f>IF('Per Invoice'!$V248="","",'Per Invoice'!N248)</f>
        <v/>
      </c>
      <c r="J249" s="7">
        <f>IF('Per Invoice'!$V248="","",'Per Invoice'!K248)</f>
        <v/>
      </c>
      <c r="K249" s="7">
        <f>IF('Per Invoice'!$V248="","",'Per Invoice'!T248)</f>
        <v/>
      </c>
      <c r="L249" s="7">
        <f>IF('Per Invoice'!$V248="","",'Per Invoice'!S248)</f>
        <v/>
      </c>
    </row>
    <row r="250">
      <c r="A250">
        <f>IF('Per Invoice'!$V249="","",ROWS($A$3:A250))</f>
        <v/>
      </c>
      <c r="B250" s="11">
        <f>IF('Per Invoice'!$V249="","",'Per Invoice'!E249)</f>
        <v/>
      </c>
      <c r="C250">
        <f>IF('Per Invoice'!$V249="","",'Per Invoice'!G249)</f>
        <v/>
      </c>
      <c r="D250">
        <f>IF('Per Invoice'!$V249="","",'Per Invoice'!H249)</f>
        <v/>
      </c>
      <c r="E250">
        <f>IF('Per Invoice'!$V249="","",'Per Invoice'!F249)</f>
        <v/>
      </c>
      <c r="F250" s="7">
        <f>IF('Per Invoice'!$V249="","",'Per Invoice'!P249)</f>
        <v/>
      </c>
      <c r="G250" s="7">
        <f>IF('Per Invoice'!$V249="","",'Per Invoice'!Q249)</f>
        <v/>
      </c>
      <c r="H250" s="7">
        <f>IF('Per Invoice'!$V249="","",'Per Invoice'!M249)</f>
        <v/>
      </c>
      <c r="I250" s="7">
        <f>IF('Per Invoice'!$V249="","",'Per Invoice'!N249)</f>
        <v/>
      </c>
      <c r="J250" s="7">
        <f>IF('Per Invoice'!$V249="","",'Per Invoice'!K249)</f>
        <v/>
      </c>
      <c r="K250" s="7">
        <f>IF('Per Invoice'!$V249="","",'Per Invoice'!T249)</f>
        <v/>
      </c>
      <c r="L250" s="7">
        <f>IF('Per Invoice'!$V249="","",'Per Invoice'!S249)</f>
        <v/>
      </c>
    </row>
    <row r="251">
      <c r="A251">
        <f>IF('Per Invoice'!$V250="","",ROWS($A$3:A251))</f>
        <v/>
      </c>
      <c r="B251" s="11">
        <f>IF('Per Invoice'!$V250="","",'Per Invoice'!E250)</f>
        <v/>
      </c>
      <c r="C251">
        <f>IF('Per Invoice'!$V250="","",'Per Invoice'!G250)</f>
        <v/>
      </c>
      <c r="D251">
        <f>IF('Per Invoice'!$V250="","",'Per Invoice'!H250)</f>
        <v/>
      </c>
      <c r="E251">
        <f>IF('Per Invoice'!$V250="","",'Per Invoice'!F250)</f>
        <v/>
      </c>
      <c r="F251" s="7">
        <f>IF('Per Invoice'!$V250="","",'Per Invoice'!P250)</f>
        <v/>
      </c>
      <c r="G251" s="7">
        <f>IF('Per Invoice'!$V250="","",'Per Invoice'!Q250)</f>
        <v/>
      </c>
      <c r="H251" s="7">
        <f>IF('Per Invoice'!$V250="","",'Per Invoice'!M250)</f>
        <v/>
      </c>
      <c r="I251" s="7">
        <f>IF('Per Invoice'!$V250="","",'Per Invoice'!N250)</f>
        <v/>
      </c>
      <c r="J251" s="7">
        <f>IF('Per Invoice'!$V250="","",'Per Invoice'!K250)</f>
        <v/>
      </c>
      <c r="K251" s="7">
        <f>IF('Per Invoice'!$V250="","",'Per Invoice'!T250)</f>
        <v/>
      </c>
      <c r="L251" s="7">
        <f>IF('Per Invoice'!$V250="","",'Per Invoice'!S250)</f>
        <v/>
      </c>
    </row>
    <row r="252">
      <c r="A252">
        <f>IF('Per Invoice'!$V251="","",ROWS($A$3:A252))</f>
        <v/>
      </c>
      <c r="B252" s="11">
        <f>IF('Per Invoice'!$V251="","",'Per Invoice'!E251)</f>
        <v/>
      </c>
      <c r="C252">
        <f>IF('Per Invoice'!$V251="","",'Per Invoice'!G251)</f>
        <v/>
      </c>
      <c r="D252">
        <f>IF('Per Invoice'!$V251="","",'Per Invoice'!H251)</f>
        <v/>
      </c>
      <c r="E252">
        <f>IF('Per Invoice'!$V251="","",'Per Invoice'!F251)</f>
        <v/>
      </c>
      <c r="F252" s="7">
        <f>IF('Per Invoice'!$V251="","",'Per Invoice'!P251)</f>
        <v/>
      </c>
      <c r="G252" s="7">
        <f>IF('Per Invoice'!$V251="","",'Per Invoice'!Q251)</f>
        <v/>
      </c>
      <c r="H252" s="7">
        <f>IF('Per Invoice'!$V251="","",'Per Invoice'!M251)</f>
        <v/>
      </c>
      <c r="I252" s="7">
        <f>IF('Per Invoice'!$V251="","",'Per Invoice'!N251)</f>
        <v/>
      </c>
      <c r="J252" s="7">
        <f>IF('Per Invoice'!$V251="","",'Per Invoice'!K251)</f>
        <v/>
      </c>
      <c r="K252" s="7">
        <f>IF('Per Invoice'!$V251="","",'Per Invoice'!T251)</f>
        <v/>
      </c>
      <c r="L252" s="7">
        <f>IF('Per Invoice'!$V251="","",'Per Invoice'!S251)</f>
        <v/>
      </c>
    </row>
    <row r="253">
      <c r="A253">
        <f>IF('Per Invoice'!$V252="","",ROWS($A$3:A253))</f>
        <v/>
      </c>
      <c r="B253" s="11">
        <f>IF('Per Invoice'!$V252="","",'Per Invoice'!E252)</f>
        <v/>
      </c>
      <c r="C253">
        <f>IF('Per Invoice'!$V252="","",'Per Invoice'!G252)</f>
        <v/>
      </c>
      <c r="D253">
        <f>IF('Per Invoice'!$V252="","",'Per Invoice'!H252)</f>
        <v/>
      </c>
      <c r="E253">
        <f>IF('Per Invoice'!$V252="","",'Per Invoice'!F252)</f>
        <v/>
      </c>
      <c r="F253" s="7">
        <f>IF('Per Invoice'!$V252="","",'Per Invoice'!P252)</f>
        <v/>
      </c>
      <c r="G253" s="7">
        <f>IF('Per Invoice'!$V252="","",'Per Invoice'!Q252)</f>
        <v/>
      </c>
      <c r="H253" s="7">
        <f>IF('Per Invoice'!$V252="","",'Per Invoice'!M252)</f>
        <v/>
      </c>
      <c r="I253" s="7">
        <f>IF('Per Invoice'!$V252="","",'Per Invoice'!N252)</f>
        <v/>
      </c>
      <c r="J253" s="7">
        <f>IF('Per Invoice'!$V252="","",'Per Invoice'!K252)</f>
        <v/>
      </c>
      <c r="K253" s="7">
        <f>IF('Per Invoice'!$V252="","",'Per Invoice'!T252)</f>
        <v/>
      </c>
      <c r="L253" s="7">
        <f>IF('Per Invoice'!$V252="","",'Per Invoice'!S252)</f>
        <v/>
      </c>
    </row>
    <row r="254">
      <c r="A254">
        <f>IF('Per Invoice'!$V253="","",ROWS($A$3:A254))</f>
        <v/>
      </c>
      <c r="B254" s="11">
        <f>IF('Per Invoice'!$V253="","",'Per Invoice'!E253)</f>
        <v/>
      </c>
      <c r="C254">
        <f>IF('Per Invoice'!$V253="","",'Per Invoice'!G253)</f>
        <v/>
      </c>
      <c r="D254">
        <f>IF('Per Invoice'!$V253="","",'Per Invoice'!H253)</f>
        <v/>
      </c>
      <c r="E254">
        <f>IF('Per Invoice'!$V253="","",'Per Invoice'!F253)</f>
        <v/>
      </c>
      <c r="F254" s="7">
        <f>IF('Per Invoice'!$V253="","",'Per Invoice'!P253)</f>
        <v/>
      </c>
      <c r="G254" s="7">
        <f>IF('Per Invoice'!$V253="","",'Per Invoice'!Q253)</f>
        <v/>
      </c>
      <c r="H254" s="7">
        <f>IF('Per Invoice'!$V253="","",'Per Invoice'!M253)</f>
        <v/>
      </c>
      <c r="I254" s="7">
        <f>IF('Per Invoice'!$V253="","",'Per Invoice'!N253)</f>
        <v/>
      </c>
      <c r="J254" s="7">
        <f>IF('Per Invoice'!$V253="","",'Per Invoice'!K253)</f>
        <v/>
      </c>
      <c r="K254" s="7">
        <f>IF('Per Invoice'!$V253="","",'Per Invoice'!T253)</f>
        <v/>
      </c>
      <c r="L254" s="7">
        <f>IF('Per Invoice'!$V253="","",'Per Invoice'!S253)</f>
        <v/>
      </c>
    </row>
    <row r="255">
      <c r="A255">
        <f>IF('Per Invoice'!$V254="","",ROWS($A$3:A255))</f>
        <v/>
      </c>
      <c r="B255" s="11">
        <f>IF('Per Invoice'!$V254="","",'Per Invoice'!E254)</f>
        <v/>
      </c>
      <c r="C255">
        <f>IF('Per Invoice'!$V254="","",'Per Invoice'!G254)</f>
        <v/>
      </c>
      <c r="D255">
        <f>IF('Per Invoice'!$V254="","",'Per Invoice'!H254)</f>
        <v/>
      </c>
      <c r="E255">
        <f>IF('Per Invoice'!$V254="","",'Per Invoice'!F254)</f>
        <v/>
      </c>
      <c r="F255" s="7">
        <f>IF('Per Invoice'!$V254="","",'Per Invoice'!P254)</f>
        <v/>
      </c>
      <c r="G255" s="7">
        <f>IF('Per Invoice'!$V254="","",'Per Invoice'!Q254)</f>
        <v/>
      </c>
      <c r="H255" s="7">
        <f>IF('Per Invoice'!$V254="","",'Per Invoice'!M254)</f>
        <v/>
      </c>
      <c r="I255" s="7">
        <f>IF('Per Invoice'!$V254="","",'Per Invoice'!N254)</f>
        <v/>
      </c>
      <c r="J255" s="7">
        <f>IF('Per Invoice'!$V254="","",'Per Invoice'!K254)</f>
        <v/>
      </c>
      <c r="K255" s="7">
        <f>IF('Per Invoice'!$V254="","",'Per Invoice'!T254)</f>
        <v/>
      </c>
      <c r="L255" s="7">
        <f>IF('Per Invoice'!$V254="","",'Per Invoice'!S254)</f>
        <v/>
      </c>
    </row>
    <row r="256">
      <c r="A256">
        <f>IF('Per Invoice'!$V255="","",ROWS($A$3:A256))</f>
        <v/>
      </c>
      <c r="B256" s="11">
        <f>IF('Per Invoice'!$V255="","",'Per Invoice'!E255)</f>
        <v/>
      </c>
      <c r="C256">
        <f>IF('Per Invoice'!$V255="","",'Per Invoice'!G255)</f>
        <v/>
      </c>
      <c r="D256">
        <f>IF('Per Invoice'!$V255="","",'Per Invoice'!H255)</f>
        <v/>
      </c>
      <c r="E256">
        <f>IF('Per Invoice'!$V255="","",'Per Invoice'!F255)</f>
        <v/>
      </c>
      <c r="F256" s="7">
        <f>IF('Per Invoice'!$V255="","",'Per Invoice'!P255)</f>
        <v/>
      </c>
      <c r="G256" s="7">
        <f>IF('Per Invoice'!$V255="","",'Per Invoice'!Q255)</f>
        <v/>
      </c>
      <c r="H256" s="7">
        <f>IF('Per Invoice'!$V255="","",'Per Invoice'!M255)</f>
        <v/>
      </c>
      <c r="I256" s="7">
        <f>IF('Per Invoice'!$V255="","",'Per Invoice'!N255)</f>
        <v/>
      </c>
      <c r="J256" s="7">
        <f>IF('Per Invoice'!$V255="","",'Per Invoice'!K255)</f>
        <v/>
      </c>
      <c r="K256" s="7">
        <f>IF('Per Invoice'!$V255="","",'Per Invoice'!T255)</f>
        <v/>
      </c>
      <c r="L256" s="7">
        <f>IF('Per Invoice'!$V255="","",'Per Invoice'!S255)</f>
        <v/>
      </c>
    </row>
    <row r="257">
      <c r="A257">
        <f>IF('Per Invoice'!$V256="","",ROWS($A$3:A257))</f>
        <v/>
      </c>
      <c r="B257" s="11">
        <f>IF('Per Invoice'!$V256="","",'Per Invoice'!E256)</f>
        <v/>
      </c>
      <c r="C257">
        <f>IF('Per Invoice'!$V256="","",'Per Invoice'!G256)</f>
        <v/>
      </c>
      <c r="D257">
        <f>IF('Per Invoice'!$V256="","",'Per Invoice'!H256)</f>
        <v/>
      </c>
      <c r="E257">
        <f>IF('Per Invoice'!$V256="","",'Per Invoice'!F256)</f>
        <v/>
      </c>
      <c r="F257" s="7">
        <f>IF('Per Invoice'!$V256="","",'Per Invoice'!P256)</f>
        <v/>
      </c>
      <c r="G257" s="7">
        <f>IF('Per Invoice'!$V256="","",'Per Invoice'!Q256)</f>
        <v/>
      </c>
      <c r="H257" s="7">
        <f>IF('Per Invoice'!$V256="","",'Per Invoice'!M256)</f>
        <v/>
      </c>
      <c r="I257" s="7">
        <f>IF('Per Invoice'!$V256="","",'Per Invoice'!N256)</f>
        <v/>
      </c>
      <c r="J257" s="7">
        <f>IF('Per Invoice'!$V256="","",'Per Invoice'!K256)</f>
        <v/>
      </c>
      <c r="K257" s="7">
        <f>IF('Per Invoice'!$V256="","",'Per Invoice'!T256)</f>
        <v/>
      </c>
      <c r="L257" s="7">
        <f>IF('Per Invoice'!$V256="","",'Per Invoice'!S256)</f>
        <v/>
      </c>
    </row>
    <row r="258">
      <c r="A258">
        <f>IF('Per Invoice'!$V257="","",ROWS($A$3:A258))</f>
        <v/>
      </c>
      <c r="B258" s="11">
        <f>IF('Per Invoice'!$V257="","",'Per Invoice'!E257)</f>
        <v/>
      </c>
      <c r="C258">
        <f>IF('Per Invoice'!$V257="","",'Per Invoice'!G257)</f>
        <v/>
      </c>
      <c r="D258">
        <f>IF('Per Invoice'!$V257="","",'Per Invoice'!H257)</f>
        <v/>
      </c>
      <c r="E258">
        <f>IF('Per Invoice'!$V257="","",'Per Invoice'!F257)</f>
        <v/>
      </c>
      <c r="F258" s="7">
        <f>IF('Per Invoice'!$V257="","",'Per Invoice'!P257)</f>
        <v/>
      </c>
      <c r="G258" s="7">
        <f>IF('Per Invoice'!$V257="","",'Per Invoice'!Q257)</f>
        <v/>
      </c>
      <c r="H258" s="7">
        <f>IF('Per Invoice'!$V257="","",'Per Invoice'!M257)</f>
        <v/>
      </c>
      <c r="I258" s="7">
        <f>IF('Per Invoice'!$V257="","",'Per Invoice'!N257)</f>
        <v/>
      </c>
      <c r="J258" s="7">
        <f>IF('Per Invoice'!$V257="","",'Per Invoice'!K257)</f>
        <v/>
      </c>
      <c r="K258" s="7">
        <f>IF('Per Invoice'!$V257="","",'Per Invoice'!T257)</f>
        <v/>
      </c>
      <c r="L258" s="7">
        <f>IF('Per Invoice'!$V257="","",'Per Invoice'!S257)</f>
        <v/>
      </c>
    </row>
    <row r="259">
      <c r="A259">
        <f>IF('Per Invoice'!$V258="","",ROWS($A$3:A259))</f>
        <v/>
      </c>
      <c r="B259" s="11">
        <f>IF('Per Invoice'!$V258="","",'Per Invoice'!E258)</f>
        <v/>
      </c>
      <c r="C259">
        <f>IF('Per Invoice'!$V258="","",'Per Invoice'!G258)</f>
        <v/>
      </c>
      <c r="D259">
        <f>IF('Per Invoice'!$V258="","",'Per Invoice'!H258)</f>
        <v/>
      </c>
      <c r="E259">
        <f>IF('Per Invoice'!$V258="","",'Per Invoice'!F258)</f>
        <v/>
      </c>
      <c r="F259" s="7">
        <f>IF('Per Invoice'!$V258="","",'Per Invoice'!P258)</f>
        <v/>
      </c>
      <c r="G259" s="7">
        <f>IF('Per Invoice'!$V258="","",'Per Invoice'!Q258)</f>
        <v/>
      </c>
      <c r="H259" s="7">
        <f>IF('Per Invoice'!$V258="","",'Per Invoice'!M258)</f>
        <v/>
      </c>
      <c r="I259" s="7">
        <f>IF('Per Invoice'!$V258="","",'Per Invoice'!N258)</f>
        <v/>
      </c>
      <c r="J259" s="7">
        <f>IF('Per Invoice'!$V258="","",'Per Invoice'!K258)</f>
        <v/>
      </c>
      <c r="K259" s="7">
        <f>IF('Per Invoice'!$V258="","",'Per Invoice'!T258)</f>
        <v/>
      </c>
      <c r="L259" s="7">
        <f>IF('Per Invoice'!$V258="","",'Per Invoice'!S258)</f>
        <v/>
      </c>
    </row>
    <row r="260">
      <c r="A260">
        <f>IF('Per Invoice'!$V259="","",ROWS($A$3:A260))</f>
        <v/>
      </c>
      <c r="B260" s="11">
        <f>IF('Per Invoice'!$V259="","",'Per Invoice'!E259)</f>
        <v/>
      </c>
      <c r="C260">
        <f>IF('Per Invoice'!$V259="","",'Per Invoice'!G259)</f>
        <v/>
      </c>
      <c r="D260">
        <f>IF('Per Invoice'!$V259="","",'Per Invoice'!H259)</f>
        <v/>
      </c>
      <c r="E260">
        <f>IF('Per Invoice'!$V259="","",'Per Invoice'!F259)</f>
        <v/>
      </c>
      <c r="F260" s="7">
        <f>IF('Per Invoice'!$V259="","",'Per Invoice'!P259)</f>
        <v/>
      </c>
      <c r="G260" s="7">
        <f>IF('Per Invoice'!$V259="","",'Per Invoice'!Q259)</f>
        <v/>
      </c>
      <c r="H260" s="7">
        <f>IF('Per Invoice'!$V259="","",'Per Invoice'!M259)</f>
        <v/>
      </c>
      <c r="I260" s="7">
        <f>IF('Per Invoice'!$V259="","",'Per Invoice'!N259)</f>
        <v/>
      </c>
      <c r="J260" s="7">
        <f>IF('Per Invoice'!$V259="","",'Per Invoice'!K259)</f>
        <v/>
      </c>
      <c r="K260" s="7">
        <f>IF('Per Invoice'!$V259="","",'Per Invoice'!T259)</f>
        <v/>
      </c>
      <c r="L260" s="7">
        <f>IF('Per Invoice'!$V259="","",'Per Invoice'!S259)</f>
        <v/>
      </c>
    </row>
    <row r="261">
      <c r="A261">
        <f>IF('Per Invoice'!$V260="","",ROWS($A$3:A261))</f>
        <v/>
      </c>
      <c r="B261" s="11">
        <f>IF('Per Invoice'!$V260="","",'Per Invoice'!E260)</f>
        <v/>
      </c>
      <c r="C261">
        <f>IF('Per Invoice'!$V260="","",'Per Invoice'!G260)</f>
        <v/>
      </c>
      <c r="D261">
        <f>IF('Per Invoice'!$V260="","",'Per Invoice'!H260)</f>
        <v/>
      </c>
      <c r="E261">
        <f>IF('Per Invoice'!$V260="","",'Per Invoice'!F260)</f>
        <v/>
      </c>
      <c r="F261" s="7">
        <f>IF('Per Invoice'!$V260="","",'Per Invoice'!P260)</f>
        <v/>
      </c>
      <c r="G261" s="7">
        <f>IF('Per Invoice'!$V260="","",'Per Invoice'!Q260)</f>
        <v/>
      </c>
      <c r="H261" s="7">
        <f>IF('Per Invoice'!$V260="","",'Per Invoice'!M260)</f>
        <v/>
      </c>
      <c r="I261" s="7">
        <f>IF('Per Invoice'!$V260="","",'Per Invoice'!N260)</f>
        <v/>
      </c>
      <c r="J261" s="7">
        <f>IF('Per Invoice'!$V260="","",'Per Invoice'!K260)</f>
        <v/>
      </c>
      <c r="K261" s="7">
        <f>IF('Per Invoice'!$V260="","",'Per Invoice'!T260)</f>
        <v/>
      </c>
      <c r="L261" s="7">
        <f>IF('Per Invoice'!$V260="","",'Per Invoice'!S260)</f>
        <v/>
      </c>
    </row>
    <row r="262">
      <c r="A262">
        <f>IF('Per Invoice'!$V261="","",ROWS($A$3:A262))</f>
        <v/>
      </c>
      <c r="B262" s="11">
        <f>IF('Per Invoice'!$V261="","",'Per Invoice'!E261)</f>
        <v/>
      </c>
      <c r="C262">
        <f>IF('Per Invoice'!$V261="","",'Per Invoice'!G261)</f>
        <v/>
      </c>
      <c r="D262">
        <f>IF('Per Invoice'!$V261="","",'Per Invoice'!H261)</f>
        <v/>
      </c>
      <c r="E262">
        <f>IF('Per Invoice'!$V261="","",'Per Invoice'!F261)</f>
        <v/>
      </c>
      <c r="F262" s="7">
        <f>IF('Per Invoice'!$V261="","",'Per Invoice'!P261)</f>
        <v/>
      </c>
      <c r="G262" s="7">
        <f>IF('Per Invoice'!$V261="","",'Per Invoice'!Q261)</f>
        <v/>
      </c>
      <c r="H262" s="7">
        <f>IF('Per Invoice'!$V261="","",'Per Invoice'!M261)</f>
        <v/>
      </c>
      <c r="I262" s="7">
        <f>IF('Per Invoice'!$V261="","",'Per Invoice'!N261)</f>
        <v/>
      </c>
      <c r="J262" s="7">
        <f>IF('Per Invoice'!$V261="","",'Per Invoice'!K261)</f>
        <v/>
      </c>
      <c r="K262" s="7">
        <f>IF('Per Invoice'!$V261="","",'Per Invoice'!T261)</f>
        <v/>
      </c>
      <c r="L262" s="7">
        <f>IF('Per Invoice'!$V261="","",'Per Invoice'!S261)</f>
        <v/>
      </c>
    </row>
    <row r="263">
      <c r="A263">
        <f>IF('Per Invoice'!$V262="","",ROWS($A$3:A263))</f>
        <v/>
      </c>
      <c r="B263" s="11">
        <f>IF('Per Invoice'!$V262="","",'Per Invoice'!E262)</f>
        <v/>
      </c>
      <c r="C263">
        <f>IF('Per Invoice'!$V262="","",'Per Invoice'!G262)</f>
        <v/>
      </c>
      <c r="D263">
        <f>IF('Per Invoice'!$V262="","",'Per Invoice'!H262)</f>
        <v/>
      </c>
      <c r="E263">
        <f>IF('Per Invoice'!$V262="","",'Per Invoice'!F262)</f>
        <v/>
      </c>
      <c r="F263" s="7">
        <f>IF('Per Invoice'!$V262="","",'Per Invoice'!P262)</f>
        <v/>
      </c>
      <c r="G263" s="7">
        <f>IF('Per Invoice'!$V262="","",'Per Invoice'!Q262)</f>
        <v/>
      </c>
      <c r="H263" s="7">
        <f>IF('Per Invoice'!$V262="","",'Per Invoice'!M262)</f>
        <v/>
      </c>
      <c r="I263" s="7">
        <f>IF('Per Invoice'!$V262="","",'Per Invoice'!N262)</f>
        <v/>
      </c>
      <c r="J263" s="7">
        <f>IF('Per Invoice'!$V262="","",'Per Invoice'!K262)</f>
        <v/>
      </c>
      <c r="K263" s="7">
        <f>IF('Per Invoice'!$V262="","",'Per Invoice'!T262)</f>
        <v/>
      </c>
      <c r="L263" s="7">
        <f>IF('Per Invoice'!$V262="","",'Per Invoice'!S262)</f>
        <v/>
      </c>
    </row>
    <row r="264">
      <c r="A264">
        <f>IF('Per Invoice'!$V263="","",ROWS($A$3:A264))</f>
        <v/>
      </c>
      <c r="B264" s="11">
        <f>IF('Per Invoice'!$V263="","",'Per Invoice'!E263)</f>
        <v/>
      </c>
      <c r="C264">
        <f>IF('Per Invoice'!$V263="","",'Per Invoice'!G263)</f>
        <v/>
      </c>
      <c r="D264">
        <f>IF('Per Invoice'!$V263="","",'Per Invoice'!H263)</f>
        <v/>
      </c>
      <c r="E264">
        <f>IF('Per Invoice'!$V263="","",'Per Invoice'!F263)</f>
        <v/>
      </c>
      <c r="F264" s="7">
        <f>IF('Per Invoice'!$V263="","",'Per Invoice'!P263)</f>
        <v/>
      </c>
      <c r="G264" s="7">
        <f>IF('Per Invoice'!$V263="","",'Per Invoice'!Q263)</f>
        <v/>
      </c>
      <c r="H264" s="7">
        <f>IF('Per Invoice'!$V263="","",'Per Invoice'!M263)</f>
        <v/>
      </c>
      <c r="I264" s="7">
        <f>IF('Per Invoice'!$V263="","",'Per Invoice'!N263)</f>
        <v/>
      </c>
      <c r="J264" s="7">
        <f>IF('Per Invoice'!$V263="","",'Per Invoice'!K263)</f>
        <v/>
      </c>
      <c r="K264" s="7">
        <f>IF('Per Invoice'!$V263="","",'Per Invoice'!T263)</f>
        <v/>
      </c>
      <c r="L264" s="7">
        <f>IF('Per Invoice'!$V263="","",'Per Invoice'!S263)</f>
        <v/>
      </c>
    </row>
    <row r="265">
      <c r="A265">
        <f>IF('Per Invoice'!$V264="","",ROWS($A$3:A265))</f>
        <v/>
      </c>
      <c r="B265" s="11">
        <f>IF('Per Invoice'!$V264="","",'Per Invoice'!E264)</f>
        <v/>
      </c>
      <c r="C265">
        <f>IF('Per Invoice'!$V264="","",'Per Invoice'!G264)</f>
        <v/>
      </c>
      <c r="D265">
        <f>IF('Per Invoice'!$V264="","",'Per Invoice'!H264)</f>
        <v/>
      </c>
      <c r="E265">
        <f>IF('Per Invoice'!$V264="","",'Per Invoice'!F264)</f>
        <v/>
      </c>
      <c r="F265" s="7">
        <f>IF('Per Invoice'!$V264="","",'Per Invoice'!P264)</f>
        <v/>
      </c>
      <c r="G265" s="7">
        <f>IF('Per Invoice'!$V264="","",'Per Invoice'!Q264)</f>
        <v/>
      </c>
      <c r="H265" s="7">
        <f>IF('Per Invoice'!$V264="","",'Per Invoice'!M264)</f>
        <v/>
      </c>
      <c r="I265" s="7">
        <f>IF('Per Invoice'!$V264="","",'Per Invoice'!N264)</f>
        <v/>
      </c>
      <c r="J265" s="7">
        <f>IF('Per Invoice'!$V264="","",'Per Invoice'!K264)</f>
        <v/>
      </c>
      <c r="K265" s="7">
        <f>IF('Per Invoice'!$V264="","",'Per Invoice'!T264)</f>
        <v/>
      </c>
      <c r="L265" s="7">
        <f>IF('Per Invoice'!$V264="","",'Per Invoice'!S264)</f>
        <v/>
      </c>
    </row>
    <row r="266">
      <c r="A266">
        <f>IF('Per Invoice'!$V265="","",ROWS($A$3:A266))</f>
        <v/>
      </c>
      <c r="B266" s="11">
        <f>IF('Per Invoice'!$V265="","",'Per Invoice'!E265)</f>
        <v/>
      </c>
      <c r="C266">
        <f>IF('Per Invoice'!$V265="","",'Per Invoice'!G265)</f>
        <v/>
      </c>
      <c r="D266">
        <f>IF('Per Invoice'!$V265="","",'Per Invoice'!H265)</f>
        <v/>
      </c>
      <c r="E266">
        <f>IF('Per Invoice'!$V265="","",'Per Invoice'!F265)</f>
        <v/>
      </c>
      <c r="F266" s="7">
        <f>IF('Per Invoice'!$V265="","",'Per Invoice'!P265)</f>
        <v/>
      </c>
      <c r="G266" s="7">
        <f>IF('Per Invoice'!$V265="","",'Per Invoice'!Q265)</f>
        <v/>
      </c>
      <c r="H266" s="7">
        <f>IF('Per Invoice'!$V265="","",'Per Invoice'!M265)</f>
        <v/>
      </c>
      <c r="I266" s="7">
        <f>IF('Per Invoice'!$V265="","",'Per Invoice'!N265)</f>
        <v/>
      </c>
      <c r="J266" s="7">
        <f>IF('Per Invoice'!$V265="","",'Per Invoice'!K265)</f>
        <v/>
      </c>
      <c r="K266" s="7">
        <f>IF('Per Invoice'!$V265="","",'Per Invoice'!T265)</f>
        <v/>
      </c>
      <c r="L266" s="7">
        <f>IF('Per Invoice'!$V265="","",'Per Invoice'!S265)</f>
        <v/>
      </c>
    </row>
    <row r="267">
      <c r="A267">
        <f>IF('Per Invoice'!$V266="","",ROWS($A$3:A267))</f>
        <v/>
      </c>
      <c r="B267" s="11">
        <f>IF('Per Invoice'!$V266="","",'Per Invoice'!E266)</f>
        <v/>
      </c>
      <c r="C267">
        <f>IF('Per Invoice'!$V266="","",'Per Invoice'!G266)</f>
        <v/>
      </c>
      <c r="D267">
        <f>IF('Per Invoice'!$V266="","",'Per Invoice'!H266)</f>
        <v/>
      </c>
      <c r="E267">
        <f>IF('Per Invoice'!$V266="","",'Per Invoice'!F266)</f>
        <v/>
      </c>
      <c r="F267" s="7">
        <f>IF('Per Invoice'!$V266="","",'Per Invoice'!P266)</f>
        <v/>
      </c>
      <c r="G267" s="7">
        <f>IF('Per Invoice'!$V266="","",'Per Invoice'!Q266)</f>
        <v/>
      </c>
      <c r="H267" s="7">
        <f>IF('Per Invoice'!$V266="","",'Per Invoice'!M266)</f>
        <v/>
      </c>
      <c r="I267" s="7">
        <f>IF('Per Invoice'!$V266="","",'Per Invoice'!N266)</f>
        <v/>
      </c>
      <c r="J267" s="7">
        <f>IF('Per Invoice'!$V266="","",'Per Invoice'!K266)</f>
        <v/>
      </c>
      <c r="K267" s="7">
        <f>IF('Per Invoice'!$V266="","",'Per Invoice'!T266)</f>
        <v/>
      </c>
      <c r="L267" s="7">
        <f>IF('Per Invoice'!$V266="","",'Per Invoice'!S266)</f>
        <v/>
      </c>
    </row>
    <row r="268">
      <c r="A268">
        <f>IF('Per Invoice'!$V267="","",ROWS($A$3:A268))</f>
        <v/>
      </c>
      <c r="B268" s="11">
        <f>IF('Per Invoice'!$V267="","",'Per Invoice'!E267)</f>
        <v/>
      </c>
      <c r="C268">
        <f>IF('Per Invoice'!$V267="","",'Per Invoice'!G267)</f>
        <v/>
      </c>
      <c r="D268">
        <f>IF('Per Invoice'!$V267="","",'Per Invoice'!H267)</f>
        <v/>
      </c>
      <c r="E268">
        <f>IF('Per Invoice'!$V267="","",'Per Invoice'!F267)</f>
        <v/>
      </c>
      <c r="F268" s="7">
        <f>IF('Per Invoice'!$V267="","",'Per Invoice'!P267)</f>
        <v/>
      </c>
      <c r="G268" s="7">
        <f>IF('Per Invoice'!$V267="","",'Per Invoice'!Q267)</f>
        <v/>
      </c>
      <c r="H268" s="7">
        <f>IF('Per Invoice'!$V267="","",'Per Invoice'!M267)</f>
        <v/>
      </c>
      <c r="I268" s="7">
        <f>IF('Per Invoice'!$V267="","",'Per Invoice'!N267)</f>
        <v/>
      </c>
      <c r="J268" s="7">
        <f>IF('Per Invoice'!$V267="","",'Per Invoice'!K267)</f>
        <v/>
      </c>
      <c r="K268" s="7">
        <f>IF('Per Invoice'!$V267="","",'Per Invoice'!T267)</f>
        <v/>
      </c>
      <c r="L268" s="7">
        <f>IF('Per Invoice'!$V267="","",'Per Invoice'!S267)</f>
        <v/>
      </c>
    </row>
    <row r="269">
      <c r="A269">
        <f>IF('Per Invoice'!$V268="","",ROWS($A$3:A269))</f>
        <v/>
      </c>
      <c r="B269" s="11">
        <f>IF('Per Invoice'!$V268="","",'Per Invoice'!E268)</f>
        <v/>
      </c>
      <c r="C269">
        <f>IF('Per Invoice'!$V268="","",'Per Invoice'!G268)</f>
        <v/>
      </c>
      <c r="D269">
        <f>IF('Per Invoice'!$V268="","",'Per Invoice'!H268)</f>
        <v/>
      </c>
      <c r="E269">
        <f>IF('Per Invoice'!$V268="","",'Per Invoice'!F268)</f>
        <v/>
      </c>
      <c r="F269" s="7">
        <f>IF('Per Invoice'!$V268="","",'Per Invoice'!P268)</f>
        <v/>
      </c>
      <c r="G269" s="7">
        <f>IF('Per Invoice'!$V268="","",'Per Invoice'!Q268)</f>
        <v/>
      </c>
      <c r="H269" s="7">
        <f>IF('Per Invoice'!$V268="","",'Per Invoice'!M268)</f>
        <v/>
      </c>
      <c r="I269" s="7">
        <f>IF('Per Invoice'!$V268="","",'Per Invoice'!N268)</f>
        <v/>
      </c>
      <c r="J269" s="7">
        <f>IF('Per Invoice'!$V268="","",'Per Invoice'!K268)</f>
        <v/>
      </c>
      <c r="K269" s="7">
        <f>IF('Per Invoice'!$V268="","",'Per Invoice'!T268)</f>
        <v/>
      </c>
      <c r="L269" s="7">
        <f>IF('Per Invoice'!$V268="","",'Per Invoice'!S268)</f>
        <v/>
      </c>
    </row>
    <row r="270">
      <c r="A270">
        <f>IF('Per Invoice'!$V269="","",ROWS($A$3:A270))</f>
        <v/>
      </c>
      <c r="B270" s="11">
        <f>IF('Per Invoice'!$V269="","",'Per Invoice'!E269)</f>
        <v/>
      </c>
      <c r="C270">
        <f>IF('Per Invoice'!$V269="","",'Per Invoice'!G269)</f>
        <v/>
      </c>
      <c r="D270">
        <f>IF('Per Invoice'!$V269="","",'Per Invoice'!H269)</f>
        <v/>
      </c>
      <c r="E270">
        <f>IF('Per Invoice'!$V269="","",'Per Invoice'!F269)</f>
        <v/>
      </c>
      <c r="F270" s="7">
        <f>IF('Per Invoice'!$V269="","",'Per Invoice'!P269)</f>
        <v/>
      </c>
      <c r="G270" s="7">
        <f>IF('Per Invoice'!$V269="","",'Per Invoice'!Q269)</f>
        <v/>
      </c>
      <c r="H270" s="7">
        <f>IF('Per Invoice'!$V269="","",'Per Invoice'!M269)</f>
        <v/>
      </c>
      <c r="I270" s="7">
        <f>IF('Per Invoice'!$V269="","",'Per Invoice'!N269)</f>
        <v/>
      </c>
      <c r="J270" s="7">
        <f>IF('Per Invoice'!$V269="","",'Per Invoice'!K269)</f>
        <v/>
      </c>
      <c r="K270" s="7">
        <f>IF('Per Invoice'!$V269="","",'Per Invoice'!T269)</f>
        <v/>
      </c>
      <c r="L270" s="7">
        <f>IF('Per Invoice'!$V269="","",'Per Invoice'!S269)</f>
        <v/>
      </c>
    </row>
    <row r="271">
      <c r="A271">
        <f>IF('Per Invoice'!$V270="","",ROWS($A$3:A271))</f>
        <v/>
      </c>
      <c r="B271" s="11">
        <f>IF('Per Invoice'!$V270="","",'Per Invoice'!E270)</f>
        <v/>
      </c>
      <c r="C271">
        <f>IF('Per Invoice'!$V270="","",'Per Invoice'!G270)</f>
        <v/>
      </c>
      <c r="D271">
        <f>IF('Per Invoice'!$V270="","",'Per Invoice'!H270)</f>
        <v/>
      </c>
      <c r="E271">
        <f>IF('Per Invoice'!$V270="","",'Per Invoice'!F270)</f>
        <v/>
      </c>
      <c r="F271" s="7">
        <f>IF('Per Invoice'!$V270="","",'Per Invoice'!P270)</f>
        <v/>
      </c>
      <c r="G271" s="7">
        <f>IF('Per Invoice'!$V270="","",'Per Invoice'!Q270)</f>
        <v/>
      </c>
      <c r="H271" s="7">
        <f>IF('Per Invoice'!$V270="","",'Per Invoice'!M270)</f>
        <v/>
      </c>
      <c r="I271" s="7">
        <f>IF('Per Invoice'!$V270="","",'Per Invoice'!N270)</f>
        <v/>
      </c>
      <c r="J271" s="7">
        <f>IF('Per Invoice'!$V270="","",'Per Invoice'!K270)</f>
        <v/>
      </c>
      <c r="K271" s="7">
        <f>IF('Per Invoice'!$V270="","",'Per Invoice'!T270)</f>
        <v/>
      </c>
      <c r="L271" s="7">
        <f>IF('Per Invoice'!$V270="","",'Per Invoice'!S270)</f>
        <v/>
      </c>
    </row>
    <row r="272">
      <c r="A272">
        <f>IF('Per Invoice'!$V271="","",ROWS($A$3:A272))</f>
        <v/>
      </c>
      <c r="B272" s="11">
        <f>IF('Per Invoice'!$V271="","",'Per Invoice'!E271)</f>
        <v/>
      </c>
      <c r="C272">
        <f>IF('Per Invoice'!$V271="","",'Per Invoice'!G271)</f>
        <v/>
      </c>
      <c r="D272">
        <f>IF('Per Invoice'!$V271="","",'Per Invoice'!H271)</f>
        <v/>
      </c>
      <c r="E272">
        <f>IF('Per Invoice'!$V271="","",'Per Invoice'!F271)</f>
        <v/>
      </c>
      <c r="F272" s="7">
        <f>IF('Per Invoice'!$V271="","",'Per Invoice'!P271)</f>
        <v/>
      </c>
      <c r="G272" s="7">
        <f>IF('Per Invoice'!$V271="","",'Per Invoice'!Q271)</f>
        <v/>
      </c>
      <c r="H272" s="7">
        <f>IF('Per Invoice'!$V271="","",'Per Invoice'!M271)</f>
        <v/>
      </c>
      <c r="I272" s="7">
        <f>IF('Per Invoice'!$V271="","",'Per Invoice'!N271)</f>
        <v/>
      </c>
      <c r="J272" s="7">
        <f>IF('Per Invoice'!$V271="","",'Per Invoice'!K271)</f>
        <v/>
      </c>
      <c r="K272" s="7">
        <f>IF('Per Invoice'!$V271="","",'Per Invoice'!T271)</f>
        <v/>
      </c>
      <c r="L272" s="7">
        <f>IF('Per Invoice'!$V271="","",'Per Invoice'!S271)</f>
        <v/>
      </c>
    </row>
    <row r="273">
      <c r="A273">
        <f>IF('Per Invoice'!$V272="","",ROWS($A$3:A273))</f>
        <v/>
      </c>
      <c r="B273" s="11">
        <f>IF('Per Invoice'!$V272="","",'Per Invoice'!E272)</f>
        <v/>
      </c>
      <c r="C273">
        <f>IF('Per Invoice'!$V272="","",'Per Invoice'!G272)</f>
        <v/>
      </c>
      <c r="D273">
        <f>IF('Per Invoice'!$V272="","",'Per Invoice'!H272)</f>
        <v/>
      </c>
      <c r="E273">
        <f>IF('Per Invoice'!$V272="","",'Per Invoice'!F272)</f>
        <v/>
      </c>
      <c r="F273" s="7">
        <f>IF('Per Invoice'!$V272="","",'Per Invoice'!P272)</f>
        <v/>
      </c>
      <c r="G273" s="7">
        <f>IF('Per Invoice'!$V272="","",'Per Invoice'!Q272)</f>
        <v/>
      </c>
      <c r="H273" s="7">
        <f>IF('Per Invoice'!$V272="","",'Per Invoice'!M272)</f>
        <v/>
      </c>
      <c r="I273" s="7">
        <f>IF('Per Invoice'!$V272="","",'Per Invoice'!N272)</f>
        <v/>
      </c>
      <c r="J273" s="7">
        <f>IF('Per Invoice'!$V272="","",'Per Invoice'!K272)</f>
        <v/>
      </c>
      <c r="K273" s="7">
        <f>IF('Per Invoice'!$V272="","",'Per Invoice'!T272)</f>
        <v/>
      </c>
      <c r="L273" s="7">
        <f>IF('Per Invoice'!$V272="","",'Per Invoice'!S272)</f>
        <v/>
      </c>
    </row>
    <row r="274">
      <c r="A274">
        <f>IF('Per Invoice'!$V273="","",ROWS($A$3:A274))</f>
        <v/>
      </c>
      <c r="B274" s="11">
        <f>IF('Per Invoice'!$V273="","",'Per Invoice'!E273)</f>
        <v/>
      </c>
      <c r="C274">
        <f>IF('Per Invoice'!$V273="","",'Per Invoice'!G273)</f>
        <v/>
      </c>
      <c r="D274">
        <f>IF('Per Invoice'!$V273="","",'Per Invoice'!H273)</f>
        <v/>
      </c>
      <c r="E274">
        <f>IF('Per Invoice'!$V273="","",'Per Invoice'!F273)</f>
        <v/>
      </c>
      <c r="F274" s="7">
        <f>IF('Per Invoice'!$V273="","",'Per Invoice'!P273)</f>
        <v/>
      </c>
      <c r="G274" s="7">
        <f>IF('Per Invoice'!$V273="","",'Per Invoice'!Q273)</f>
        <v/>
      </c>
      <c r="H274" s="7">
        <f>IF('Per Invoice'!$V273="","",'Per Invoice'!M273)</f>
        <v/>
      </c>
      <c r="I274" s="7">
        <f>IF('Per Invoice'!$V273="","",'Per Invoice'!N273)</f>
        <v/>
      </c>
      <c r="J274" s="7">
        <f>IF('Per Invoice'!$V273="","",'Per Invoice'!K273)</f>
        <v/>
      </c>
      <c r="K274" s="7">
        <f>IF('Per Invoice'!$V273="","",'Per Invoice'!T273)</f>
        <v/>
      </c>
      <c r="L274" s="7">
        <f>IF('Per Invoice'!$V273="","",'Per Invoice'!S273)</f>
        <v/>
      </c>
    </row>
    <row r="275">
      <c r="A275">
        <f>IF('Per Invoice'!$V274="","",ROWS($A$3:A275))</f>
        <v/>
      </c>
      <c r="B275" s="11">
        <f>IF('Per Invoice'!$V274="","",'Per Invoice'!E274)</f>
        <v/>
      </c>
      <c r="C275">
        <f>IF('Per Invoice'!$V274="","",'Per Invoice'!G274)</f>
        <v/>
      </c>
      <c r="D275">
        <f>IF('Per Invoice'!$V274="","",'Per Invoice'!H274)</f>
        <v/>
      </c>
      <c r="E275">
        <f>IF('Per Invoice'!$V274="","",'Per Invoice'!F274)</f>
        <v/>
      </c>
      <c r="F275" s="7">
        <f>IF('Per Invoice'!$V274="","",'Per Invoice'!P274)</f>
        <v/>
      </c>
      <c r="G275" s="7">
        <f>IF('Per Invoice'!$V274="","",'Per Invoice'!Q274)</f>
        <v/>
      </c>
      <c r="H275" s="7">
        <f>IF('Per Invoice'!$V274="","",'Per Invoice'!M274)</f>
        <v/>
      </c>
      <c r="I275" s="7">
        <f>IF('Per Invoice'!$V274="","",'Per Invoice'!N274)</f>
        <v/>
      </c>
      <c r="J275" s="7">
        <f>IF('Per Invoice'!$V274="","",'Per Invoice'!K274)</f>
        <v/>
      </c>
      <c r="K275" s="7">
        <f>IF('Per Invoice'!$V274="","",'Per Invoice'!T274)</f>
        <v/>
      </c>
      <c r="L275" s="7">
        <f>IF('Per Invoice'!$V274="","",'Per Invoice'!S274)</f>
        <v/>
      </c>
    </row>
    <row r="276">
      <c r="A276">
        <f>IF('Per Invoice'!$V275="","",ROWS($A$3:A276))</f>
        <v/>
      </c>
      <c r="B276" s="11">
        <f>IF('Per Invoice'!$V275="","",'Per Invoice'!E275)</f>
        <v/>
      </c>
      <c r="C276">
        <f>IF('Per Invoice'!$V275="","",'Per Invoice'!G275)</f>
        <v/>
      </c>
      <c r="D276">
        <f>IF('Per Invoice'!$V275="","",'Per Invoice'!H275)</f>
        <v/>
      </c>
      <c r="E276">
        <f>IF('Per Invoice'!$V275="","",'Per Invoice'!F275)</f>
        <v/>
      </c>
      <c r="F276" s="7">
        <f>IF('Per Invoice'!$V275="","",'Per Invoice'!P275)</f>
        <v/>
      </c>
      <c r="G276" s="7">
        <f>IF('Per Invoice'!$V275="","",'Per Invoice'!Q275)</f>
        <v/>
      </c>
      <c r="H276" s="7">
        <f>IF('Per Invoice'!$V275="","",'Per Invoice'!M275)</f>
        <v/>
      </c>
      <c r="I276" s="7">
        <f>IF('Per Invoice'!$V275="","",'Per Invoice'!N275)</f>
        <v/>
      </c>
      <c r="J276" s="7">
        <f>IF('Per Invoice'!$V275="","",'Per Invoice'!K275)</f>
        <v/>
      </c>
      <c r="K276" s="7">
        <f>IF('Per Invoice'!$V275="","",'Per Invoice'!T275)</f>
        <v/>
      </c>
      <c r="L276" s="7">
        <f>IF('Per Invoice'!$V275="","",'Per Invoice'!S275)</f>
        <v/>
      </c>
    </row>
    <row r="277">
      <c r="A277">
        <f>IF('Per Invoice'!$V276="","",ROWS($A$3:A277))</f>
        <v/>
      </c>
      <c r="B277" s="11">
        <f>IF('Per Invoice'!$V276="","",'Per Invoice'!E276)</f>
        <v/>
      </c>
      <c r="C277">
        <f>IF('Per Invoice'!$V276="","",'Per Invoice'!G276)</f>
        <v/>
      </c>
      <c r="D277">
        <f>IF('Per Invoice'!$V276="","",'Per Invoice'!H276)</f>
        <v/>
      </c>
      <c r="E277">
        <f>IF('Per Invoice'!$V276="","",'Per Invoice'!F276)</f>
        <v/>
      </c>
      <c r="F277" s="7">
        <f>IF('Per Invoice'!$V276="","",'Per Invoice'!P276)</f>
        <v/>
      </c>
      <c r="G277" s="7">
        <f>IF('Per Invoice'!$V276="","",'Per Invoice'!Q276)</f>
        <v/>
      </c>
      <c r="H277" s="7">
        <f>IF('Per Invoice'!$V276="","",'Per Invoice'!M276)</f>
        <v/>
      </c>
      <c r="I277" s="7">
        <f>IF('Per Invoice'!$V276="","",'Per Invoice'!N276)</f>
        <v/>
      </c>
      <c r="J277" s="7">
        <f>IF('Per Invoice'!$V276="","",'Per Invoice'!K276)</f>
        <v/>
      </c>
      <c r="K277" s="7">
        <f>IF('Per Invoice'!$V276="","",'Per Invoice'!T276)</f>
        <v/>
      </c>
      <c r="L277" s="7">
        <f>IF('Per Invoice'!$V276="","",'Per Invoice'!S276)</f>
        <v/>
      </c>
    </row>
    <row r="278">
      <c r="A278">
        <f>IF('Per Invoice'!$V277="","",ROWS($A$3:A278))</f>
        <v/>
      </c>
      <c r="B278" s="11">
        <f>IF('Per Invoice'!$V277="","",'Per Invoice'!E277)</f>
        <v/>
      </c>
      <c r="C278">
        <f>IF('Per Invoice'!$V277="","",'Per Invoice'!G277)</f>
        <v/>
      </c>
      <c r="D278">
        <f>IF('Per Invoice'!$V277="","",'Per Invoice'!H277)</f>
        <v/>
      </c>
      <c r="E278">
        <f>IF('Per Invoice'!$V277="","",'Per Invoice'!F277)</f>
        <v/>
      </c>
      <c r="F278" s="7">
        <f>IF('Per Invoice'!$V277="","",'Per Invoice'!P277)</f>
        <v/>
      </c>
      <c r="G278" s="7">
        <f>IF('Per Invoice'!$V277="","",'Per Invoice'!Q277)</f>
        <v/>
      </c>
      <c r="H278" s="7">
        <f>IF('Per Invoice'!$V277="","",'Per Invoice'!M277)</f>
        <v/>
      </c>
      <c r="I278" s="7">
        <f>IF('Per Invoice'!$V277="","",'Per Invoice'!N277)</f>
        <v/>
      </c>
      <c r="J278" s="7">
        <f>IF('Per Invoice'!$V277="","",'Per Invoice'!K277)</f>
        <v/>
      </c>
      <c r="K278" s="7">
        <f>IF('Per Invoice'!$V277="","",'Per Invoice'!T277)</f>
        <v/>
      </c>
      <c r="L278" s="7">
        <f>IF('Per Invoice'!$V277="","",'Per Invoice'!S277)</f>
        <v/>
      </c>
    </row>
    <row r="279">
      <c r="A279">
        <f>IF('Per Invoice'!$V278="","",ROWS($A$3:A279))</f>
        <v/>
      </c>
      <c r="B279" s="11">
        <f>IF('Per Invoice'!$V278="","",'Per Invoice'!E278)</f>
        <v/>
      </c>
      <c r="C279">
        <f>IF('Per Invoice'!$V278="","",'Per Invoice'!G278)</f>
        <v/>
      </c>
      <c r="D279">
        <f>IF('Per Invoice'!$V278="","",'Per Invoice'!H278)</f>
        <v/>
      </c>
      <c r="E279">
        <f>IF('Per Invoice'!$V278="","",'Per Invoice'!F278)</f>
        <v/>
      </c>
      <c r="F279" s="7">
        <f>IF('Per Invoice'!$V278="","",'Per Invoice'!P278)</f>
        <v/>
      </c>
      <c r="G279" s="7">
        <f>IF('Per Invoice'!$V278="","",'Per Invoice'!Q278)</f>
        <v/>
      </c>
      <c r="H279" s="7">
        <f>IF('Per Invoice'!$V278="","",'Per Invoice'!M278)</f>
        <v/>
      </c>
      <c r="I279" s="7">
        <f>IF('Per Invoice'!$V278="","",'Per Invoice'!N278)</f>
        <v/>
      </c>
      <c r="J279" s="7">
        <f>IF('Per Invoice'!$V278="","",'Per Invoice'!K278)</f>
        <v/>
      </c>
      <c r="K279" s="7">
        <f>IF('Per Invoice'!$V278="","",'Per Invoice'!T278)</f>
        <v/>
      </c>
      <c r="L279" s="7">
        <f>IF('Per Invoice'!$V278="","",'Per Invoice'!S278)</f>
        <v/>
      </c>
    </row>
    <row r="280">
      <c r="A280">
        <f>IF('Per Invoice'!$V279="","",ROWS($A$3:A280))</f>
        <v/>
      </c>
      <c r="B280" s="11">
        <f>IF('Per Invoice'!$V279="","",'Per Invoice'!E279)</f>
        <v/>
      </c>
      <c r="C280">
        <f>IF('Per Invoice'!$V279="","",'Per Invoice'!G279)</f>
        <v/>
      </c>
      <c r="D280">
        <f>IF('Per Invoice'!$V279="","",'Per Invoice'!H279)</f>
        <v/>
      </c>
      <c r="E280">
        <f>IF('Per Invoice'!$V279="","",'Per Invoice'!F279)</f>
        <v/>
      </c>
      <c r="F280" s="7">
        <f>IF('Per Invoice'!$V279="","",'Per Invoice'!P279)</f>
        <v/>
      </c>
      <c r="G280" s="7">
        <f>IF('Per Invoice'!$V279="","",'Per Invoice'!Q279)</f>
        <v/>
      </c>
      <c r="H280" s="7">
        <f>IF('Per Invoice'!$V279="","",'Per Invoice'!M279)</f>
        <v/>
      </c>
      <c r="I280" s="7">
        <f>IF('Per Invoice'!$V279="","",'Per Invoice'!N279)</f>
        <v/>
      </c>
      <c r="J280" s="7">
        <f>IF('Per Invoice'!$V279="","",'Per Invoice'!K279)</f>
        <v/>
      </c>
      <c r="K280" s="7">
        <f>IF('Per Invoice'!$V279="","",'Per Invoice'!T279)</f>
        <v/>
      </c>
      <c r="L280" s="7">
        <f>IF('Per Invoice'!$V279="","",'Per Invoice'!S279)</f>
        <v/>
      </c>
    </row>
    <row r="281">
      <c r="A281">
        <f>IF('Per Invoice'!$V280="","",ROWS($A$3:A281))</f>
        <v/>
      </c>
      <c r="B281" s="11">
        <f>IF('Per Invoice'!$V280="","",'Per Invoice'!E280)</f>
        <v/>
      </c>
      <c r="C281">
        <f>IF('Per Invoice'!$V280="","",'Per Invoice'!G280)</f>
        <v/>
      </c>
      <c r="D281">
        <f>IF('Per Invoice'!$V280="","",'Per Invoice'!H280)</f>
        <v/>
      </c>
      <c r="E281">
        <f>IF('Per Invoice'!$V280="","",'Per Invoice'!F280)</f>
        <v/>
      </c>
      <c r="F281" s="7">
        <f>IF('Per Invoice'!$V280="","",'Per Invoice'!P280)</f>
        <v/>
      </c>
      <c r="G281" s="7">
        <f>IF('Per Invoice'!$V280="","",'Per Invoice'!Q280)</f>
        <v/>
      </c>
      <c r="H281" s="7">
        <f>IF('Per Invoice'!$V280="","",'Per Invoice'!M280)</f>
        <v/>
      </c>
      <c r="I281" s="7">
        <f>IF('Per Invoice'!$V280="","",'Per Invoice'!N280)</f>
        <v/>
      </c>
      <c r="J281" s="7">
        <f>IF('Per Invoice'!$V280="","",'Per Invoice'!K280)</f>
        <v/>
      </c>
      <c r="K281" s="7">
        <f>IF('Per Invoice'!$V280="","",'Per Invoice'!T280)</f>
        <v/>
      </c>
      <c r="L281" s="7">
        <f>IF('Per Invoice'!$V280="","",'Per Invoice'!S280)</f>
        <v/>
      </c>
    </row>
    <row r="282">
      <c r="A282">
        <f>IF('Per Invoice'!$V281="","",ROWS($A$3:A282))</f>
        <v/>
      </c>
      <c r="B282" s="11">
        <f>IF('Per Invoice'!$V281="","",'Per Invoice'!E281)</f>
        <v/>
      </c>
      <c r="C282">
        <f>IF('Per Invoice'!$V281="","",'Per Invoice'!G281)</f>
        <v/>
      </c>
      <c r="D282">
        <f>IF('Per Invoice'!$V281="","",'Per Invoice'!H281)</f>
        <v/>
      </c>
      <c r="E282">
        <f>IF('Per Invoice'!$V281="","",'Per Invoice'!F281)</f>
        <v/>
      </c>
      <c r="F282" s="7">
        <f>IF('Per Invoice'!$V281="","",'Per Invoice'!P281)</f>
        <v/>
      </c>
      <c r="G282" s="7">
        <f>IF('Per Invoice'!$V281="","",'Per Invoice'!Q281)</f>
        <v/>
      </c>
      <c r="H282" s="7">
        <f>IF('Per Invoice'!$V281="","",'Per Invoice'!M281)</f>
        <v/>
      </c>
      <c r="I282" s="7">
        <f>IF('Per Invoice'!$V281="","",'Per Invoice'!N281)</f>
        <v/>
      </c>
      <c r="J282" s="7">
        <f>IF('Per Invoice'!$V281="","",'Per Invoice'!K281)</f>
        <v/>
      </c>
      <c r="K282" s="7">
        <f>IF('Per Invoice'!$V281="","",'Per Invoice'!T281)</f>
        <v/>
      </c>
      <c r="L282" s="7">
        <f>IF('Per Invoice'!$V281="","",'Per Invoice'!S281)</f>
        <v/>
      </c>
    </row>
    <row r="283">
      <c r="A283">
        <f>IF('Per Invoice'!$V282="","",ROWS($A$3:A283))</f>
        <v/>
      </c>
      <c r="B283" s="11">
        <f>IF('Per Invoice'!$V282="","",'Per Invoice'!E282)</f>
        <v/>
      </c>
      <c r="C283">
        <f>IF('Per Invoice'!$V282="","",'Per Invoice'!G282)</f>
        <v/>
      </c>
      <c r="D283">
        <f>IF('Per Invoice'!$V282="","",'Per Invoice'!H282)</f>
        <v/>
      </c>
      <c r="E283">
        <f>IF('Per Invoice'!$V282="","",'Per Invoice'!F282)</f>
        <v/>
      </c>
      <c r="F283" s="7">
        <f>IF('Per Invoice'!$V282="","",'Per Invoice'!P282)</f>
        <v/>
      </c>
      <c r="G283" s="7">
        <f>IF('Per Invoice'!$V282="","",'Per Invoice'!Q282)</f>
        <v/>
      </c>
      <c r="H283" s="7">
        <f>IF('Per Invoice'!$V282="","",'Per Invoice'!M282)</f>
        <v/>
      </c>
      <c r="I283" s="7">
        <f>IF('Per Invoice'!$V282="","",'Per Invoice'!N282)</f>
        <v/>
      </c>
      <c r="J283" s="7">
        <f>IF('Per Invoice'!$V282="","",'Per Invoice'!K282)</f>
        <v/>
      </c>
      <c r="K283" s="7">
        <f>IF('Per Invoice'!$V282="","",'Per Invoice'!T282)</f>
        <v/>
      </c>
      <c r="L283" s="7">
        <f>IF('Per Invoice'!$V282="","",'Per Invoice'!S282)</f>
        <v/>
      </c>
    </row>
    <row r="284">
      <c r="A284">
        <f>IF('Per Invoice'!$V283="","",ROWS($A$3:A284))</f>
        <v/>
      </c>
      <c r="B284" s="11">
        <f>IF('Per Invoice'!$V283="","",'Per Invoice'!E283)</f>
        <v/>
      </c>
      <c r="C284">
        <f>IF('Per Invoice'!$V283="","",'Per Invoice'!G283)</f>
        <v/>
      </c>
      <c r="D284">
        <f>IF('Per Invoice'!$V283="","",'Per Invoice'!H283)</f>
        <v/>
      </c>
      <c r="E284">
        <f>IF('Per Invoice'!$V283="","",'Per Invoice'!F283)</f>
        <v/>
      </c>
      <c r="F284" s="7">
        <f>IF('Per Invoice'!$V283="","",'Per Invoice'!P283)</f>
        <v/>
      </c>
      <c r="G284" s="7">
        <f>IF('Per Invoice'!$V283="","",'Per Invoice'!Q283)</f>
        <v/>
      </c>
      <c r="H284" s="7">
        <f>IF('Per Invoice'!$V283="","",'Per Invoice'!M283)</f>
        <v/>
      </c>
      <c r="I284" s="7">
        <f>IF('Per Invoice'!$V283="","",'Per Invoice'!N283)</f>
        <v/>
      </c>
      <c r="J284" s="7">
        <f>IF('Per Invoice'!$V283="","",'Per Invoice'!K283)</f>
        <v/>
      </c>
      <c r="K284" s="7">
        <f>IF('Per Invoice'!$V283="","",'Per Invoice'!T283)</f>
        <v/>
      </c>
      <c r="L284" s="7">
        <f>IF('Per Invoice'!$V283="","",'Per Invoice'!S283)</f>
        <v/>
      </c>
    </row>
    <row r="285">
      <c r="A285">
        <f>IF('Per Invoice'!$V284="","",ROWS($A$3:A285))</f>
        <v/>
      </c>
      <c r="B285" s="11">
        <f>IF('Per Invoice'!$V284="","",'Per Invoice'!E284)</f>
        <v/>
      </c>
      <c r="C285">
        <f>IF('Per Invoice'!$V284="","",'Per Invoice'!G284)</f>
        <v/>
      </c>
      <c r="D285">
        <f>IF('Per Invoice'!$V284="","",'Per Invoice'!H284)</f>
        <v/>
      </c>
      <c r="E285">
        <f>IF('Per Invoice'!$V284="","",'Per Invoice'!F284)</f>
        <v/>
      </c>
      <c r="F285" s="7">
        <f>IF('Per Invoice'!$V284="","",'Per Invoice'!P284)</f>
        <v/>
      </c>
      <c r="G285" s="7">
        <f>IF('Per Invoice'!$V284="","",'Per Invoice'!Q284)</f>
        <v/>
      </c>
      <c r="H285" s="7">
        <f>IF('Per Invoice'!$V284="","",'Per Invoice'!M284)</f>
        <v/>
      </c>
      <c r="I285" s="7">
        <f>IF('Per Invoice'!$V284="","",'Per Invoice'!N284)</f>
        <v/>
      </c>
      <c r="J285" s="7">
        <f>IF('Per Invoice'!$V284="","",'Per Invoice'!K284)</f>
        <v/>
      </c>
      <c r="K285" s="7">
        <f>IF('Per Invoice'!$V284="","",'Per Invoice'!T284)</f>
        <v/>
      </c>
      <c r="L285" s="7">
        <f>IF('Per Invoice'!$V284="","",'Per Invoice'!S284)</f>
        <v/>
      </c>
    </row>
    <row r="286">
      <c r="A286">
        <f>IF('Per Invoice'!$V285="","",ROWS($A$3:A286))</f>
        <v/>
      </c>
      <c r="B286" s="11">
        <f>IF('Per Invoice'!$V285="","",'Per Invoice'!E285)</f>
        <v/>
      </c>
      <c r="C286">
        <f>IF('Per Invoice'!$V285="","",'Per Invoice'!G285)</f>
        <v/>
      </c>
      <c r="D286">
        <f>IF('Per Invoice'!$V285="","",'Per Invoice'!H285)</f>
        <v/>
      </c>
      <c r="E286">
        <f>IF('Per Invoice'!$V285="","",'Per Invoice'!F285)</f>
        <v/>
      </c>
      <c r="F286" s="7">
        <f>IF('Per Invoice'!$V285="","",'Per Invoice'!P285)</f>
        <v/>
      </c>
      <c r="G286" s="7">
        <f>IF('Per Invoice'!$V285="","",'Per Invoice'!Q285)</f>
        <v/>
      </c>
      <c r="H286" s="7">
        <f>IF('Per Invoice'!$V285="","",'Per Invoice'!M285)</f>
        <v/>
      </c>
      <c r="I286" s="7">
        <f>IF('Per Invoice'!$V285="","",'Per Invoice'!N285)</f>
        <v/>
      </c>
      <c r="J286" s="7">
        <f>IF('Per Invoice'!$V285="","",'Per Invoice'!K285)</f>
        <v/>
      </c>
      <c r="K286" s="7">
        <f>IF('Per Invoice'!$V285="","",'Per Invoice'!T285)</f>
        <v/>
      </c>
      <c r="L286" s="7">
        <f>IF('Per Invoice'!$V285="","",'Per Invoice'!S285)</f>
        <v/>
      </c>
    </row>
    <row r="287">
      <c r="A287">
        <f>IF('Per Invoice'!$V286="","",ROWS($A$3:A287))</f>
        <v/>
      </c>
      <c r="B287" s="11">
        <f>IF('Per Invoice'!$V286="","",'Per Invoice'!E286)</f>
        <v/>
      </c>
      <c r="C287">
        <f>IF('Per Invoice'!$V286="","",'Per Invoice'!G286)</f>
        <v/>
      </c>
      <c r="D287">
        <f>IF('Per Invoice'!$V286="","",'Per Invoice'!H286)</f>
        <v/>
      </c>
      <c r="E287">
        <f>IF('Per Invoice'!$V286="","",'Per Invoice'!F286)</f>
        <v/>
      </c>
      <c r="F287" s="7">
        <f>IF('Per Invoice'!$V286="","",'Per Invoice'!P286)</f>
        <v/>
      </c>
      <c r="G287" s="7">
        <f>IF('Per Invoice'!$V286="","",'Per Invoice'!Q286)</f>
        <v/>
      </c>
      <c r="H287" s="7">
        <f>IF('Per Invoice'!$V286="","",'Per Invoice'!M286)</f>
        <v/>
      </c>
      <c r="I287" s="7">
        <f>IF('Per Invoice'!$V286="","",'Per Invoice'!N286)</f>
        <v/>
      </c>
      <c r="J287" s="7">
        <f>IF('Per Invoice'!$V286="","",'Per Invoice'!K286)</f>
        <v/>
      </c>
      <c r="K287" s="7">
        <f>IF('Per Invoice'!$V286="","",'Per Invoice'!T286)</f>
        <v/>
      </c>
      <c r="L287" s="7">
        <f>IF('Per Invoice'!$V286="","",'Per Invoice'!S286)</f>
        <v/>
      </c>
    </row>
    <row r="288">
      <c r="A288">
        <f>IF('Per Invoice'!$V287="","",ROWS($A$3:A288))</f>
        <v/>
      </c>
      <c r="B288" s="11">
        <f>IF('Per Invoice'!$V287="","",'Per Invoice'!E287)</f>
        <v/>
      </c>
      <c r="C288">
        <f>IF('Per Invoice'!$V287="","",'Per Invoice'!G287)</f>
        <v/>
      </c>
      <c r="D288">
        <f>IF('Per Invoice'!$V287="","",'Per Invoice'!H287)</f>
        <v/>
      </c>
      <c r="E288">
        <f>IF('Per Invoice'!$V287="","",'Per Invoice'!F287)</f>
        <v/>
      </c>
      <c r="F288" s="7">
        <f>IF('Per Invoice'!$V287="","",'Per Invoice'!P287)</f>
        <v/>
      </c>
      <c r="G288" s="7">
        <f>IF('Per Invoice'!$V287="","",'Per Invoice'!Q287)</f>
        <v/>
      </c>
      <c r="H288" s="7">
        <f>IF('Per Invoice'!$V287="","",'Per Invoice'!M287)</f>
        <v/>
      </c>
      <c r="I288" s="7">
        <f>IF('Per Invoice'!$V287="","",'Per Invoice'!N287)</f>
        <v/>
      </c>
      <c r="J288" s="7">
        <f>IF('Per Invoice'!$V287="","",'Per Invoice'!K287)</f>
        <v/>
      </c>
      <c r="K288" s="7">
        <f>IF('Per Invoice'!$V287="","",'Per Invoice'!T287)</f>
        <v/>
      </c>
      <c r="L288" s="7">
        <f>IF('Per Invoice'!$V287="","",'Per Invoice'!S287)</f>
        <v/>
      </c>
    </row>
    <row r="289">
      <c r="A289">
        <f>IF('Per Invoice'!$V288="","",ROWS($A$3:A289))</f>
        <v/>
      </c>
      <c r="B289" s="11">
        <f>IF('Per Invoice'!$V288="","",'Per Invoice'!E288)</f>
        <v/>
      </c>
      <c r="C289">
        <f>IF('Per Invoice'!$V288="","",'Per Invoice'!G288)</f>
        <v/>
      </c>
      <c r="D289">
        <f>IF('Per Invoice'!$V288="","",'Per Invoice'!H288)</f>
        <v/>
      </c>
      <c r="E289">
        <f>IF('Per Invoice'!$V288="","",'Per Invoice'!F288)</f>
        <v/>
      </c>
      <c r="F289" s="7">
        <f>IF('Per Invoice'!$V288="","",'Per Invoice'!P288)</f>
        <v/>
      </c>
      <c r="G289" s="7">
        <f>IF('Per Invoice'!$V288="","",'Per Invoice'!Q288)</f>
        <v/>
      </c>
      <c r="H289" s="7">
        <f>IF('Per Invoice'!$V288="","",'Per Invoice'!M288)</f>
        <v/>
      </c>
      <c r="I289" s="7">
        <f>IF('Per Invoice'!$V288="","",'Per Invoice'!N288)</f>
        <v/>
      </c>
      <c r="J289" s="7">
        <f>IF('Per Invoice'!$V288="","",'Per Invoice'!K288)</f>
        <v/>
      </c>
      <c r="K289" s="7">
        <f>IF('Per Invoice'!$V288="","",'Per Invoice'!T288)</f>
        <v/>
      </c>
      <c r="L289" s="7">
        <f>IF('Per Invoice'!$V288="","",'Per Invoice'!S288)</f>
        <v/>
      </c>
    </row>
    <row r="290">
      <c r="A290">
        <f>IF('Per Invoice'!$V289="","",ROWS($A$3:A290))</f>
        <v/>
      </c>
      <c r="B290" s="11">
        <f>IF('Per Invoice'!$V289="","",'Per Invoice'!E289)</f>
        <v/>
      </c>
      <c r="C290">
        <f>IF('Per Invoice'!$V289="","",'Per Invoice'!G289)</f>
        <v/>
      </c>
      <c r="D290">
        <f>IF('Per Invoice'!$V289="","",'Per Invoice'!H289)</f>
        <v/>
      </c>
      <c r="E290">
        <f>IF('Per Invoice'!$V289="","",'Per Invoice'!F289)</f>
        <v/>
      </c>
      <c r="F290" s="7">
        <f>IF('Per Invoice'!$V289="","",'Per Invoice'!P289)</f>
        <v/>
      </c>
      <c r="G290" s="7">
        <f>IF('Per Invoice'!$V289="","",'Per Invoice'!Q289)</f>
        <v/>
      </c>
      <c r="H290" s="7">
        <f>IF('Per Invoice'!$V289="","",'Per Invoice'!M289)</f>
        <v/>
      </c>
      <c r="I290" s="7">
        <f>IF('Per Invoice'!$V289="","",'Per Invoice'!N289)</f>
        <v/>
      </c>
      <c r="J290" s="7">
        <f>IF('Per Invoice'!$V289="","",'Per Invoice'!K289)</f>
        <v/>
      </c>
      <c r="K290" s="7">
        <f>IF('Per Invoice'!$V289="","",'Per Invoice'!T289)</f>
        <v/>
      </c>
      <c r="L290" s="7">
        <f>IF('Per Invoice'!$V289="","",'Per Invoice'!S289)</f>
        <v/>
      </c>
    </row>
    <row r="291">
      <c r="A291">
        <f>IF('Per Invoice'!$V290="","",ROWS($A$3:A291))</f>
        <v/>
      </c>
      <c r="B291" s="11">
        <f>IF('Per Invoice'!$V290="","",'Per Invoice'!E290)</f>
        <v/>
      </c>
      <c r="C291">
        <f>IF('Per Invoice'!$V290="","",'Per Invoice'!G290)</f>
        <v/>
      </c>
      <c r="D291">
        <f>IF('Per Invoice'!$V290="","",'Per Invoice'!H290)</f>
        <v/>
      </c>
      <c r="E291">
        <f>IF('Per Invoice'!$V290="","",'Per Invoice'!F290)</f>
        <v/>
      </c>
      <c r="F291" s="7">
        <f>IF('Per Invoice'!$V290="","",'Per Invoice'!P290)</f>
        <v/>
      </c>
      <c r="G291" s="7">
        <f>IF('Per Invoice'!$V290="","",'Per Invoice'!Q290)</f>
        <v/>
      </c>
      <c r="H291" s="7">
        <f>IF('Per Invoice'!$V290="","",'Per Invoice'!M290)</f>
        <v/>
      </c>
      <c r="I291" s="7">
        <f>IF('Per Invoice'!$V290="","",'Per Invoice'!N290)</f>
        <v/>
      </c>
      <c r="J291" s="7">
        <f>IF('Per Invoice'!$V290="","",'Per Invoice'!K290)</f>
        <v/>
      </c>
      <c r="K291" s="7">
        <f>IF('Per Invoice'!$V290="","",'Per Invoice'!T290)</f>
        <v/>
      </c>
      <c r="L291" s="7">
        <f>IF('Per Invoice'!$V290="","",'Per Invoice'!S290)</f>
        <v/>
      </c>
    </row>
    <row r="292">
      <c r="A292">
        <f>IF('Per Invoice'!$V291="","",ROWS($A$3:A292))</f>
        <v/>
      </c>
      <c r="B292" s="11">
        <f>IF('Per Invoice'!$V291="","",'Per Invoice'!E291)</f>
        <v/>
      </c>
      <c r="C292">
        <f>IF('Per Invoice'!$V291="","",'Per Invoice'!G291)</f>
        <v/>
      </c>
      <c r="D292">
        <f>IF('Per Invoice'!$V291="","",'Per Invoice'!H291)</f>
        <v/>
      </c>
      <c r="E292">
        <f>IF('Per Invoice'!$V291="","",'Per Invoice'!F291)</f>
        <v/>
      </c>
      <c r="F292" s="7">
        <f>IF('Per Invoice'!$V291="","",'Per Invoice'!P291)</f>
        <v/>
      </c>
      <c r="G292" s="7">
        <f>IF('Per Invoice'!$V291="","",'Per Invoice'!Q291)</f>
        <v/>
      </c>
      <c r="H292" s="7">
        <f>IF('Per Invoice'!$V291="","",'Per Invoice'!M291)</f>
        <v/>
      </c>
      <c r="I292" s="7">
        <f>IF('Per Invoice'!$V291="","",'Per Invoice'!N291)</f>
        <v/>
      </c>
      <c r="J292" s="7">
        <f>IF('Per Invoice'!$V291="","",'Per Invoice'!K291)</f>
        <v/>
      </c>
      <c r="K292" s="7">
        <f>IF('Per Invoice'!$V291="","",'Per Invoice'!T291)</f>
        <v/>
      </c>
      <c r="L292" s="7">
        <f>IF('Per Invoice'!$V291="","",'Per Invoice'!S291)</f>
        <v/>
      </c>
    </row>
    <row r="293">
      <c r="A293">
        <f>IF('Per Invoice'!$V292="","",ROWS($A$3:A293))</f>
        <v/>
      </c>
      <c r="B293" s="11">
        <f>IF('Per Invoice'!$V292="","",'Per Invoice'!E292)</f>
        <v/>
      </c>
      <c r="C293">
        <f>IF('Per Invoice'!$V292="","",'Per Invoice'!G292)</f>
        <v/>
      </c>
      <c r="D293">
        <f>IF('Per Invoice'!$V292="","",'Per Invoice'!H292)</f>
        <v/>
      </c>
      <c r="E293">
        <f>IF('Per Invoice'!$V292="","",'Per Invoice'!F292)</f>
        <v/>
      </c>
      <c r="F293" s="7">
        <f>IF('Per Invoice'!$V292="","",'Per Invoice'!P292)</f>
        <v/>
      </c>
      <c r="G293" s="7">
        <f>IF('Per Invoice'!$V292="","",'Per Invoice'!Q292)</f>
        <v/>
      </c>
      <c r="H293" s="7">
        <f>IF('Per Invoice'!$V292="","",'Per Invoice'!M292)</f>
        <v/>
      </c>
      <c r="I293" s="7">
        <f>IF('Per Invoice'!$V292="","",'Per Invoice'!N292)</f>
        <v/>
      </c>
      <c r="J293" s="7">
        <f>IF('Per Invoice'!$V292="","",'Per Invoice'!K292)</f>
        <v/>
      </c>
      <c r="K293" s="7">
        <f>IF('Per Invoice'!$V292="","",'Per Invoice'!T292)</f>
        <v/>
      </c>
      <c r="L293" s="7">
        <f>IF('Per Invoice'!$V292="","",'Per Invoice'!S292)</f>
        <v/>
      </c>
    </row>
    <row r="294">
      <c r="A294">
        <f>IF('Per Invoice'!$V293="","",ROWS($A$3:A294))</f>
        <v/>
      </c>
      <c r="B294" s="11">
        <f>IF('Per Invoice'!$V293="","",'Per Invoice'!E293)</f>
        <v/>
      </c>
      <c r="C294">
        <f>IF('Per Invoice'!$V293="","",'Per Invoice'!G293)</f>
        <v/>
      </c>
      <c r="D294">
        <f>IF('Per Invoice'!$V293="","",'Per Invoice'!H293)</f>
        <v/>
      </c>
      <c r="E294">
        <f>IF('Per Invoice'!$V293="","",'Per Invoice'!F293)</f>
        <v/>
      </c>
      <c r="F294" s="7">
        <f>IF('Per Invoice'!$V293="","",'Per Invoice'!P293)</f>
        <v/>
      </c>
      <c r="G294" s="7">
        <f>IF('Per Invoice'!$V293="","",'Per Invoice'!Q293)</f>
        <v/>
      </c>
      <c r="H294" s="7">
        <f>IF('Per Invoice'!$V293="","",'Per Invoice'!M293)</f>
        <v/>
      </c>
      <c r="I294" s="7">
        <f>IF('Per Invoice'!$V293="","",'Per Invoice'!N293)</f>
        <v/>
      </c>
      <c r="J294" s="7">
        <f>IF('Per Invoice'!$V293="","",'Per Invoice'!K293)</f>
        <v/>
      </c>
      <c r="K294" s="7">
        <f>IF('Per Invoice'!$V293="","",'Per Invoice'!T293)</f>
        <v/>
      </c>
      <c r="L294" s="7">
        <f>IF('Per Invoice'!$V293="","",'Per Invoice'!S293)</f>
        <v/>
      </c>
    </row>
    <row r="295">
      <c r="A295">
        <f>IF('Per Invoice'!$V294="","",ROWS($A$3:A295))</f>
        <v/>
      </c>
      <c r="B295" s="11">
        <f>IF('Per Invoice'!$V294="","",'Per Invoice'!E294)</f>
        <v/>
      </c>
      <c r="C295">
        <f>IF('Per Invoice'!$V294="","",'Per Invoice'!G294)</f>
        <v/>
      </c>
      <c r="D295">
        <f>IF('Per Invoice'!$V294="","",'Per Invoice'!H294)</f>
        <v/>
      </c>
      <c r="E295">
        <f>IF('Per Invoice'!$V294="","",'Per Invoice'!F294)</f>
        <v/>
      </c>
      <c r="F295" s="7">
        <f>IF('Per Invoice'!$V294="","",'Per Invoice'!P294)</f>
        <v/>
      </c>
      <c r="G295" s="7">
        <f>IF('Per Invoice'!$V294="","",'Per Invoice'!Q294)</f>
        <v/>
      </c>
      <c r="H295" s="7">
        <f>IF('Per Invoice'!$V294="","",'Per Invoice'!M294)</f>
        <v/>
      </c>
      <c r="I295" s="7">
        <f>IF('Per Invoice'!$V294="","",'Per Invoice'!N294)</f>
        <v/>
      </c>
      <c r="J295" s="7">
        <f>IF('Per Invoice'!$V294="","",'Per Invoice'!K294)</f>
        <v/>
      </c>
      <c r="K295" s="7">
        <f>IF('Per Invoice'!$V294="","",'Per Invoice'!T294)</f>
        <v/>
      </c>
      <c r="L295" s="7">
        <f>IF('Per Invoice'!$V294="","",'Per Invoice'!S294)</f>
        <v/>
      </c>
    </row>
    <row r="296">
      <c r="A296">
        <f>IF('Per Invoice'!$V295="","",ROWS($A$3:A296))</f>
        <v/>
      </c>
      <c r="B296" s="11">
        <f>IF('Per Invoice'!$V295="","",'Per Invoice'!E295)</f>
        <v/>
      </c>
      <c r="C296">
        <f>IF('Per Invoice'!$V295="","",'Per Invoice'!G295)</f>
        <v/>
      </c>
      <c r="D296">
        <f>IF('Per Invoice'!$V295="","",'Per Invoice'!H295)</f>
        <v/>
      </c>
      <c r="E296">
        <f>IF('Per Invoice'!$V295="","",'Per Invoice'!F295)</f>
        <v/>
      </c>
      <c r="F296" s="7">
        <f>IF('Per Invoice'!$V295="","",'Per Invoice'!P295)</f>
        <v/>
      </c>
      <c r="G296" s="7">
        <f>IF('Per Invoice'!$V295="","",'Per Invoice'!Q295)</f>
        <v/>
      </c>
      <c r="H296" s="7">
        <f>IF('Per Invoice'!$V295="","",'Per Invoice'!M295)</f>
        <v/>
      </c>
      <c r="I296" s="7">
        <f>IF('Per Invoice'!$V295="","",'Per Invoice'!N295)</f>
        <v/>
      </c>
      <c r="J296" s="7">
        <f>IF('Per Invoice'!$V295="","",'Per Invoice'!K295)</f>
        <v/>
      </c>
      <c r="K296" s="7">
        <f>IF('Per Invoice'!$V295="","",'Per Invoice'!T295)</f>
        <v/>
      </c>
      <c r="L296" s="7">
        <f>IF('Per Invoice'!$V295="","",'Per Invoice'!S295)</f>
        <v/>
      </c>
    </row>
    <row r="297">
      <c r="A297">
        <f>IF('Per Invoice'!$V296="","",ROWS($A$3:A297))</f>
        <v/>
      </c>
      <c r="B297" s="11">
        <f>IF('Per Invoice'!$V296="","",'Per Invoice'!E296)</f>
        <v/>
      </c>
      <c r="C297">
        <f>IF('Per Invoice'!$V296="","",'Per Invoice'!G296)</f>
        <v/>
      </c>
      <c r="D297">
        <f>IF('Per Invoice'!$V296="","",'Per Invoice'!H296)</f>
        <v/>
      </c>
      <c r="E297">
        <f>IF('Per Invoice'!$V296="","",'Per Invoice'!F296)</f>
        <v/>
      </c>
      <c r="F297" s="7">
        <f>IF('Per Invoice'!$V296="","",'Per Invoice'!P296)</f>
        <v/>
      </c>
      <c r="G297" s="7">
        <f>IF('Per Invoice'!$V296="","",'Per Invoice'!Q296)</f>
        <v/>
      </c>
      <c r="H297" s="7">
        <f>IF('Per Invoice'!$V296="","",'Per Invoice'!M296)</f>
        <v/>
      </c>
      <c r="I297" s="7">
        <f>IF('Per Invoice'!$V296="","",'Per Invoice'!N296)</f>
        <v/>
      </c>
      <c r="J297" s="7">
        <f>IF('Per Invoice'!$V296="","",'Per Invoice'!K296)</f>
        <v/>
      </c>
      <c r="K297" s="7">
        <f>IF('Per Invoice'!$V296="","",'Per Invoice'!T296)</f>
        <v/>
      </c>
      <c r="L297" s="7">
        <f>IF('Per Invoice'!$V296="","",'Per Invoice'!S296)</f>
        <v/>
      </c>
    </row>
    <row r="298">
      <c r="A298">
        <f>IF('Per Invoice'!$V297="","",ROWS($A$3:A298))</f>
        <v/>
      </c>
      <c r="B298" s="11">
        <f>IF('Per Invoice'!$V297="","",'Per Invoice'!E297)</f>
        <v/>
      </c>
      <c r="C298">
        <f>IF('Per Invoice'!$V297="","",'Per Invoice'!G297)</f>
        <v/>
      </c>
      <c r="D298">
        <f>IF('Per Invoice'!$V297="","",'Per Invoice'!H297)</f>
        <v/>
      </c>
      <c r="E298">
        <f>IF('Per Invoice'!$V297="","",'Per Invoice'!F297)</f>
        <v/>
      </c>
      <c r="F298" s="7">
        <f>IF('Per Invoice'!$V297="","",'Per Invoice'!P297)</f>
        <v/>
      </c>
      <c r="G298" s="7">
        <f>IF('Per Invoice'!$V297="","",'Per Invoice'!Q297)</f>
        <v/>
      </c>
      <c r="H298" s="7">
        <f>IF('Per Invoice'!$V297="","",'Per Invoice'!M297)</f>
        <v/>
      </c>
      <c r="I298" s="7">
        <f>IF('Per Invoice'!$V297="","",'Per Invoice'!N297)</f>
        <v/>
      </c>
      <c r="J298" s="7">
        <f>IF('Per Invoice'!$V297="","",'Per Invoice'!K297)</f>
        <v/>
      </c>
      <c r="K298" s="7">
        <f>IF('Per Invoice'!$V297="","",'Per Invoice'!T297)</f>
        <v/>
      </c>
      <c r="L298" s="7">
        <f>IF('Per Invoice'!$V297="","",'Per Invoice'!S297)</f>
        <v/>
      </c>
    </row>
    <row r="299">
      <c r="A299">
        <f>IF('Per Invoice'!$V298="","",ROWS($A$3:A299))</f>
        <v/>
      </c>
      <c r="B299" s="11">
        <f>IF('Per Invoice'!$V298="","",'Per Invoice'!E298)</f>
        <v/>
      </c>
      <c r="C299">
        <f>IF('Per Invoice'!$V298="","",'Per Invoice'!G298)</f>
        <v/>
      </c>
      <c r="D299">
        <f>IF('Per Invoice'!$V298="","",'Per Invoice'!H298)</f>
        <v/>
      </c>
      <c r="E299">
        <f>IF('Per Invoice'!$V298="","",'Per Invoice'!F298)</f>
        <v/>
      </c>
      <c r="F299" s="7">
        <f>IF('Per Invoice'!$V298="","",'Per Invoice'!P298)</f>
        <v/>
      </c>
      <c r="G299" s="7">
        <f>IF('Per Invoice'!$V298="","",'Per Invoice'!Q298)</f>
        <v/>
      </c>
      <c r="H299" s="7">
        <f>IF('Per Invoice'!$V298="","",'Per Invoice'!M298)</f>
        <v/>
      </c>
      <c r="I299" s="7">
        <f>IF('Per Invoice'!$V298="","",'Per Invoice'!N298)</f>
        <v/>
      </c>
      <c r="J299" s="7">
        <f>IF('Per Invoice'!$V298="","",'Per Invoice'!K298)</f>
        <v/>
      </c>
      <c r="K299" s="7">
        <f>IF('Per Invoice'!$V298="","",'Per Invoice'!T298)</f>
        <v/>
      </c>
      <c r="L299" s="7">
        <f>IF('Per Invoice'!$V298="","",'Per Invoice'!S298)</f>
        <v/>
      </c>
    </row>
    <row r="300">
      <c r="A300">
        <f>IF('Per Invoice'!$V299="","",ROWS($A$3:A300))</f>
        <v/>
      </c>
      <c r="B300" s="11">
        <f>IF('Per Invoice'!$V299="","",'Per Invoice'!E299)</f>
        <v/>
      </c>
      <c r="C300">
        <f>IF('Per Invoice'!$V299="","",'Per Invoice'!G299)</f>
        <v/>
      </c>
      <c r="D300">
        <f>IF('Per Invoice'!$V299="","",'Per Invoice'!H299)</f>
        <v/>
      </c>
      <c r="E300">
        <f>IF('Per Invoice'!$V299="","",'Per Invoice'!F299)</f>
        <v/>
      </c>
      <c r="F300" s="7">
        <f>IF('Per Invoice'!$V299="","",'Per Invoice'!P299)</f>
        <v/>
      </c>
      <c r="G300" s="7">
        <f>IF('Per Invoice'!$V299="","",'Per Invoice'!Q299)</f>
        <v/>
      </c>
      <c r="H300" s="7">
        <f>IF('Per Invoice'!$V299="","",'Per Invoice'!M299)</f>
        <v/>
      </c>
      <c r="I300" s="7">
        <f>IF('Per Invoice'!$V299="","",'Per Invoice'!N299)</f>
        <v/>
      </c>
      <c r="J300" s="7">
        <f>IF('Per Invoice'!$V299="","",'Per Invoice'!K299)</f>
        <v/>
      </c>
      <c r="K300" s="7">
        <f>IF('Per Invoice'!$V299="","",'Per Invoice'!T299)</f>
        <v/>
      </c>
      <c r="L300" s="7">
        <f>IF('Per Invoice'!$V299="","",'Per Invoice'!S299)</f>
        <v/>
      </c>
    </row>
    <row r="301">
      <c r="A301">
        <f>IF('Per Invoice'!$V300="","",ROWS($A$3:A301))</f>
        <v/>
      </c>
      <c r="B301" s="11">
        <f>IF('Per Invoice'!$V300="","",'Per Invoice'!E300)</f>
        <v/>
      </c>
      <c r="C301">
        <f>IF('Per Invoice'!$V300="","",'Per Invoice'!G300)</f>
        <v/>
      </c>
      <c r="D301">
        <f>IF('Per Invoice'!$V300="","",'Per Invoice'!H300)</f>
        <v/>
      </c>
      <c r="E301">
        <f>IF('Per Invoice'!$V300="","",'Per Invoice'!F300)</f>
        <v/>
      </c>
      <c r="F301" s="7">
        <f>IF('Per Invoice'!$V300="","",'Per Invoice'!P300)</f>
        <v/>
      </c>
      <c r="G301" s="7">
        <f>IF('Per Invoice'!$V300="","",'Per Invoice'!Q300)</f>
        <v/>
      </c>
      <c r="H301" s="7">
        <f>IF('Per Invoice'!$V300="","",'Per Invoice'!M300)</f>
        <v/>
      </c>
      <c r="I301" s="7">
        <f>IF('Per Invoice'!$V300="","",'Per Invoice'!N300)</f>
        <v/>
      </c>
      <c r="J301" s="7">
        <f>IF('Per Invoice'!$V300="","",'Per Invoice'!K300)</f>
        <v/>
      </c>
      <c r="K301" s="7">
        <f>IF('Per Invoice'!$V300="","",'Per Invoice'!T300)</f>
        <v/>
      </c>
      <c r="L301" s="7">
        <f>IF('Per Invoice'!$V300="","",'Per Invoice'!S300)</f>
        <v/>
      </c>
    </row>
    <row r="302">
      <c r="A302">
        <f>IF('Per Invoice'!$V301="","",ROWS($A$3:A302))</f>
        <v/>
      </c>
      <c r="B302" s="11">
        <f>IF('Per Invoice'!$V301="","",'Per Invoice'!E301)</f>
        <v/>
      </c>
      <c r="C302">
        <f>IF('Per Invoice'!$V301="","",'Per Invoice'!G301)</f>
        <v/>
      </c>
      <c r="D302">
        <f>IF('Per Invoice'!$V301="","",'Per Invoice'!H301)</f>
        <v/>
      </c>
      <c r="E302">
        <f>IF('Per Invoice'!$V301="","",'Per Invoice'!F301)</f>
        <v/>
      </c>
      <c r="F302" s="7">
        <f>IF('Per Invoice'!$V301="","",'Per Invoice'!P301)</f>
        <v/>
      </c>
      <c r="G302" s="7">
        <f>IF('Per Invoice'!$V301="","",'Per Invoice'!Q301)</f>
        <v/>
      </c>
      <c r="H302" s="7">
        <f>IF('Per Invoice'!$V301="","",'Per Invoice'!M301)</f>
        <v/>
      </c>
      <c r="I302" s="7">
        <f>IF('Per Invoice'!$V301="","",'Per Invoice'!N301)</f>
        <v/>
      </c>
      <c r="J302" s="7">
        <f>IF('Per Invoice'!$V301="","",'Per Invoice'!K301)</f>
        <v/>
      </c>
      <c r="K302" s="7">
        <f>IF('Per Invoice'!$V301="","",'Per Invoice'!T301)</f>
        <v/>
      </c>
      <c r="L302" s="7">
        <f>IF('Per Invoice'!$V301="","",'Per Invoice'!S301)</f>
        <v/>
      </c>
    </row>
    <row r="303">
      <c r="A303">
        <f>IF('Per Invoice'!$V302="","",ROWS($A$3:A303))</f>
        <v/>
      </c>
      <c r="B303" s="11">
        <f>IF('Per Invoice'!$V302="","",'Per Invoice'!E302)</f>
        <v/>
      </c>
      <c r="C303">
        <f>IF('Per Invoice'!$V302="","",'Per Invoice'!G302)</f>
        <v/>
      </c>
      <c r="D303">
        <f>IF('Per Invoice'!$V302="","",'Per Invoice'!H302)</f>
        <v/>
      </c>
      <c r="E303">
        <f>IF('Per Invoice'!$V302="","",'Per Invoice'!F302)</f>
        <v/>
      </c>
      <c r="F303" s="7">
        <f>IF('Per Invoice'!$V302="","",'Per Invoice'!P302)</f>
        <v/>
      </c>
      <c r="G303" s="7">
        <f>IF('Per Invoice'!$V302="","",'Per Invoice'!Q302)</f>
        <v/>
      </c>
      <c r="H303" s="7">
        <f>IF('Per Invoice'!$V302="","",'Per Invoice'!M302)</f>
        <v/>
      </c>
      <c r="I303" s="7">
        <f>IF('Per Invoice'!$V302="","",'Per Invoice'!N302)</f>
        <v/>
      </c>
      <c r="J303" s="7">
        <f>IF('Per Invoice'!$V302="","",'Per Invoice'!K302)</f>
        <v/>
      </c>
      <c r="K303" s="7">
        <f>IF('Per Invoice'!$V302="","",'Per Invoice'!T302)</f>
        <v/>
      </c>
      <c r="L303" s="7">
        <f>IF('Per Invoice'!$V302="","",'Per Invoice'!S302)</f>
        <v/>
      </c>
    </row>
    <row r="304">
      <c r="A304">
        <f>IF('Per Invoice'!$V303="","",ROWS($A$3:A304))</f>
        <v/>
      </c>
      <c r="B304" s="11">
        <f>IF('Per Invoice'!$V303="","",'Per Invoice'!E303)</f>
        <v/>
      </c>
      <c r="C304">
        <f>IF('Per Invoice'!$V303="","",'Per Invoice'!G303)</f>
        <v/>
      </c>
      <c r="D304">
        <f>IF('Per Invoice'!$V303="","",'Per Invoice'!H303)</f>
        <v/>
      </c>
      <c r="E304">
        <f>IF('Per Invoice'!$V303="","",'Per Invoice'!F303)</f>
        <v/>
      </c>
      <c r="F304" s="7">
        <f>IF('Per Invoice'!$V303="","",'Per Invoice'!P303)</f>
        <v/>
      </c>
      <c r="G304" s="7">
        <f>IF('Per Invoice'!$V303="","",'Per Invoice'!Q303)</f>
        <v/>
      </c>
      <c r="H304" s="7">
        <f>IF('Per Invoice'!$V303="","",'Per Invoice'!M303)</f>
        <v/>
      </c>
      <c r="I304" s="7">
        <f>IF('Per Invoice'!$V303="","",'Per Invoice'!N303)</f>
        <v/>
      </c>
      <c r="J304" s="7">
        <f>IF('Per Invoice'!$V303="","",'Per Invoice'!K303)</f>
        <v/>
      </c>
      <c r="K304" s="7">
        <f>IF('Per Invoice'!$V303="","",'Per Invoice'!T303)</f>
        <v/>
      </c>
      <c r="L304" s="7">
        <f>IF('Per Invoice'!$V303="","",'Per Invoice'!S303)</f>
        <v/>
      </c>
    </row>
    <row r="305">
      <c r="A305">
        <f>IF('Per Invoice'!$V304="","",ROWS($A$3:A305))</f>
        <v/>
      </c>
      <c r="B305" s="11">
        <f>IF('Per Invoice'!$V304="","",'Per Invoice'!E304)</f>
        <v/>
      </c>
      <c r="C305">
        <f>IF('Per Invoice'!$V304="","",'Per Invoice'!G304)</f>
        <v/>
      </c>
      <c r="D305">
        <f>IF('Per Invoice'!$V304="","",'Per Invoice'!H304)</f>
        <v/>
      </c>
      <c r="E305">
        <f>IF('Per Invoice'!$V304="","",'Per Invoice'!F304)</f>
        <v/>
      </c>
      <c r="F305" s="7">
        <f>IF('Per Invoice'!$V304="","",'Per Invoice'!P304)</f>
        <v/>
      </c>
      <c r="G305" s="7">
        <f>IF('Per Invoice'!$V304="","",'Per Invoice'!Q304)</f>
        <v/>
      </c>
      <c r="H305" s="7">
        <f>IF('Per Invoice'!$V304="","",'Per Invoice'!M304)</f>
        <v/>
      </c>
      <c r="I305" s="7">
        <f>IF('Per Invoice'!$V304="","",'Per Invoice'!N304)</f>
        <v/>
      </c>
      <c r="J305" s="7">
        <f>IF('Per Invoice'!$V304="","",'Per Invoice'!K304)</f>
        <v/>
      </c>
      <c r="K305" s="7">
        <f>IF('Per Invoice'!$V304="","",'Per Invoice'!T304)</f>
        <v/>
      </c>
      <c r="L305" s="7">
        <f>IF('Per Invoice'!$V304="","",'Per Invoice'!S304)</f>
        <v/>
      </c>
    </row>
    <row r="306">
      <c r="A306">
        <f>IF('Per Invoice'!$V305="","",ROWS($A$3:A306))</f>
        <v/>
      </c>
      <c r="B306" s="11">
        <f>IF('Per Invoice'!$V305="","",'Per Invoice'!E305)</f>
        <v/>
      </c>
      <c r="C306">
        <f>IF('Per Invoice'!$V305="","",'Per Invoice'!G305)</f>
        <v/>
      </c>
      <c r="D306">
        <f>IF('Per Invoice'!$V305="","",'Per Invoice'!H305)</f>
        <v/>
      </c>
      <c r="E306">
        <f>IF('Per Invoice'!$V305="","",'Per Invoice'!F305)</f>
        <v/>
      </c>
      <c r="F306" s="7">
        <f>IF('Per Invoice'!$V305="","",'Per Invoice'!P305)</f>
        <v/>
      </c>
      <c r="G306" s="7">
        <f>IF('Per Invoice'!$V305="","",'Per Invoice'!Q305)</f>
        <v/>
      </c>
      <c r="H306" s="7">
        <f>IF('Per Invoice'!$V305="","",'Per Invoice'!M305)</f>
        <v/>
      </c>
      <c r="I306" s="7">
        <f>IF('Per Invoice'!$V305="","",'Per Invoice'!N305)</f>
        <v/>
      </c>
      <c r="J306" s="7">
        <f>IF('Per Invoice'!$V305="","",'Per Invoice'!K305)</f>
        <v/>
      </c>
      <c r="K306" s="7">
        <f>IF('Per Invoice'!$V305="","",'Per Invoice'!T305)</f>
        <v/>
      </c>
      <c r="L306" s="7">
        <f>IF('Per Invoice'!$V305="","",'Per Invoice'!S305)</f>
        <v/>
      </c>
    </row>
    <row r="307">
      <c r="A307">
        <f>IF('Per Invoice'!$V306="","",ROWS($A$3:A307))</f>
        <v/>
      </c>
      <c r="B307" s="11">
        <f>IF('Per Invoice'!$V306="","",'Per Invoice'!E306)</f>
        <v/>
      </c>
      <c r="C307">
        <f>IF('Per Invoice'!$V306="","",'Per Invoice'!G306)</f>
        <v/>
      </c>
      <c r="D307">
        <f>IF('Per Invoice'!$V306="","",'Per Invoice'!H306)</f>
        <v/>
      </c>
      <c r="E307">
        <f>IF('Per Invoice'!$V306="","",'Per Invoice'!F306)</f>
        <v/>
      </c>
      <c r="F307" s="7">
        <f>IF('Per Invoice'!$V306="","",'Per Invoice'!P306)</f>
        <v/>
      </c>
      <c r="G307" s="7">
        <f>IF('Per Invoice'!$V306="","",'Per Invoice'!Q306)</f>
        <v/>
      </c>
      <c r="H307" s="7">
        <f>IF('Per Invoice'!$V306="","",'Per Invoice'!M306)</f>
        <v/>
      </c>
      <c r="I307" s="7">
        <f>IF('Per Invoice'!$V306="","",'Per Invoice'!N306)</f>
        <v/>
      </c>
      <c r="J307" s="7">
        <f>IF('Per Invoice'!$V306="","",'Per Invoice'!K306)</f>
        <v/>
      </c>
      <c r="K307" s="7">
        <f>IF('Per Invoice'!$V306="","",'Per Invoice'!T306)</f>
        <v/>
      </c>
      <c r="L307" s="7">
        <f>IF('Per Invoice'!$V306="","",'Per Invoice'!S306)</f>
        <v/>
      </c>
    </row>
    <row r="308">
      <c r="A308">
        <f>IF('Per Invoice'!$V307="","",ROWS($A$3:A308))</f>
        <v/>
      </c>
      <c r="B308" s="11">
        <f>IF('Per Invoice'!$V307="","",'Per Invoice'!E307)</f>
        <v/>
      </c>
      <c r="C308">
        <f>IF('Per Invoice'!$V307="","",'Per Invoice'!G307)</f>
        <v/>
      </c>
      <c r="D308">
        <f>IF('Per Invoice'!$V307="","",'Per Invoice'!H307)</f>
        <v/>
      </c>
      <c r="E308">
        <f>IF('Per Invoice'!$V307="","",'Per Invoice'!F307)</f>
        <v/>
      </c>
      <c r="F308" s="7">
        <f>IF('Per Invoice'!$V307="","",'Per Invoice'!P307)</f>
        <v/>
      </c>
      <c r="G308" s="7">
        <f>IF('Per Invoice'!$V307="","",'Per Invoice'!Q307)</f>
        <v/>
      </c>
      <c r="H308" s="7">
        <f>IF('Per Invoice'!$V307="","",'Per Invoice'!M307)</f>
        <v/>
      </c>
      <c r="I308" s="7">
        <f>IF('Per Invoice'!$V307="","",'Per Invoice'!N307)</f>
        <v/>
      </c>
      <c r="J308" s="7">
        <f>IF('Per Invoice'!$V307="","",'Per Invoice'!K307)</f>
        <v/>
      </c>
      <c r="K308" s="7">
        <f>IF('Per Invoice'!$V307="","",'Per Invoice'!T307)</f>
        <v/>
      </c>
      <c r="L308" s="7">
        <f>IF('Per Invoice'!$V307="","",'Per Invoice'!S307)</f>
        <v/>
      </c>
    </row>
    <row r="309">
      <c r="A309">
        <f>IF('Per Invoice'!$V308="","",ROWS($A$3:A309))</f>
        <v/>
      </c>
      <c r="B309" s="11">
        <f>IF('Per Invoice'!$V308="","",'Per Invoice'!E308)</f>
        <v/>
      </c>
      <c r="C309">
        <f>IF('Per Invoice'!$V308="","",'Per Invoice'!G308)</f>
        <v/>
      </c>
      <c r="D309">
        <f>IF('Per Invoice'!$V308="","",'Per Invoice'!H308)</f>
        <v/>
      </c>
      <c r="E309">
        <f>IF('Per Invoice'!$V308="","",'Per Invoice'!F308)</f>
        <v/>
      </c>
      <c r="F309" s="7">
        <f>IF('Per Invoice'!$V308="","",'Per Invoice'!P308)</f>
        <v/>
      </c>
      <c r="G309" s="7">
        <f>IF('Per Invoice'!$V308="","",'Per Invoice'!Q308)</f>
        <v/>
      </c>
      <c r="H309" s="7">
        <f>IF('Per Invoice'!$V308="","",'Per Invoice'!M308)</f>
        <v/>
      </c>
      <c r="I309" s="7">
        <f>IF('Per Invoice'!$V308="","",'Per Invoice'!N308)</f>
        <v/>
      </c>
      <c r="J309" s="7">
        <f>IF('Per Invoice'!$V308="","",'Per Invoice'!K308)</f>
        <v/>
      </c>
      <c r="K309" s="7">
        <f>IF('Per Invoice'!$V308="","",'Per Invoice'!T308)</f>
        <v/>
      </c>
      <c r="L309" s="7">
        <f>IF('Per Invoice'!$V308="","",'Per Invoice'!S308)</f>
        <v/>
      </c>
    </row>
    <row r="310">
      <c r="A310">
        <f>IF('Per Invoice'!$V309="","",ROWS($A$3:A310))</f>
        <v/>
      </c>
      <c r="B310" s="11">
        <f>IF('Per Invoice'!$V309="","",'Per Invoice'!E309)</f>
        <v/>
      </c>
      <c r="C310">
        <f>IF('Per Invoice'!$V309="","",'Per Invoice'!G309)</f>
        <v/>
      </c>
      <c r="D310">
        <f>IF('Per Invoice'!$V309="","",'Per Invoice'!H309)</f>
        <v/>
      </c>
      <c r="E310">
        <f>IF('Per Invoice'!$V309="","",'Per Invoice'!F309)</f>
        <v/>
      </c>
      <c r="F310" s="7">
        <f>IF('Per Invoice'!$V309="","",'Per Invoice'!P309)</f>
        <v/>
      </c>
      <c r="G310" s="7">
        <f>IF('Per Invoice'!$V309="","",'Per Invoice'!Q309)</f>
        <v/>
      </c>
      <c r="H310" s="7">
        <f>IF('Per Invoice'!$V309="","",'Per Invoice'!M309)</f>
        <v/>
      </c>
      <c r="I310" s="7">
        <f>IF('Per Invoice'!$V309="","",'Per Invoice'!N309)</f>
        <v/>
      </c>
      <c r="J310" s="7">
        <f>IF('Per Invoice'!$V309="","",'Per Invoice'!K309)</f>
        <v/>
      </c>
      <c r="K310" s="7">
        <f>IF('Per Invoice'!$V309="","",'Per Invoice'!T309)</f>
        <v/>
      </c>
      <c r="L310" s="7">
        <f>IF('Per Invoice'!$V309="","",'Per Invoice'!S309)</f>
        <v/>
      </c>
    </row>
    <row r="311">
      <c r="A311">
        <f>IF('Per Invoice'!$V310="","",ROWS($A$3:A311))</f>
        <v/>
      </c>
      <c r="B311" s="11">
        <f>IF('Per Invoice'!$V310="","",'Per Invoice'!E310)</f>
        <v/>
      </c>
      <c r="C311">
        <f>IF('Per Invoice'!$V310="","",'Per Invoice'!G310)</f>
        <v/>
      </c>
      <c r="D311">
        <f>IF('Per Invoice'!$V310="","",'Per Invoice'!H310)</f>
        <v/>
      </c>
      <c r="E311">
        <f>IF('Per Invoice'!$V310="","",'Per Invoice'!F310)</f>
        <v/>
      </c>
      <c r="F311" s="7">
        <f>IF('Per Invoice'!$V310="","",'Per Invoice'!P310)</f>
        <v/>
      </c>
      <c r="G311" s="7">
        <f>IF('Per Invoice'!$V310="","",'Per Invoice'!Q310)</f>
        <v/>
      </c>
      <c r="H311" s="7">
        <f>IF('Per Invoice'!$V310="","",'Per Invoice'!M310)</f>
        <v/>
      </c>
      <c r="I311" s="7">
        <f>IF('Per Invoice'!$V310="","",'Per Invoice'!N310)</f>
        <v/>
      </c>
      <c r="J311" s="7">
        <f>IF('Per Invoice'!$V310="","",'Per Invoice'!K310)</f>
        <v/>
      </c>
      <c r="K311" s="7">
        <f>IF('Per Invoice'!$V310="","",'Per Invoice'!T310)</f>
        <v/>
      </c>
      <c r="L311" s="7">
        <f>IF('Per Invoice'!$V310="","",'Per Invoice'!S310)</f>
        <v/>
      </c>
    </row>
    <row r="312">
      <c r="A312">
        <f>IF('Per Invoice'!$V311="","",ROWS($A$3:A312))</f>
        <v/>
      </c>
      <c r="B312" s="11">
        <f>IF('Per Invoice'!$V311="","",'Per Invoice'!E311)</f>
        <v/>
      </c>
      <c r="C312">
        <f>IF('Per Invoice'!$V311="","",'Per Invoice'!G311)</f>
        <v/>
      </c>
      <c r="D312">
        <f>IF('Per Invoice'!$V311="","",'Per Invoice'!H311)</f>
        <v/>
      </c>
      <c r="E312">
        <f>IF('Per Invoice'!$V311="","",'Per Invoice'!F311)</f>
        <v/>
      </c>
      <c r="F312" s="7">
        <f>IF('Per Invoice'!$V311="","",'Per Invoice'!P311)</f>
        <v/>
      </c>
      <c r="G312" s="7">
        <f>IF('Per Invoice'!$V311="","",'Per Invoice'!Q311)</f>
        <v/>
      </c>
      <c r="H312" s="7">
        <f>IF('Per Invoice'!$V311="","",'Per Invoice'!M311)</f>
        <v/>
      </c>
      <c r="I312" s="7">
        <f>IF('Per Invoice'!$V311="","",'Per Invoice'!N311)</f>
        <v/>
      </c>
      <c r="J312" s="7">
        <f>IF('Per Invoice'!$V311="","",'Per Invoice'!K311)</f>
        <v/>
      </c>
      <c r="K312" s="7">
        <f>IF('Per Invoice'!$V311="","",'Per Invoice'!T311)</f>
        <v/>
      </c>
      <c r="L312" s="7">
        <f>IF('Per Invoice'!$V311="","",'Per Invoice'!S311)</f>
        <v/>
      </c>
    </row>
    <row r="313">
      <c r="A313">
        <f>IF('Per Invoice'!$V312="","",ROWS($A$3:A313))</f>
        <v/>
      </c>
      <c r="B313" s="11">
        <f>IF('Per Invoice'!$V312="","",'Per Invoice'!E312)</f>
        <v/>
      </c>
      <c r="C313">
        <f>IF('Per Invoice'!$V312="","",'Per Invoice'!G312)</f>
        <v/>
      </c>
      <c r="D313">
        <f>IF('Per Invoice'!$V312="","",'Per Invoice'!H312)</f>
        <v/>
      </c>
      <c r="E313">
        <f>IF('Per Invoice'!$V312="","",'Per Invoice'!F312)</f>
        <v/>
      </c>
      <c r="F313" s="7">
        <f>IF('Per Invoice'!$V312="","",'Per Invoice'!P312)</f>
        <v/>
      </c>
      <c r="G313" s="7">
        <f>IF('Per Invoice'!$V312="","",'Per Invoice'!Q312)</f>
        <v/>
      </c>
      <c r="H313" s="7">
        <f>IF('Per Invoice'!$V312="","",'Per Invoice'!M312)</f>
        <v/>
      </c>
      <c r="I313" s="7">
        <f>IF('Per Invoice'!$V312="","",'Per Invoice'!N312)</f>
        <v/>
      </c>
      <c r="J313" s="7">
        <f>IF('Per Invoice'!$V312="","",'Per Invoice'!K312)</f>
        <v/>
      </c>
      <c r="K313" s="7">
        <f>IF('Per Invoice'!$V312="","",'Per Invoice'!T312)</f>
        <v/>
      </c>
      <c r="L313" s="7">
        <f>IF('Per Invoice'!$V312="","",'Per Invoice'!S312)</f>
        <v/>
      </c>
    </row>
    <row r="314">
      <c r="A314">
        <f>IF('Per Invoice'!$V313="","",ROWS($A$3:A314))</f>
        <v/>
      </c>
      <c r="B314" s="11">
        <f>IF('Per Invoice'!$V313="","",'Per Invoice'!E313)</f>
        <v/>
      </c>
      <c r="C314">
        <f>IF('Per Invoice'!$V313="","",'Per Invoice'!G313)</f>
        <v/>
      </c>
      <c r="D314">
        <f>IF('Per Invoice'!$V313="","",'Per Invoice'!H313)</f>
        <v/>
      </c>
      <c r="E314">
        <f>IF('Per Invoice'!$V313="","",'Per Invoice'!F313)</f>
        <v/>
      </c>
      <c r="F314" s="7">
        <f>IF('Per Invoice'!$V313="","",'Per Invoice'!P313)</f>
        <v/>
      </c>
      <c r="G314" s="7">
        <f>IF('Per Invoice'!$V313="","",'Per Invoice'!Q313)</f>
        <v/>
      </c>
      <c r="H314" s="7">
        <f>IF('Per Invoice'!$V313="","",'Per Invoice'!M313)</f>
        <v/>
      </c>
      <c r="I314" s="7">
        <f>IF('Per Invoice'!$V313="","",'Per Invoice'!N313)</f>
        <v/>
      </c>
      <c r="J314" s="7">
        <f>IF('Per Invoice'!$V313="","",'Per Invoice'!K313)</f>
        <v/>
      </c>
      <c r="K314" s="7">
        <f>IF('Per Invoice'!$V313="","",'Per Invoice'!T313)</f>
        <v/>
      </c>
      <c r="L314" s="7">
        <f>IF('Per Invoice'!$V313="","",'Per Invoice'!S313)</f>
        <v/>
      </c>
    </row>
    <row r="315">
      <c r="A315">
        <f>IF('Per Invoice'!$V314="","",ROWS($A$3:A315))</f>
        <v/>
      </c>
      <c r="B315" s="11">
        <f>IF('Per Invoice'!$V314="","",'Per Invoice'!E314)</f>
        <v/>
      </c>
      <c r="C315">
        <f>IF('Per Invoice'!$V314="","",'Per Invoice'!G314)</f>
        <v/>
      </c>
      <c r="D315">
        <f>IF('Per Invoice'!$V314="","",'Per Invoice'!H314)</f>
        <v/>
      </c>
      <c r="E315">
        <f>IF('Per Invoice'!$V314="","",'Per Invoice'!F314)</f>
        <v/>
      </c>
      <c r="F315" s="7">
        <f>IF('Per Invoice'!$V314="","",'Per Invoice'!P314)</f>
        <v/>
      </c>
      <c r="G315" s="7">
        <f>IF('Per Invoice'!$V314="","",'Per Invoice'!Q314)</f>
        <v/>
      </c>
      <c r="H315" s="7">
        <f>IF('Per Invoice'!$V314="","",'Per Invoice'!M314)</f>
        <v/>
      </c>
      <c r="I315" s="7">
        <f>IF('Per Invoice'!$V314="","",'Per Invoice'!N314)</f>
        <v/>
      </c>
      <c r="J315" s="7">
        <f>IF('Per Invoice'!$V314="","",'Per Invoice'!K314)</f>
        <v/>
      </c>
      <c r="K315" s="7">
        <f>IF('Per Invoice'!$V314="","",'Per Invoice'!T314)</f>
        <v/>
      </c>
      <c r="L315" s="7">
        <f>IF('Per Invoice'!$V314="","",'Per Invoice'!S314)</f>
        <v/>
      </c>
    </row>
    <row r="316">
      <c r="A316">
        <f>IF('Per Invoice'!$V315="","",ROWS($A$3:A316))</f>
        <v/>
      </c>
      <c r="B316" s="11">
        <f>IF('Per Invoice'!$V315="","",'Per Invoice'!E315)</f>
        <v/>
      </c>
      <c r="C316">
        <f>IF('Per Invoice'!$V315="","",'Per Invoice'!G315)</f>
        <v/>
      </c>
      <c r="D316">
        <f>IF('Per Invoice'!$V315="","",'Per Invoice'!H315)</f>
        <v/>
      </c>
      <c r="E316">
        <f>IF('Per Invoice'!$V315="","",'Per Invoice'!F315)</f>
        <v/>
      </c>
      <c r="F316" s="7">
        <f>IF('Per Invoice'!$V315="","",'Per Invoice'!P315)</f>
        <v/>
      </c>
      <c r="G316" s="7">
        <f>IF('Per Invoice'!$V315="","",'Per Invoice'!Q315)</f>
        <v/>
      </c>
      <c r="H316" s="7">
        <f>IF('Per Invoice'!$V315="","",'Per Invoice'!M315)</f>
        <v/>
      </c>
      <c r="I316" s="7">
        <f>IF('Per Invoice'!$V315="","",'Per Invoice'!N315)</f>
        <v/>
      </c>
      <c r="J316" s="7">
        <f>IF('Per Invoice'!$V315="","",'Per Invoice'!K315)</f>
        <v/>
      </c>
      <c r="K316" s="7">
        <f>IF('Per Invoice'!$V315="","",'Per Invoice'!T315)</f>
        <v/>
      </c>
      <c r="L316" s="7">
        <f>IF('Per Invoice'!$V315="","",'Per Invoice'!S315)</f>
        <v/>
      </c>
    </row>
    <row r="317">
      <c r="A317">
        <f>IF('Per Invoice'!$V316="","",ROWS($A$3:A317))</f>
        <v/>
      </c>
      <c r="B317" s="11">
        <f>IF('Per Invoice'!$V316="","",'Per Invoice'!E316)</f>
        <v/>
      </c>
      <c r="C317">
        <f>IF('Per Invoice'!$V316="","",'Per Invoice'!G316)</f>
        <v/>
      </c>
      <c r="D317">
        <f>IF('Per Invoice'!$V316="","",'Per Invoice'!H316)</f>
        <v/>
      </c>
      <c r="E317">
        <f>IF('Per Invoice'!$V316="","",'Per Invoice'!F316)</f>
        <v/>
      </c>
      <c r="F317" s="7">
        <f>IF('Per Invoice'!$V316="","",'Per Invoice'!P316)</f>
        <v/>
      </c>
      <c r="G317" s="7">
        <f>IF('Per Invoice'!$V316="","",'Per Invoice'!Q316)</f>
        <v/>
      </c>
      <c r="H317" s="7">
        <f>IF('Per Invoice'!$V316="","",'Per Invoice'!M316)</f>
        <v/>
      </c>
      <c r="I317" s="7">
        <f>IF('Per Invoice'!$V316="","",'Per Invoice'!N316)</f>
        <v/>
      </c>
      <c r="J317" s="7">
        <f>IF('Per Invoice'!$V316="","",'Per Invoice'!K316)</f>
        <v/>
      </c>
      <c r="K317" s="7">
        <f>IF('Per Invoice'!$V316="","",'Per Invoice'!T316)</f>
        <v/>
      </c>
      <c r="L317" s="7">
        <f>IF('Per Invoice'!$V316="","",'Per Invoice'!S316)</f>
        <v/>
      </c>
    </row>
    <row r="318">
      <c r="A318">
        <f>IF('Per Invoice'!$V317="","",ROWS($A$3:A318))</f>
        <v/>
      </c>
      <c r="B318" s="11">
        <f>IF('Per Invoice'!$V317="","",'Per Invoice'!E317)</f>
        <v/>
      </c>
      <c r="C318">
        <f>IF('Per Invoice'!$V317="","",'Per Invoice'!G317)</f>
        <v/>
      </c>
      <c r="D318">
        <f>IF('Per Invoice'!$V317="","",'Per Invoice'!H317)</f>
        <v/>
      </c>
      <c r="E318">
        <f>IF('Per Invoice'!$V317="","",'Per Invoice'!F317)</f>
        <v/>
      </c>
      <c r="F318" s="7">
        <f>IF('Per Invoice'!$V317="","",'Per Invoice'!P317)</f>
        <v/>
      </c>
      <c r="G318" s="7">
        <f>IF('Per Invoice'!$V317="","",'Per Invoice'!Q317)</f>
        <v/>
      </c>
      <c r="H318" s="7">
        <f>IF('Per Invoice'!$V317="","",'Per Invoice'!M317)</f>
        <v/>
      </c>
      <c r="I318" s="7">
        <f>IF('Per Invoice'!$V317="","",'Per Invoice'!N317)</f>
        <v/>
      </c>
      <c r="J318" s="7">
        <f>IF('Per Invoice'!$V317="","",'Per Invoice'!K317)</f>
        <v/>
      </c>
      <c r="K318" s="7">
        <f>IF('Per Invoice'!$V317="","",'Per Invoice'!T317)</f>
        <v/>
      </c>
      <c r="L318" s="7">
        <f>IF('Per Invoice'!$V317="","",'Per Invoice'!S317)</f>
        <v/>
      </c>
    </row>
    <row r="319">
      <c r="A319">
        <f>IF('Per Invoice'!$V318="","",ROWS($A$3:A319))</f>
        <v/>
      </c>
      <c r="B319" s="11">
        <f>IF('Per Invoice'!$V318="","",'Per Invoice'!E318)</f>
        <v/>
      </c>
      <c r="C319">
        <f>IF('Per Invoice'!$V318="","",'Per Invoice'!G318)</f>
        <v/>
      </c>
      <c r="D319">
        <f>IF('Per Invoice'!$V318="","",'Per Invoice'!H318)</f>
        <v/>
      </c>
      <c r="E319">
        <f>IF('Per Invoice'!$V318="","",'Per Invoice'!F318)</f>
        <v/>
      </c>
      <c r="F319" s="7">
        <f>IF('Per Invoice'!$V318="","",'Per Invoice'!P318)</f>
        <v/>
      </c>
      <c r="G319" s="7">
        <f>IF('Per Invoice'!$V318="","",'Per Invoice'!Q318)</f>
        <v/>
      </c>
      <c r="H319" s="7">
        <f>IF('Per Invoice'!$V318="","",'Per Invoice'!M318)</f>
        <v/>
      </c>
      <c r="I319" s="7">
        <f>IF('Per Invoice'!$V318="","",'Per Invoice'!N318)</f>
        <v/>
      </c>
      <c r="J319" s="7">
        <f>IF('Per Invoice'!$V318="","",'Per Invoice'!K318)</f>
        <v/>
      </c>
      <c r="K319" s="7">
        <f>IF('Per Invoice'!$V318="","",'Per Invoice'!T318)</f>
        <v/>
      </c>
      <c r="L319" s="7">
        <f>IF('Per Invoice'!$V318="","",'Per Invoice'!S318)</f>
        <v/>
      </c>
    </row>
    <row r="320">
      <c r="A320">
        <f>IF('Per Invoice'!$V319="","",ROWS($A$3:A320))</f>
        <v/>
      </c>
      <c r="B320" s="11">
        <f>IF('Per Invoice'!$V319="","",'Per Invoice'!E319)</f>
        <v/>
      </c>
      <c r="C320">
        <f>IF('Per Invoice'!$V319="","",'Per Invoice'!G319)</f>
        <v/>
      </c>
      <c r="D320">
        <f>IF('Per Invoice'!$V319="","",'Per Invoice'!H319)</f>
        <v/>
      </c>
      <c r="E320">
        <f>IF('Per Invoice'!$V319="","",'Per Invoice'!F319)</f>
        <v/>
      </c>
      <c r="F320" s="7">
        <f>IF('Per Invoice'!$V319="","",'Per Invoice'!P319)</f>
        <v/>
      </c>
      <c r="G320" s="7">
        <f>IF('Per Invoice'!$V319="","",'Per Invoice'!Q319)</f>
        <v/>
      </c>
      <c r="H320" s="7">
        <f>IF('Per Invoice'!$V319="","",'Per Invoice'!M319)</f>
        <v/>
      </c>
      <c r="I320" s="7">
        <f>IF('Per Invoice'!$V319="","",'Per Invoice'!N319)</f>
        <v/>
      </c>
      <c r="J320" s="7">
        <f>IF('Per Invoice'!$V319="","",'Per Invoice'!K319)</f>
        <v/>
      </c>
      <c r="K320" s="7">
        <f>IF('Per Invoice'!$V319="","",'Per Invoice'!T319)</f>
        <v/>
      </c>
      <c r="L320" s="7">
        <f>IF('Per Invoice'!$V319="","",'Per Invoice'!S319)</f>
        <v/>
      </c>
    </row>
    <row r="321">
      <c r="A321">
        <f>IF('Per Invoice'!$V320="","",ROWS($A$3:A321))</f>
        <v/>
      </c>
      <c r="B321" s="11">
        <f>IF('Per Invoice'!$V320="","",'Per Invoice'!E320)</f>
        <v/>
      </c>
      <c r="C321">
        <f>IF('Per Invoice'!$V320="","",'Per Invoice'!G320)</f>
        <v/>
      </c>
      <c r="D321">
        <f>IF('Per Invoice'!$V320="","",'Per Invoice'!H320)</f>
        <v/>
      </c>
      <c r="E321">
        <f>IF('Per Invoice'!$V320="","",'Per Invoice'!F320)</f>
        <v/>
      </c>
      <c r="F321" s="7">
        <f>IF('Per Invoice'!$V320="","",'Per Invoice'!P320)</f>
        <v/>
      </c>
      <c r="G321" s="7">
        <f>IF('Per Invoice'!$V320="","",'Per Invoice'!Q320)</f>
        <v/>
      </c>
      <c r="H321" s="7">
        <f>IF('Per Invoice'!$V320="","",'Per Invoice'!M320)</f>
        <v/>
      </c>
      <c r="I321" s="7">
        <f>IF('Per Invoice'!$V320="","",'Per Invoice'!N320)</f>
        <v/>
      </c>
      <c r="J321" s="7">
        <f>IF('Per Invoice'!$V320="","",'Per Invoice'!K320)</f>
        <v/>
      </c>
      <c r="K321" s="7">
        <f>IF('Per Invoice'!$V320="","",'Per Invoice'!T320)</f>
        <v/>
      </c>
      <c r="L321" s="7">
        <f>IF('Per Invoice'!$V320="","",'Per Invoice'!S320)</f>
        <v/>
      </c>
    </row>
    <row r="322">
      <c r="A322">
        <f>IF('Per Invoice'!$V321="","",ROWS($A$3:A322))</f>
        <v/>
      </c>
      <c r="B322" s="11">
        <f>IF('Per Invoice'!$V321="","",'Per Invoice'!E321)</f>
        <v/>
      </c>
      <c r="C322">
        <f>IF('Per Invoice'!$V321="","",'Per Invoice'!G321)</f>
        <v/>
      </c>
      <c r="D322">
        <f>IF('Per Invoice'!$V321="","",'Per Invoice'!H321)</f>
        <v/>
      </c>
      <c r="E322">
        <f>IF('Per Invoice'!$V321="","",'Per Invoice'!F321)</f>
        <v/>
      </c>
      <c r="F322" s="7">
        <f>IF('Per Invoice'!$V321="","",'Per Invoice'!P321)</f>
        <v/>
      </c>
      <c r="G322" s="7">
        <f>IF('Per Invoice'!$V321="","",'Per Invoice'!Q321)</f>
        <v/>
      </c>
      <c r="H322" s="7">
        <f>IF('Per Invoice'!$V321="","",'Per Invoice'!M321)</f>
        <v/>
      </c>
      <c r="I322" s="7">
        <f>IF('Per Invoice'!$V321="","",'Per Invoice'!N321)</f>
        <v/>
      </c>
      <c r="J322" s="7">
        <f>IF('Per Invoice'!$V321="","",'Per Invoice'!K321)</f>
        <v/>
      </c>
      <c r="K322" s="7">
        <f>IF('Per Invoice'!$V321="","",'Per Invoice'!T321)</f>
        <v/>
      </c>
      <c r="L322" s="7">
        <f>IF('Per Invoice'!$V321="","",'Per Invoice'!S321)</f>
        <v/>
      </c>
    </row>
    <row r="323">
      <c r="A323">
        <f>IF('Per Invoice'!$V322="","",ROWS($A$3:A323))</f>
        <v/>
      </c>
      <c r="B323" s="11">
        <f>IF('Per Invoice'!$V322="","",'Per Invoice'!E322)</f>
        <v/>
      </c>
      <c r="C323">
        <f>IF('Per Invoice'!$V322="","",'Per Invoice'!G322)</f>
        <v/>
      </c>
      <c r="D323">
        <f>IF('Per Invoice'!$V322="","",'Per Invoice'!H322)</f>
        <v/>
      </c>
      <c r="E323">
        <f>IF('Per Invoice'!$V322="","",'Per Invoice'!F322)</f>
        <v/>
      </c>
      <c r="F323" s="7">
        <f>IF('Per Invoice'!$V322="","",'Per Invoice'!P322)</f>
        <v/>
      </c>
      <c r="G323" s="7">
        <f>IF('Per Invoice'!$V322="","",'Per Invoice'!Q322)</f>
        <v/>
      </c>
      <c r="H323" s="7">
        <f>IF('Per Invoice'!$V322="","",'Per Invoice'!M322)</f>
        <v/>
      </c>
      <c r="I323" s="7">
        <f>IF('Per Invoice'!$V322="","",'Per Invoice'!N322)</f>
        <v/>
      </c>
      <c r="J323" s="7">
        <f>IF('Per Invoice'!$V322="","",'Per Invoice'!K322)</f>
        <v/>
      </c>
      <c r="K323" s="7">
        <f>IF('Per Invoice'!$V322="","",'Per Invoice'!T322)</f>
        <v/>
      </c>
      <c r="L323" s="7">
        <f>IF('Per Invoice'!$V322="","",'Per Invoice'!S322)</f>
        <v/>
      </c>
    </row>
    <row r="324">
      <c r="A324">
        <f>IF('Per Invoice'!$V323="","",ROWS($A$3:A324))</f>
        <v/>
      </c>
      <c r="B324" s="11">
        <f>IF('Per Invoice'!$V323="","",'Per Invoice'!E323)</f>
        <v/>
      </c>
      <c r="C324">
        <f>IF('Per Invoice'!$V323="","",'Per Invoice'!G323)</f>
        <v/>
      </c>
      <c r="D324">
        <f>IF('Per Invoice'!$V323="","",'Per Invoice'!H323)</f>
        <v/>
      </c>
      <c r="E324">
        <f>IF('Per Invoice'!$V323="","",'Per Invoice'!F323)</f>
        <v/>
      </c>
      <c r="F324" s="7">
        <f>IF('Per Invoice'!$V323="","",'Per Invoice'!P323)</f>
        <v/>
      </c>
      <c r="G324" s="7">
        <f>IF('Per Invoice'!$V323="","",'Per Invoice'!Q323)</f>
        <v/>
      </c>
      <c r="H324" s="7">
        <f>IF('Per Invoice'!$V323="","",'Per Invoice'!M323)</f>
        <v/>
      </c>
      <c r="I324" s="7">
        <f>IF('Per Invoice'!$V323="","",'Per Invoice'!N323)</f>
        <v/>
      </c>
      <c r="J324" s="7">
        <f>IF('Per Invoice'!$V323="","",'Per Invoice'!K323)</f>
        <v/>
      </c>
      <c r="K324" s="7">
        <f>IF('Per Invoice'!$V323="","",'Per Invoice'!T323)</f>
        <v/>
      </c>
      <c r="L324" s="7">
        <f>IF('Per Invoice'!$V323="","",'Per Invoice'!S323)</f>
        <v/>
      </c>
    </row>
    <row r="325">
      <c r="A325">
        <f>IF('Per Invoice'!$V324="","",ROWS($A$3:A325))</f>
        <v/>
      </c>
      <c r="B325" s="11">
        <f>IF('Per Invoice'!$V324="","",'Per Invoice'!E324)</f>
        <v/>
      </c>
      <c r="C325">
        <f>IF('Per Invoice'!$V324="","",'Per Invoice'!G324)</f>
        <v/>
      </c>
      <c r="D325">
        <f>IF('Per Invoice'!$V324="","",'Per Invoice'!H324)</f>
        <v/>
      </c>
      <c r="E325">
        <f>IF('Per Invoice'!$V324="","",'Per Invoice'!F324)</f>
        <v/>
      </c>
      <c r="F325" s="7">
        <f>IF('Per Invoice'!$V324="","",'Per Invoice'!P324)</f>
        <v/>
      </c>
      <c r="G325" s="7">
        <f>IF('Per Invoice'!$V324="","",'Per Invoice'!Q324)</f>
        <v/>
      </c>
      <c r="H325" s="7">
        <f>IF('Per Invoice'!$V324="","",'Per Invoice'!M324)</f>
        <v/>
      </c>
      <c r="I325" s="7">
        <f>IF('Per Invoice'!$V324="","",'Per Invoice'!N324)</f>
        <v/>
      </c>
      <c r="J325" s="7">
        <f>IF('Per Invoice'!$V324="","",'Per Invoice'!K324)</f>
        <v/>
      </c>
      <c r="K325" s="7">
        <f>IF('Per Invoice'!$V324="","",'Per Invoice'!T324)</f>
        <v/>
      </c>
      <c r="L325" s="7">
        <f>IF('Per Invoice'!$V324="","",'Per Invoice'!S324)</f>
        <v/>
      </c>
    </row>
    <row r="326">
      <c r="A326">
        <f>IF('Per Invoice'!$V325="","",ROWS($A$3:A326))</f>
        <v/>
      </c>
      <c r="B326" s="11">
        <f>IF('Per Invoice'!$V325="","",'Per Invoice'!E325)</f>
        <v/>
      </c>
      <c r="C326">
        <f>IF('Per Invoice'!$V325="","",'Per Invoice'!G325)</f>
        <v/>
      </c>
      <c r="D326">
        <f>IF('Per Invoice'!$V325="","",'Per Invoice'!H325)</f>
        <v/>
      </c>
      <c r="E326">
        <f>IF('Per Invoice'!$V325="","",'Per Invoice'!F325)</f>
        <v/>
      </c>
      <c r="F326" s="7">
        <f>IF('Per Invoice'!$V325="","",'Per Invoice'!P325)</f>
        <v/>
      </c>
      <c r="G326" s="7">
        <f>IF('Per Invoice'!$V325="","",'Per Invoice'!Q325)</f>
        <v/>
      </c>
      <c r="H326" s="7">
        <f>IF('Per Invoice'!$V325="","",'Per Invoice'!M325)</f>
        <v/>
      </c>
      <c r="I326" s="7">
        <f>IF('Per Invoice'!$V325="","",'Per Invoice'!N325)</f>
        <v/>
      </c>
      <c r="J326" s="7">
        <f>IF('Per Invoice'!$V325="","",'Per Invoice'!K325)</f>
        <v/>
      </c>
      <c r="K326" s="7">
        <f>IF('Per Invoice'!$V325="","",'Per Invoice'!T325)</f>
        <v/>
      </c>
      <c r="L326" s="7">
        <f>IF('Per Invoice'!$V325="","",'Per Invoice'!S325)</f>
        <v/>
      </c>
    </row>
    <row r="327">
      <c r="A327">
        <f>IF('Per Invoice'!$V326="","",ROWS($A$3:A327))</f>
        <v/>
      </c>
      <c r="B327" s="11">
        <f>IF('Per Invoice'!$V326="","",'Per Invoice'!E326)</f>
        <v/>
      </c>
      <c r="C327">
        <f>IF('Per Invoice'!$V326="","",'Per Invoice'!G326)</f>
        <v/>
      </c>
      <c r="D327">
        <f>IF('Per Invoice'!$V326="","",'Per Invoice'!H326)</f>
        <v/>
      </c>
      <c r="E327">
        <f>IF('Per Invoice'!$V326="","",'Per Invoice'!F326)</f>
        <v/>
      </c>
      <c r="F327" s="7">
        <f>IF('Per Invoice'!$V326="","",'Per Invoice'!P326)</f>
        <v/>
      </c>
      <c r="G327" s="7">
        <f>IF('Per Invoice'!$V326="","",'Per Invoice'!Q326)</f>
        <v/>
      </c>
      <c r="H327" s="7">
        <f>IF('Per Invoice'!$V326="","",'Per Invoice'!M326)</f>
        <v/>
      </c>
      <c r="I327" s="7">
        <f>IF('Per Invoice'!$V326="","",'Per Invoice'!N326)</f>
        <v/>
      </c>
      <c r="J327" s="7">
        <f>IF('Per Invoice'!$V326="","",'Per Invoice'!K326)</f>
        <v/>
      </c>
      <c r="K327" s="7">
        <f>IF('Per Invoice'!$V326="","",'Per Invoice'!T326)</f>
        <v/>
      </c>
      <c r="L327" s="7">
        <f>IF('Per Invoice'!$V326="","",'Per Invoice'!S326)</f>
        <v/>
      </c>
    </row>
    <row r="328">
      <c r="A328">
        <f>IF('Per Invoice'!$V327="","",ROWS($A$3:A328))</f>
        <v/>
      </c>
      <c r="B328" s="11">
        <f>IF('Per Invoice'!$V327="","",'Per Invoice'!E327)</f>
        <v/>
      </c>
      <c r="C328">
        <f>IF('Per Invoice'!$V327="","",'Per Invoice'!G327)</f>
        <v/>
      </c>
      <c r="D328">
        <f>IF('Per Invoice'!$V327="","",'Per Invoice'!H327)</f>
        <v/>
      </c>
      <c r="E328">
        <f>IF('Per Invoice'!$V327="","",'Per Invoice'!F327)</f>
        <v/>
      </c>
      <c r="F328" s="7">
        <f>IF('Per Invoice'!$V327="","",'Per Invoice'!P327)</f>
        <v/>
      </c>
      <c r="G328" s="7">
        <f>IF('Per Invoice'!$V327="","",'Per Invoice'!Q327)</f>
        <v/>
      </c>
      <c r="H328" s="7">
        <f>IF('Per Invoice'!$V327="","",'Per Invoice'!M327)</f>
        <v/>
      </c>
      <c r="I328" s="7">
        <f>IF('Per Invoice'!$V327="","",'Per Invoice'!N327)</f>
        <v/>
      </c>
      <c r="J328" s="7">
        <f>IF('Per Invoice'!$V327="","",'Per Invoice'!K327)</f>
        <v/>
      </c>
      <c r="K328" s="7">
        <f>IF('Per Invoice'!$V327="","",'Per Invoice'!T327)</f>
        <v/>
      </c>
      <c r="L328" s="7">
        <f>IF('Per Invoice'!$V327="","",'Per Invoice'!S327)</f>
        <v/>
      </c>
    </row>
    <row r="329">
      <c r="A329">
        <f>IF('Per Invoice'!$V328="","",ROWS($A$3:A329))</f>
        <v/>
      </c>
      <c r="B329" s="11">
        <f>IF('Per Invoice'!$V328="","",'Per Invoice'!E328)</f>
        <v/>
      </c>
      <c r="C329">
        <f>IF('Per Invoice'!$V328="","",'Per Invoice'!G328)</f>
        <v/>
      </c>
      <c r="D329">
        <f>IF('Per Invoice'!$V328="","",'Per Invoice'!H328)</f>
        <v/>
      </c>
      <c r="E329">
        <f>IF('Per Invoice'!$V328="","",'Per Invoice'!F328)</f>
        <v/>
      </c>
      <c r="F329" s="7">
        <f>IF('Per Invoice'!$V328="","",'Per Invoice'!P328)</f>
        <v/>
      </c>
      <c r="G329" s="7">
        <f>IF('Per Invoice'!$V328="","",'Per Invoice'!Q328)</f>
        <v/>
      </c>
      <c r="H329" s="7">
        <f>IF('Per Invoice'!$V328="","",'Per Invoice'!M328)</f>
        <v/>
      </c>
      <c r="I329" s="7">
        <f>IF('Per Invoice'!$V328="","",'Per Invoice'!N328)</f>
        <v/>
      </c>
      <c r="J329" s="7">
        <f>IF('Per Invoice'!$V328="","",'Per Invoice'!K328)</f>
        <v/>
      </c>
      <c r="K329" s="7">
        <f>IF('Per Invoice'!$V328="","",'Per Invoice'!T328)</f>
        <v/>
      </c>
      <c r="L329" s="7">
        <f>IF('Per Invoice'!$V328="","",'Per Invoice'!S328)</f>
        <v/>
      </c>
    </row>
    <row r="330">
      <c r="A330">
        <f>IF('Per Invoice'!$V329="","",ROWS($A$3:A330))</f>
        <v/>
      </c>
      <c r="B330" s="11">
        <f>IF('Per Invoice'!$V329="","",'Per Invoice'!E329)</f>
        <v/>
      </c>
      <c r="C330">
        <f>IF('Per Invoice'!$V329="","",'Per Invoice'!G329)</f>
        <v/>
      </c>
      <c r="D330">
        <f>IF('Per Invoice'!$V329="","",'Per Invoice'!H329)</f>
        <v/>
      </c>
      <c r="E330">
        <f>IF('Per Invoice'!$V329="","",'Per Invoice'!F329)</f>
        <v/>
      </c>
      <c r="F330" s="7">
        <f>IF('Per Invoice'!$V329="","",'Per Invoice'!P329)</f>
        <v/>
      </c>
      <c r="G330" s="7">
        <f>IF('Per Invoice'!$V329="","",'Per Invoice'!Q329)</f>
        <v/>
      </c>
      <c r="H330" s="7">
        <f>IF('Per Invoice'!$V329="","",'Per Invoice'!M329)</f>
        <v/>
      </c>
      <c r="I330" s="7">
        <f>IF('Per Invoice'!$V329="","",'Per Invoice'!N329)</f>
        <v/>
      </c>
      <c r="J330" s="7">
        <f>IF('Per Invoice'!$V329="","",'Per Invoice'!K329)</f>
        <v/>
      </c>
      <c r="K330" s="7">
        <f>IF('Per Invoice'!$V329="","",'Per Invoice'!T329)</f>
        <v/>
      </c>
      <c r="L330" s="7">
        <f>IF('Per Invoice'!$V329="","",'Per Invoice'!S329)</f>
        <v/>
      </c>
    </row>
    <row r="331">
      <c r="A331">
        <f>IF('Per Invoice'!$V330="","",ROWS($A$3:A331))</f>
        <v/>
      </c>
      <c r="B331" s="11">
        <f>IF('Per Invoice'!$V330="","",'Per Invoice'!E330)</f>
        <v/>
      </c>
      <c r="C331">
        <f>IF('Per Invoice'!$V330="","",'Per Invoice'!G330)</f>
        <v/>
      </c>
      <c r="D331">
        <f>IF('Per Invoice'!$V330="","",'Per Invoice'!H330)</f>
        <v/>
      </c>
      <c r="E331">
        <f>IF('Per Invoice'!$V330="","",'Per Invoice'!F330)</f>
        <v/>
      </c>
      <c r="F331" s="7">
        <f>IF('Per Invoice'!$V330="","",'Per Invoice'!P330)</f>
        <v/>
      </c>
      <c r="G331" s="7">
        <f>IF('Per Invoice'!$V330="","",'Per Invoice'!Q330)</f>
        <v/>
      </c>
      <c r="H331" s="7">
        <f>IF('Per Invoice'!$V330="","",'Per Invoice'!M330)</f>
        <v/>
      </c>
      <c r="I331" s="7">
        <f>IF('Per Invoice'!$V330="","",'Per Invoice'!N330)</f>
        <v/>
      </c>
      <c r="J331" s="7">
        <f>IF('Per Invoice'!$V330="","",'Per Invoice'!K330)</f>
        <v/>
      </c>
      <c r="K331" s="7">
        <f>IF('Per Invoice'!$V330="","",'Per Invoice'!T330)</f>
        <v/>
      </c>
      <c r="L331" s="7">
        <f>IF('Per Invoice'!$V330="","",'Per Invoice'!S330)</f>
        <v/>
      </c>
    </row>
    <row r="332">
      <c r="A332">
        <f>IF('Per Invoice'!$V331="","",ROWS($A$3:A332))</f>
        <v/>
      </c>
      <c r="B332" s="11">
        <f>IF('Per Invoice'!$V331="","",'Per Invoice'!E331)</f>
        <v/>
      </c>
      <c r="C332">
        <f>IF('Per Invoice'!$V331="","",'Per Invoice'!G331)</f>
        <v/>
      </c>
      <c r="D332">
        <f>IF('Per Invoice'!$V331="","",'Per Invoice'!H331)</f>
        <v/>
      </c>
      <c r="E332">
        <f>IF('Per Invoice'!$V331="","",'Per Invoice'!F331)</f>
        <v/>
      </c>
      <c r="F332" s="7">
        <f>IF('Per Invoice'!$V331="","",'Per Invoice'!P331)</f>
        <v/>
      </c>
      <c r="G332" s="7">
        <f>IF('Per Invoice'!$V331="","",'Per Invoice'!Q331)</f>
        <v/>
      </c>
      <c r="H332" s="7">
        <f>IF('Per Invoice'!$V331="","",'Per Invoice'!M331)</f>
        <v/>
      </c>
      <c r="I332" s="7">
        <f>IF('Per Invoice'!$V331="","",'Per Invoice'!N331)</f>
        <v/>
      </c>
      <c r="J332" s="7">
        <f>IF('Per Invoice'!$V331="","",'Per Invoice'!K331)</f>
        <v/>
      </c>
      <c r="K332" s="7">
        <f>IF('Per Invoice'!$V331="","",'Per Invoice'!T331)</f>
        <v/>
      </c>
      <c r="L332" s="7">
        <f>IF('Per Invoice'!$V331="","",'Per Invoice'!S331)</f>
        <v/>
      </c>
    </row>
    <row r="333">
      <c r="A333">
        <f>IF('Per Invoice'!$V332="","",ROWS($A$3:A333))</f>
        <v/>
      </c>
      <c r="B333" s="11">
        <f>IF('Per Invoice'!$V332="","",'Per Invoice'!E332)</f>
        <v/>
      </c>
      <c r="C333">
        <f>IF('Per Invoice'!$V332="","",'Per Invoice'!G332)</f>
        <v/>
      </c>
      <c r="D333">
        <f>IF('Per Invoice'!$V332="","",'Per Invoice'!H332)</f>
        <v/>
      </c>
      <c r="E333">
        <f>IF('Per Invoice'!$V332="","",'Per Invoice'!F332)</f>
        <v/>
      </c>
      <c r="F333" s="7">
        <f>IF('Per Invoice'!$V332="","",'Per Invoice'!P332)</f>
        <v/>
      </c>
      <c r="G333" s="7">
        <f>IF('Per Invoice'!$V332="","",'Per Invoice'!Q332)</f>
        <v/>
      </c>
      <c r="H333" s="7">
        <f>IF('Per Invoice'!$V332="","",'Per Invoice'!M332)</f>
        <v/>
      </c>
      <c r="I333" s="7">
        <f>IF('Per Invoice'!$V332="","",'Per Invoice'!N332)</f>
        <v/>
      </c>
      <c r="J333" s="7">
        <f>IF('Per Invoice'!$V332="","",'Per Invoice'!K332)</f>
        <v/>
      </c>
      <c r="K333" s="7">
        <f>IF('Per Invoice'!$V332="","",'Per Invoice'!T332)</f>
        <v/>
      </c>
      <c r="L333" s="7">
        <f>IF('Per Invoice'!$V332="","",'Per Invoice'!S332)</f>
        <v/>
      </c>
    </row>
    <row r="334">
      <c r="A334">
        <f>IF('Per Invoice'!$V333="","",ROWS($A$3:A334))</f>
        <v/>
      </c>
      <c r="B334" s="11">
        <f>IF('Per Invoice'!$V333="","",'Per Invoice'!E333)</f>
        <v/>
      </c>
      <c r="C334">
        <f>IF('Per Invoice'!$V333="","",'Per Invoice'!G333)</f>
        <v/>
      </c>
      <c r="D334">
        <f>IF('Per Invoice'!$V333="","",'Per Invoice'!H333)</f>
        <v/>
      </c>
      <c r="E334">
        <f>IF('Per Invoice'!$V333="","",'Per Invoice'!F333)</f>
        <v/>
      </c>
      <c r="F334" s="7">
        <f>IF('Per Invoice'!$V333="","",'Per Invoice'!P333)</f>
        <v/>
      </c>
      <c r="G334" s="7">
        <f>IF('Per Invoice'!$V333="","",'Per Invoice'!Q333)</f>
        <v/>
      </c>
      <c r="H334" s="7">
        <f>IF('Per Invoice'!$V333="","",'Per Invoice'!M333)</f>
        <v/>
      </c>
      <c r="I334" s="7">
        <f>IF('Per Invoice'!$V333="","",'Per Invoice'!N333)</f>
        <v/>
      </c>
      <c r="J334" s="7">
        <f>IF('Per Invoice'!$V333="","",'Per Invoice'!K333)</f>
        <v/>
      </c>
      <c r="K334" s="7">
        <f>IF('Per Invoice'!$V333="","",'Per Invoice'!T333)</f>
        <v/>
      </c>
      <c r="L334" s="7">
        <f>IF('Per Invoice'!$V333="","",'Per Invoice'!S333)</f>
        <v/>
      </c>
    </row>
    <row r="335">
      <c r="A335">
        <f>IF('Per Invoice'!$V334="","",ROWS($A$3:A335))</f>
        <v/>
      </c>
      <c r="B335" s="11">
        <f>IF('Per Invoice'!$V334="","",'Per Invoice'!E334)</f>
        <v/>
      </c>
      <c r="C335">
        <f>IF('Per Invoice'!$V334="","",'Per Invoice'!G334)</f>
        <v/>
      </c>
      <c r="D335">
        <f>IF('Per Invoice'!$V334="","",'Per Invoice'!H334)</f>
        <v/>
      </c>
      <c r="E335">
        <f>IF('Per Invoice'!$V334="","",'Per Invoice'!F334)</f>
        <v/>
      </c>
      <c r="F335" s="7">
        <f>IF('Per Invoice'!$V334="","",'Per Invoice'!P334)</f>
        <v/>
      </c>
      <c r="G335" s="7">
        <f>IF('Per Invoice'!$V334="","",'Per Invoice'!Q334)</f>
        <v/>
      </c>
      <c r="H335" s="7">
        <f>IF('Per Invoice'!$V334="","",'Per Invoice'!M334)</f>
        <v/>
      </c>
      <c r="I335" s="7">
        <f>IF('Per Invoice'!$V334="","",'Per Invoice'!N334)</f>
        <v/>
      </c>
      <c r="J335" s="7">
        <f>IF('Per Invoice'!$V334="","",'Per Invoice'!K334)</f>
        <v/>
      </c>
      <c r="K335" s="7">
        <f>IF('Per Invoice'!$V334="","",'Per Invoice'!T334)</f>
        <v/>
      </c>
      <c r="L335" s="7">
        <f>IF('Per Invoice'!$V334="","",'Per Invoice'!S334)</f>
        <v/>
      </c>
    </row>
    <row r="336">
      <c r="A336">
        <f>IF('Per Invoice'!$V335="","",ROWS($A$3:A336))</f>
        <v/>
      </c>
      <c r="B336" s="11">
        <f>IF('Per Invoice'!$V335="","",'Per Invoice'!E335)</f>
        <v/>
      </c>
      <c r="C336">
        <f>IF('Per Invoice'!$V335="","",'Per Invoice'!G335)</f>
        <v/>
      </c>
      <c r="D336">
        <f>IF('Per Invoice'!$V335="","",'Per Invoice'!H335)</f>
        <v/>
      </c>
      <c r="E336">
        <f>IF('Per Invoice'!$V335="","",'Per Invoice'!F335)</f>
        <v/>
      </c>
      <c r="F336" s="7">
        <f>IF('Per Invoice'!$V335="","",'Per Invoice'!P335)</f>
        <v/>
      </c>
      <c r="G336" s="7">
        <f>IF('Per Invoice'!$V335="","",'Per Invoice'!Q335)</f>
        <v/>
      </c>
      <c r="H336" s="7">
        <f>IF('Per Invoice'!$V335="","",'Per Invoice'!M335)</f>
        <v/>
      </c>
      <c r="I336" s="7">
        <f>IF('Per Invoice'!$V335="","",'Per Invoice'!N335)</f>
        <v/>
      </c>
      <c r="J336" s="7">
        <f>IF('Per Invoice'!$V335="","",'Per Invoice'!K335)</f>
        <v/>
      </c>
      <c r="K336" s="7">
        <f>IF('Per Invoice'!$V335="","",'Per Invoice'!T335)</f>
        <v/>
      </c>
      <c r="L336" s="7">
        <f>IF('Per Invoice'!$V335="","",'Per Invoice'!S335)</f>
        <v/>
      </c>
    </row>
    <row r="337">
      <c r="A337">
        <f>IF('Per Invoice'!$V336="","",ROWS($A$3:A337))</f>
        <v/>
      </c>
      <c r="B337" s="11">
        <f>IF('Per Invoice'!$V336="","",'Per Invoice'!E336)</f>
        <v/>
      </c>
      <c r="C337">
        <f>IF('Per Invoice'!$V336="","",'Per Invoice'!G336)</f>
        <v/>
      </c>
      <c r="D337">
        <f>IF('Per Invoice'!$V336="","",'Per Invoice'!H336)</f>
        <v/>
      </c>
      <c r="E337">
        <f>IF('Per Invoice'!$V336="","",'Per Invoice'!F336)</f>
        <v/>
      </c>
      <c r="F337" s="7">
        <f>IF('Per Invoice'!$V336="","",'Per Invoice'!P336)</f>
        <v/>
      </c>
      <c r="G337" s="7">
        <f>IF('Per Invoice'!$V336="","",'Per Invoice'!Q336)</f>
        <v/>
      </c>
      <c r="H337" s="7">
        <f>IF('Per Invoice'!$V336="","",'Per Invoice'!M336)</f>
        <v/>
      </c>
      <c r="I337" s="7">
        <f>IF('Per Invoice'!$V336="","",'Per Invoice'!N336)</f>
        <v/>
      </c>
      <c r="J337" s="7">
        <f>IF('Per Invoice'!$V336="","",'Per Invoice'!K336)</f>
        <v/>
      </c>
      <c r="K337" s="7">
        <f>IF('Per Invoice'!$V336="","",'Per Invoice'!T336)</f>
        <v/>
      </c>
      <c r="L337" s="7">
        <f>IF('Per Invoice'!$V336="","",'Per Invoice'!S336)</f>
        <v/>
      </c>
    </row>
    <row r="338">
      <c r="A338">
        <f>IF('Per Invoice'!$V337="","",ROWS($A$3:A338))</f>
        <v/>
      </c>
      <c r="B338" s="11">
        <f>IF('Per Invoice'!$V337="","",'Per Invoice'!E337)</f>
        <v/>
      </c>
      <c r="C338">
        <f>IF('Per Invoice'!$V337="","",'Per Invoice'!G337)</f>
        <v/>
      </c>
      <c r="D338">
        <f>IF('Per Invoice'!$V337="","",'Per Invoice'!H337)</f>
        <v/>
      </c>
      <c r="E338">
        <f>IF('Per Invoice'!$V337="","",'Per Invoice'!F337)</f>
        <v/>
      </c>
      <c r="F338" s="7">
        <f>IF('Per Invoice'!$V337="","",'Per Invoice'!P337)</f>
        <v/>
      </c>
      <c r="G338" s="7">
        <f>IF('Per Invoice'!$V337="","",'Per Invoice'!Q337)</f>
        <v/>
      </c>
      <c r="H338" s="7">
        <f>IF('Per Invoice'!$V337="","",'Per Invoice'!M337)</f>
        <v/>
      </c>
      <c r="I338" s="7">
        <f>IF('Per Invoice'!$V337="","",'Per Invoice'!N337)</f>
        <v/>
      </c>
      <c r="J338" s="7">
        <f>IF('Per Invoice'!$V337="","",'Per Invoice'!K337)</f>
        <v/>
      </c>
      <c r="K338" s="7">
        <f>IF('Per Invoice'!$V337="","",'Per Invoice'!T337)</f>
        <v/>
      </c>
      <c r="L338" s="7">
        <f>IF('Per Invoice'!$V337="","",'Per Invoice'!S337)</f>
        <v/>
      </c>
    </row>
    <row r="339">
      <c r="A339">
        <f>IF('Per Invoice'!$V338="","",ROWS($A$3:A339))</f>
        <v/>
      </c>
      <c r="B339" s="11">
        <f>IF('Per Invoice'!$V338="","",'Per Invoice'!E338)</f>
        <v/>
      </c>
      <c r="C339">
        <f>IF('Per Invoice'!$V338="","",'Per Invoice'!G338)</f>
        <v/>
      </c>
      <c r="D339">
        <f>IF('Per Invoice'!$V338="","",'Per Invoice'!H338)</f>
        <v/>
      </c>
      <c r="E339">
        <f>IF('Per Invoice'!$V338="","",'Per Invoice'!F338)</f>
        <v/>
      </c>
      <c r="F339" s="7">
        <f>IF('Per Invoice'!$V338="","",'Per Invoice'!P338)</f>
        <v/>
      </c>
      <c r="G339" s="7">
        <f>IF('Per Invoice'!$V338="","",'Per Invoice'!Q338)</f>
        <v/>
      </c>
      <c r="H339" s="7">
        <f>IF('Per Invoice'!$V338="","",'Per Invoice'!M338)</f>
        <v/>
      </c>
      <c r="I339" s="7">
        <f>IF('Per Invoice'!$V338="","",'Per Invoice'!N338)</f>
        <v/>
      </c>
      <c r="J339" s="7">
        <f>IF('Per Invoice'!$V338="","",'Per Invoice'!K338)</f>
        <v/>
      </c>
      <c r="K339" s="7">
        <f>IF('Per Invoice'!$V338="","",'Per Invoice'!T338)</f>
        <v/>
      </c>
      <c r="L339" s="7">
        <f>IF('Per Invoice'!$V338="","",'Per Invoice'!S338)</f>
        <v/>
      </c>
    </row>
    <row r="340">
      <c r="A340">
        <f>IF('Per Invoice'!$V339="","",ROWS($A$3:A340))</f>
        <v/>
      </c>
      <c r="B340" s="11">
        <f>IF('Per Invoice'!$V339="","",'Per Invoice'!E339)</f>
        <v/>
      </c>
      <c r="C340">
        <f>IF('Per Invoice'!$V339="","",'Per Invoice'!G339)</f>
        <v/>
      </c>
      <c r="D340">
        <f>IF('Per Invoice'!$V339="","",'Per Invoice'!H339)</f>
        <v/>
      </c>
      <c r="E340">
        <f>IF('Per Invoice'!$V339="","",'Per Invoice'!F339)</f>
        <v/>
      </c>
      <c r="F340" s="7">
        <f>IF('Per Invoice'!$V339="","",'Per Invoice'!P339)</f>
        <v/>
      </c>
      <c r="G340" s="7">
        <f>IF('Per Invoice'!$V339="","",'Per Invoice'!Q339)</f>
        <v/>
      </c>
      <c r="H340" s="7">
        <f>IF('Per Invoice'!$V339="","",'Per Invoice'!M339)</f>
        <v/>
      </c>
      <c r="I340" s="7">
        <f>IF('Per Invoice'!$V339="","",'Per Invoice'!N339)</f>
        <v/>
      </c>
      <c r="J340" s="7">
        <f>IF('Per Invoice'!$V339="","",'Per Invoice'!K339)</f>
        <v/>
      </c>
      <c r="K340" s="7">
        <f>IF('Per Invoice'!$V339="","",'Per Invoice'!T339)</f>
        <v/>
      </c>
      <c r="L340" s="7">
        <f>IF('Per Invoice'!$V339="","",'Per Invoice'!S339)</f>
        <v/>
      </c>
    </row>
    <row r="341">
      <c r="A341">
        <f>IF('Per Invoice'!$V340="","",ROWS($A$3:A341))</f>
        <v/>
      </c>
      <c r="B341" s="11">
        <f>IF('Per Invoice'!$V340="","",'Per Invoice'!E340)</f>
        <v/>
      </c>
      <c r="C341">
        <f>IF('Per Invoice'!$V340="","",'Per Invoice'!G340)</f>
        <v/>
      </c>
      <c r="D341">
        <f>IF('Per Invoice'!$V340="","",'Per Invoice'!H340)</f>
        <v/>
      </c>
      <c r="E341">
        <f>IF('Per Invoice'!$V340="","",'Per Invoice'!F340)</f>
        <v/>
      </c>
      <c r="F341" s="7">
        <f>IF('Per Invoice'!$V340="","",'Per Invoice'!P340)</f>
        <v/>
      </c>
      <c r="G341" s="7">
        <f>IF('Per Invoice'!$V340="","",'Per Invoice'!Q340)</f>
        <v/>
      </c>
      <c r="H341" s="7">
        <f>IF('Per Invoice'!$V340="","",'Per Invoice'!M340)</f>
        <v/>
      </c>
      <c r="I341" s="7">
        <f>IF('Per Invoice'!$V340="","",'Per Invoice'!N340)</f>
        <v/>
      </c>
      <c r="J341" s="7">
        <f>IF('Per Invoice'!$V340="","",'Per Invoice'!K340)</f>
        <v/>
      </c>
      <c r="K341" s="7">
        <f>IF('Per Invoice'!$V340="","",'Per Invoice'!T340)</f>
        <v/>
      </c>
      <c r="L341" s="7">
        <f>IF('Per Invoice'!$V340="","",'Per Invoice'!S340)</f>
        <v/>
      </c>
    </row>
    <row r="342">
      <c r="A342">
        <f>IF('Per Invoice'!$V341="","",ROWS($A$3:A342))</f>
        <v/>
      </c>
      <c r="B342" s="11">
        <f>IF('Per Invoice'!$V341="","",'Per Invoice'!E341)</f>
        <v/>
      </c>
      <c r="C342">
        <f>IF('Per Invoice'!$V341="","",'Per Invoice'!G341)</f>
        <v/>
      </c>
      <c r="D342">
        <f>IF('Per Invoice'!$V341="","",'Per Invoice'!H341)</f>
        <v/>
      </c>
      <c r="E342">
        <f>IF('Per Invoice'!$V341="","",'Per Invoice'!F341)</f>
        <v/>
      </c>
      <c r="F342" s="7">
        <f>IF('Per Invoice'!$V341="","",'Per Invoice'!P341)</f>
        <v/>
      </c>
      <c r="G342" s="7">
        <f>IF('Per Invoice'!$V341="","",'Per Invoice'!Q341)</f>
        <v/>
      </c>
      <c r="H342" s="7">
        <f>IF('Per Invoice'!$V341="","",'Per Invoice'!M341)</f>
        <v/>
      </c>
      <c r="I342" s="7">
        <f>IF('Per Invoice'!$V341="","",'Per Invoice'!N341)</f>
        <v/>
      </c>
      <c r="J342" s="7">
        <f>IF('Per Invoice'!$V341="","",'Per Invoice'!K341)</f>
        <v/>
      </c>
      <c r="K342" s="7">
        <f>IF('Per Invoice'!$V341="","",'Per Invoice'!T341)</f>
        <v/>
      </c>
      <c r="L342" s="7">
        <f>IF('Per Invoice'!$V341="","",'Per Invoice'!S341)</f>
        <v/>
      </c>
    </row>
    <row r="343">
      <c r="A343">
        <f>IF('Per Invoice'!$V342="","",ROWS($A$3:A343))</f>
        <v/>
      </c>
      <c r="B343" s="11">
        <f>IF('Per Invoice'!$V342="","",'Per Invoice'!E342)</f>
        <v/>
      </c>
      <c r="C343">
        <f>IF('Per Invoice'!$V342="","",'Per Invoice'!G342)</f>
        <v/>
      </c>
      <c r="D343">
        <f>IF('Per Invoice'!$V342="","",'Per Invoice'!H342)</f>
        <v/>
      </c>
      <c r="E343">
        <f>IF('Per Invoice'!$V342="","",'Per Invoice'!F342)</f>
        <v/>
      </c>
      <c r="F343" s="7">
        <f>IF('Per Invoice'!$V342="","",'Per Invoice'!P342)</f>
        <v/>
      </c>
      <c r="G343" s="7">
        <f>IF('Per Invoice'!$V342="","",'Per Invoice'!Q342)</f>
        <v/>
      </c>
      <c r="H343" s="7">
        <f>IF('Per Invoice'!$V342="","",'Per Invoice'!M342)</f>
        <v/>
      </c>
      <c r="I343" s="7">
        <f>IF('Per Invoice'!$V342="","",'Per Invoice'!N342)</f>
        <v/>
      </c>
      <c r="J343" s="7">
        <f>IF('Per Invoice'!$V342="","",'Per Invoice'!K342)</f>
        <v/>
      </c>
      <c r="K343" s="7">
        <f>IF('Per Invoice'!$V342="","",'Per Invoice'!T342)</f>
        <v/>
      </c>
      <c r="L343" s="7">
        <f>IF('Per Invoice'!$V342="","",'Per Invoice'!S342)</f>
        <v/>
      </c>
    </row>
    <row r="344">
      <c r="A344">
        <f>IF('Per Invoice'!$V343="","",ROWS($A$3:A344))</f>
        <v/>
      </c>
      <c r="B344" s="11">
        <f>IF('Per Invoice'!$V343="","",'Per Invoice'!E343)</f>
        <v/>
      </c>
      <c r="C344">
        <f>IF('Per Invoice'!$V343="","",'Per Invoice'!G343)</f>
        <v/>
      </c>
      <c r="D344">
        <f>IF('Per Invoice'!$V343="","",'Per Invoice'!H343)</f>
        <v/>
      </c>
      <c r="E344">
        <f>IF('Per Invoice'!$V343="","",'Per Invoice'!F343)</f>
        <v/>
      </c>
      <c r="F344" s="7">
        <f>IF('Per Invoice'!$V343="","",'Per Invoice'!P343)</f>
        <v/>
      </c>
      <c r="G344" s="7">
        <f>IF('Per Invoice'!$V343="","",'Per Invoice'!Q343)</f>
        <v/>
      </c>
      <c r="H344" s="7">
        <f>IF('Per Invoice'!$V343="","",'Per Invoice'!M343)</f>
        <v/>
      </c>
      <c r="I344" s="7">
        <f>IF('Per Invoice'!$V343="","",'Per Invoice'!N343)</f>
        <v/>
      </c>
      <c r="J344" s="7">
        <f>IF('Per Invoice'!$V343="","",'Per Invoice'!K343)</f>
        <v/>
      </c>
      <c r="K344" s="7">
        <f>IF('Per Invoice'!$V343="","",'Per Invoice'!T343)</f>
        <v/>
      </c>
      <c r="L344" s="7">
        <f>IF('Per Invoice'!$V343="","",'Per Invoice'!S343)</f>
        <v/>
      </c>
    </row>
    <row r="345">
      <c r="A345">
        <f>IF('Per Invoice'!$V344="","",ROWS($A$3:A345))</f>
        <v/>
      </c>
      <c r="B345" s="11">
        <f>IF('Per Invoice'!$V344="","",'Per Invoice'!E344)</f>
        <v/>
      </c>
      <c r="C345">
        <f>IF('Per Invoice'!$V344="","",'Per Invoice'!G344)</f>
        <v/>
      </c>
      <c r="D345">
        <f>IF('Per Invoice'!$V344="","",'Per Invoice'!H344)</f>
        <v/>
      </c>
      <c r="E345">
        <f>IF('Per Invoice'!$V344="","",'Per Invoice'!F344)</f>
        <v/>
      </c>
      <c r="F345" s="7">
        <f>IF('Per Invoice'!$V344="","",'Per Invoice'!P344)</f>
        <v/>
      </c>
      <c r="G345" s="7">
        <f>IF('Per Invoice'!$V344="","",'Per Invoice'!Q344)</f>
        <v/>
      </c>
      <c r="H345" s="7">
        <f>IF('Per Invoice'!$V344="","",'Per Invoice'!M344)</f>
        <v/>
      </c>
      <c r="I345" s="7">
        <f>IF('Per Invoice'!$V344="","",'Per Invoice'!N344)</f>
        <v/>
      </c>
      <c r="J345" s="7">
        <f>IF('Per Invoice'!$V344="","",'Per Invoice'!K344)</f>
        <v/>
      </c>
      <c r="K345" s="7">
        <f>IF('Per Invoice'!$V344="","",'Per Invoice'!T344)</f>
        <v/>
      </c>
      <c r="L345" s="7">
        <f>IF('Per Invoice'!$V344="","",'Per Invoice'!S344)</f>
        <v/>
      </c>
    </row>
    <row r="346">
      <c r="A346">
        <f>IF('Per Invoice'!$V345="","",ROWS($A$3:A346))</f>
        <v/>
      </c>
      <c r="B346" s="11">
        <f>IF('Per Invoice'!$V345="","",'Per Invoice'!E345)</f>
        <v/>
      </c>
      <c r="C346">
        <f>IF('Per Invoice'!$V345="","",'Per Invoice'!G345)</f>
        <v/>
      </c>
      <c r="D346">
        <f>IF('Per Invoice'!$V345="","",'Per Invoice'!H345)</f>
        <v/>
      </c>
      <c r="E346">
        <f>IF('Per Invoice'!$V345="","",'Per Invoice'!F345)</f>
        <v/>
      </c>
      <c r="F346" s="7">
        <f>IF('Per Invoice'!$V345="","",'Per Invoice'!P345)</f>
        <v/>
      </c>
      <c r="G346" s="7">
        <f>IF('Per Invoice'!$V345="","",'Per Invoice'!Q345)</f>
        <v/>
      </c>
      <c r="H346" s="7">
        <f>IF('Per Invoice'!$V345="","",'Per Invoice'!M345)</f>
        <v/>
      </c>
      <c r="I346" s="7">
        <f>IF('Per Invoice'!$V345="","",'Per Invoice'!N345)</f>
        <v/>
      </c>
      <c r="J346" s="7">
        <f>IF('Per Invoice'!$V345="","",'Per Invoice'!K345)</f>
        <v/>
      </c>
      <c r="K346" s="7">
        <f>IF('Per Invoice'!$V345="","",'Per Invoice'!T345)</f>
        <v/>
      </c>
      <c r="L346" s="7">
        <f>IF('Per Invoice'!$V345="","",'Per Invoice'!S345)</f>
        <v/>
      </c>
    </row>
    <row r="347">
      <c r="A347">
        <f>IF('Per Invoice'!$V346="","",ROWS($A$3:A347))</f>
        <v/>
      </c>
      <c r="B347" s="11">
        <f>IF('Per Invoice'!$V346="","",'Per Invoice'!E346)</f>
        <v/>
      </c>
      <c r="C347">
        <f>IF('Per Invoice'!$V346="","",'Per Invoice'!G346)</f>
        <v/>
      </c>
      <c r="D347">
        <f>IF('Per Invoice'!$V346="","",'Per Invoice'!H346)</f>
        <v/>
      </c>
      <c r="E347">
        <f>IF('Per Invoice'!$V346="","",'Per Invoice'!F346)</f>
        <v/>
      </c>
      <c r="F347" s="7">
        <f>IF('Per Invoice'!$V346="","",'Per Invoice'!P346)</f>
        <v/>
      </c>
      <c r="G347" s="7">
        <f>IF('Per Invoice'!$V346="","",'Per Invoice'!Q346)</f>
        <v/>
      </c>
      <c r="H347" s="7">
        <f>IF('Per Invoice'!$V346="","",'Per Invoice'!M346)</f>
        <v/>
      </c>
      <c r="I347" s="7">
        <f>IF('Per Invoice'!$V346="","",'Per Invoice'!N346)</f>
        <v/>
      </c>
      <c r="J347" s="7">
        <f>IF('Per Invoice'!$V346="","",'Per Invoice'!K346)</f>
        <v/>
      </c>
      <c r="K347" s="7">
        <f>IF('Per Invoice'!$V346="","",'Per Invoice'!T346)</f>
        <v/>
      </c>
      <c r="L347" s="7">
        <f>IF('Per Invoice'!$V346="","",'Per Invoice'!S346)</f>
        <v/>
      </c>
    </row>
    <row r="348">
      <c r="A348">
        <f>IF('Per Invoice'!$V347="","",ROWS($A$3:A348))</f>
        <v/>
      </c>
      <c r="B348" s="11">
        <f>IF('Per Invoice'!$V347="","",'Per Invoice'!E347)</f>
        <v/>
      </c>
      <c r="C348">
        <f>IF('Per Invoice'!$V347="","",'Per Invoice'!G347)</f>
        <v/>
      </c>
      <c r="D348">
        <f>IF('Per Invoice'!$V347="","",'Per Invoice'!H347)</f>
        <v/>
      </c>
      <c r="E348">
        <f>IF('Per Invoice'!$V347="","",'Per Invoice'!F347)</f>
        <v/>
      </c>
      <c r="F348" s="7">
        <f>IF('Per Invoice'!$V347="","",'Per Invoice'!P347)</f>
        <v/>
      </c>
      <c r="G348" s="7">
        <f>IF('Per Invoice'!$V347="","",'Per Invoice'!Q347)</f>
        <v/>
      </c>
      <c r="H348" s="7">
        <f>IF('Per Invoice'!$V347="","",'Per Invoice'!M347)</f>
        <v/>
      </c>
      <c r="I348" s="7">
        <f>IF('Per Invoice'!$V347="","",'Per Invoice'!N347)</f>
        <v/>
      </c>
      <c r="J348" s="7">
        <f>IF('Per Invoice'!$V347="","",'Per Invoice'!K347)</f>
        <v/>
      </c>
      <c r="K348" s="7">
        <f>IF('Per Invoice'!$V347="","",'Per Invoice'!T347)</f>
        <v/>
      </c>
      <c r="L348" s="7">
        <f>IF('Per Invoice'!$V347="","",'Per Invoice'!S347)</f>
        <v/>
      </c>
    </row>
    <row r="349">
      <c r="A349">
        <f>IF('Per Invoice'!$V348="","",ROWS($A$3:A349))</f>
        <v/>
      </c>
      <c r="B349" s="11">
        <f>IF('Per Invoice'!$V348="","",'Per Invoice'!E348)</f>
        <v/>
      </c>
      <c r="C349">
        <f>IF('Per Invoice'!$V348="","",'Per Invoice'!G348)</f>
        <v/>
      </c>
      <c r="D349">
        <f>IF('Per Invoice'!$V348="","",'Per Invoice'!H348)</f>
        <v/>
      </c>
      <c r="E349">
        <f>IF('Per Invoice'!$V348="","",'Per Invoice'!F348)</f>
        <v/>
      </c>
      <c r="F349" s="7">
        <f>IF('Per Invoice'!$V348="","",'Per Invoice'!P348)</f>
        <v/>
      </c>
      <c r="G349" s="7">
        <f>IF('Per Invoice'!$V348="","",'Per Invoice'!Q348)</f>
        <v/>
      </c>
      <c r="H349" s="7">
        <f>IF('Per Invoice'!$V348="","",'Per Invoice'!M348)</f>
        <v/>
      </c>
      <c r="I349" s="7">
        <f>IF('Per Invoice'!$V348="","",'Per Invoice'!N348)</f>
        <v/>
      </c>
      <c r="J349" s="7">
        <f>IF('Per Invoice'!$V348="","",'Per Invoice'!K348)</f>
        <v/>
      </c>
      <c r="K349" s="7">
        <f>IF('Per Invoice'!$V348="","",'Per Invoice'!T348)</f>
        <v/>
      </c>
      <c r="L349" s="7">
        <f>IF('Per Invoice'!$V348="","",'Per Invoice'!S348)</f>
        <v/>
      </c>
    </row>
    <row r="350">
      <c r="A350">
        <f>IF('Per Invoice'!$V349="","",ROWS($A$3:A350))</f>
        <v/>
      </c>
      <c r="B350" s="11">
        <f>IF('Per Invoice'!$V349="","",'Per Invoice'!E349)</f>
        <v/>
      </c>
      <c r="C350">
        <f>IF('Per Invoice'!$V349="","",'Per Invoice'!G349)</f>
        <v/>
      </c>
      <c r="D350">
        <f>IF('Per Invoice'!$V349="","",'Per Invoice'!H349)</f>
        <v/>
      </c>
      <c r="E350">
        <f>IF('Per Invoice'!$V349="","",'Per Invoice'!F349)</f>
        <v/>
      </c>
      <c r="F350" s="7">
        <f>IF('Per Invoice'!$V349="","",'Per Invoice'!P349)</f>
        <v/>
      </c>
      <c r="G350" s="7">
        <f>IF('Per Invoice'!$V349="","",'Per Invoice'!Q349)</f>
        <v/>
      </c>
      <c r="H350" s="7">
        <f>IF('Per Invoice'!$V349="","",'Per Invoice'!M349)</f>
        <v/>
      </c>
      <c r="I350" s="7">
        <f>IF('Per Invoice'!$V349="","",'Per Invoice'!N349)</f>
        <v/>
      </c>
      <c r="J350" s="7">
        <f>IF('Per Invoice'!$V349="","",'Per Invoice'!K349)</f>
        <v/>
      </c>
      <c r="K350" s="7">
        <f>IF('Per Invoice'!$V349="","",'Per Invoice'!T349)</f>
        <v/>
      </c>
      <c r="L350" s="7">
        <f>IF('Per Invoice'!$V349="","",'Per Invoice'!S349)</f>
        <v/>
      </c>
    </row>
    <row r="351">
      <c r="A351">
        <f>IF('Per Invoice'!$V350="","",ROWS($A$3:A351))</f>
        <v/>
      </c>
      <c r="B351" s="11">
        <f>IF('Per Invoice'!$V350="","",'Per Invoice'!E350)</f>
        <v/>
      </c>
      <c r="C351">
        <f>IF('Per Invoice'!$V350="","",'Per Invoice'!G350)</f>
        <v/>
      </c>
      <c r="D351">
        <f>IF('Per Invoice'!$V350="","",'Per Invoice'!H350)</f>
        <v/>
      </c>
      <c r="E351">
        <f>IF('Per Invoice'!$V350="","",'Per Invoice'!F350)</f>
        <v/>
      </c>
      <c r="F351" s="7">
        <f>IF('Per Invoice'!$V350="","",'Per Invoice'!P350)</f>
        <v/>
      </c>
      <c r="G351" s="7">
        <f>IF('Per Invoice'!$V350="","",'Per Invoice'!Q350)</f>
        <v/>
      </c>
      <c r="H351" s="7">
        <f>IF('Per Invoice'!$V350="","",'Per Invoice'!M350)</f>
        <v/>
      </c>
      <c r="I351" s="7">
        <f>IF('Per Invoice'!$V350="","",'Per Invoice'!N350)</f>
        <v/>
      </c>
      <c r="J351" s="7">
        <f>IF('Per Invoice'!$V350="","",'Per Invoice'!K350)</f>
        <v/>
      </c>
      <c r="K351" s="7">
        <f>IF('Per Invoice'!$V350="","",'Per Invoice'!T350)</f>
        <v/>
      </c>
      <c r="L351" s="7">
        <f>IF('Per Invoice'!$V350="","",'Per Invoice'!S350)</f>
        <v/>
      </c>
    </row>
    <row r="352">
      <c r="A352">
        <f>IF('Per Invoice'!$V351="","",ROWS($A$3:A352))</f>
        <v/>
      </c>
      <c r="B352" s="11">
        <f>IF('Per Invoice'!$V351="","",'Per Invoice'!E351)</f>
        <v/>
      </c>
      <c r="C352">
        <f>IF('Per Invoice'!$V351="","",'Per Invoice'!G351)</f>
        <v/>
      </c>
      <c r="D352">
        <f>IF('Per Invoice'!$V351="","",'Per Invoice'!H351)</f>
        <v/>
      </c>
      <c r="E352">
        <f>IF('Per Invoice'!$V351="","",'Per Invoice'!F351)</f>
        <v/>
      </c>
      <c r="F352" s="7">
        <f>IF('Per Invoice'!$V351="","",'Per Invoice'!P351)</f>
        <v/>
      </c>
      <c r="G352" s="7">
        <f>IF('Per Invoice'!$V351="","",'Per Invoice'!Q351)</f>
        <v/>
      </c>
      <c r="H352" s="7">
        <f>IF('Per Invoice'!$V351="","",'Per Invoice'!M351)</f>
        <v/>
      </c>
      <c r="I352" s="7">
        <f>IF('Per Invoice'!$V351="","",'Per Invoice'!N351)</f>
        <v/>
      </c>
      <c r="J352" s="7">
        <f>IF('Per Invoice'!$V351="","",'Per Invoice'!K351)</f>
        <v/>
      </c>
      <c r="K352" s="7">
        <f>IF('Per Invoice'!$V351="","",'Per Invoice'!T351)</f>
        <v/>
      </c>
      <c r="L352" s="7">
        <f>IF('Per Invoice'!$V351="","",'Per Invoice'!S351)</f>
        <v/>
      </c>
    </row>
    <row r="353">
      <c r="A353">
        <f>IF('Per Invoice'!$V352="","",ROWS($A$3:A353))</f>
        <v/>
      </c>
      <c r="B353" s="11">
        <f>IF('Per Invoice'!$V352="","",'Per Invoice'!E352)</f>
        <v/>
      </c>
      <c r="C353">
        <f>IF('Per Invoice'!$V352="","",'Per Invoice'!G352)</f>
        <v/>
      </c>
      <c r="D353">
        <f>IF('Per Invoice'!$V352="","",'Per Invoice'!H352)</f>
        <v/>
      </c>
      <c r="E353">
        <f>IF('Per Invoice'!$V352="","",'Per Invoice'!F352)</f>
        <v/>
      </c>
      <c r="F353" s="7">
        <f>IF('Per Invoice'!$V352="","",'Per Invoice'!P352)</f>
        <v/>
      </c>
      <c r="G353" s="7">
        <f>IF('Per Invoice'!$V352="","",'Per Invoice'!Q352)</f>
        <v/>
      </c>
      <c r="H353" s="7">
        <f>IF('Per Invoice'!$V352="","",'Per Invoice'!M352)</f>
        <v/>
      </c>
      <c r="I353" s="7">
        <f>IF('Per Invoice'!$V352="","",'Per Invoice'!N352)</f>
        <v/>
      </c>
      <c r="J353" s="7">
        <f>IF('Per Invoice'!$V352="","",'Per Invoice'!K352)</f>
        <v/>
      </c>
      <c r="K353" s="7">
        <f>IF('Per Invoice'!$V352="","",'Per Invoice'!T352)</f>
        <v/>
      </c>
      <c r="L353" s="7">
        <f>IF('Per Invoice'!$V352="","",'Per Invoice'!S352)</f>
        <v/>
      </c>
    </row>
    <row r="354">
      <c r="A354">
        <f>IF('Per Invoice'!$V353="","",ROWS($A$3:A354))</f>
        <v/>
      </c>
      <c r="B354" s="11">
        <f>IF('Per Invoice'!$V353="","",'Per Invoice'!E353)</f>
        <v/>
      </c>
      <c r="C354">
        <f>IF('Per Invoice'!$V353="","",'Per Invoice'!G353)</f>
        <v/>
      </c>
      <c r="D354">
        <f>IF('Per Invoice'!$V353="","",'Per Invoice'!H353)</f>
        <v/>
      </c>
      <c r="E354">
        <f>IF('Per Invoice'!$V353="","",'Per Invoice'!F353)</f>
        <v/>
      </c>
      <c r="F354" s="7">
        <f>IF('Per Invoice'!$V353="","",'Per Invoice'!P353)</f>
        <v/>
      </c>
      <c r="G354" s="7">
        <f>IF('Per Invoice'!$V353="","",'Per Invoice'!Q353)</f>
        <v/>
      </c>
      <c r="H354" s="7">
        <f>IF('Per Invoice'!$V353="","",'Per Invoice'!M353)</f>
        <v/>
      </c>
      <c r="I354" s="7">
        <f>IF('Per Invoice'!$V353="","",'Per Invoice'!N353)</f>
        <v/>
      </c>
      <c r="J354" s="7">
        <f>IF('Per Invoice'!$V353="","",'Per Invoice'!K353)</f>
        <v/>
      </c>
      <c r="K354" s="7">
        <f>IF('Per Invoice'!$V353="","",'Per Invoice'!T353)</f>
        <v/>
      </c>
      <c r="L354" s="7">
        <f>IF('Per Invoice'!$V353="","",'Per Invoice'!S353)</f>
        <v/>
      </c>
    </row>
    <row r="355">
      <c r="A355">
        <f>IF('Per Invoice'!$V354="","",ROWS($A$3:A355))</f>
        <v/>
      </c>
      <c r="B355" s="11">
        <f>IF('Per Invoice'!$V354="","",'Per Invoice'!E354)</f>
        <v/>
      </c>
      <c r="C355">
        <f>IF('Per Invoice'!$V354="","",'Per Invoice'!G354)</f>
        <v/>
      </c>
      <c r="D355">
        <f>IF('Per Invoice'!$V354="","",'Per Invoice'!H354)</f>
        <v/>
      </c>
      <c r="E355">
        <f>IF('Per Invoice'!$V354="","",'Per Invoice'!F354)</f>
        <v/>
      </c>
      <c r="F355" s="7">
        <f>IF('Per Invoice'!$V354="","",'Per Invoice'!P354)</f>
        <v/>
      </c>
      <c r="G355" s="7">
        <f>IF('Per Invoice'!$V354="","",'Per Invoice'!Q354)</f>
        <v/>
      </c>
      <c r="H355" s="7">
        <f>IF('Per Invoice'!$V354="","",'Per Invoice'!M354)</f>
        <v/>
      </c>
      <c r="I355" s="7">
        <f>IF('Per Invoice'!$V354="","",'Per Invoice'!N354)</f>
        <v/>
      </c>
      <c r="J355" s="7">
        <f>IF('Per Invoice'!$V354="","",'Per Invoice'!K354)</f>
        <v/>
      </c>
      <c r="K355" s="7">
        <f>IF('Per Invoice'!$V354="","",'Per Invoice'!T354)</f>
        <v/>
      </c>
      <c r="L355" s="7">
        <f>IF('Per Invoice'!$V354="","",'Per Invoice'!S354)</f>
        <v/>
      </c>
    </row>
    <row r="356">
      <c r="A356">
        <f>IF('Per Invoice'!$V355="","",ROWS($A$3:A356))</f>
        <v/>
      </c>
      <c r="B356" s="11">
        <f>IF('Per Invoice'!$V355="","",'Per Invoice'!E355)</f>
        <v/>
      </c>
      <c r="C356">
        <f>IF('Per Invoice'!$V355="","",'Per Invoice'!G355)</f>
        <v/>
      </c>
      <c r="D356">
        <f>IF('Per Invoice'!$V355="","",'Per Invoice'!H355)</f>
        <v/>
      </c>
      <c r="E356">
        <f>IF('Per Invoice'!$V355="","",'Per Invoice'!F355)</f>
        <v/>
      </c>
      <c r="F356" s="7">
        <f>IF('Per Invoice'!$V355="","",'Per Invoice'!P355)</f>
        <v/>
      </c>
      <c r="G356" s="7">
        <f>IF('Per Invoice'!$V355="","",'Per Invoice'!Q355)</f>
        <v/>
      </c>
      <c r="H356" s="7">
        <f>IF('Per Invoice'!$V355="","",'Per Invoice'!M355)</f>
        <v/>
      </c>
      <c r="I356" s="7">
        <f>IF('Per Invoice'!$V355="","",'Per Invoice'!N355)</f>
        <v/>
      </c>
      <c r="J356" s="7">
        <f>IF('Per Invoice'!$V355="","",'Per Invoice'!K355)</f>
        <v/>
      </c>
      <c r="K356" s="7">
        <f>IF('Per Invoice'!$V355="","",'Per Invoice'!T355)</f>
        <v/>
      </c>
      <c r="L356" s="7">
        <f>IF('Per Invoice'!$V355="","",'Per Invoice'!S355)</f>
        <v/>
      </c>
    </row>
    <row r="357">
      <c r="A357">
        <f>IF('Per Invoice'!$V356="","",ROWS($A$3:A357))</f>
        <v/>
      </c>
      <c r="B357" s="11">
        <f>IF('Per Invoice'!$V356="","",'Per Invoice'!E356)</f>
        <v/>
      </c>
      <c r="C357">
        <f>IF('Per Invoice'!$V356="","",'Per Invoice'!G356)</f>
        <v/>
      </c>
      <c r="D357">
        <f>IF('Per Invoice'!$V356="","",'Per Invoice'!H356)</f>
        <v/>
      </c>
      <c r="E357">
        <f>IF('Per Invoice'!$V356="","",'Per Invoice'!F356)</f>
        <v/>
      </c>
      <c r="F357" s="7">
        <f>IF('Per Invoice'!$V356="","",'Per Invoice'!P356)</f>
        <v/>
      </c>
      <c r="G357" s="7">
        <f>IF('Per Invoice'!$V356="","",'Per Invoice'!Q356)</f>
        <v/>
      </c>
      <c r="H357" s="7">
        <f>IF('Per Invoice'!$V356="","",'Per Invoice'!M356)</f>
        <v/>
      </c>
      <c r="I357" s="7">
        <f>IF('Per Invoice'!$V356="","",'Per Invoice'!N356)</f>
        <v/>
      </c>
      <c r="J357" s="7">
        <f>IF('Per Invoice'!$V356="","",'Per Invoice'!K356)</f>
        <v/>
      </c>
      <c r="K357" s="7">
        <f>IF('Per Invoice'!$V356="","",'Per Invoice'!T356)</f>
        <v/>
      </c>
      <c r="L357" s="7">
        <f>IF('Per Invoice'!$V356="","",'Per Invoice'!S356)</f>
        <v/>
      </c>
    </row>
    <row r="358">
      <c r="A358">
        <f>IF('Per Invoice'!$V357="","",ROWS($A$3:A358))</f>
        <v/>
      </c>
      <c r="B358" s="11">
        <f>IF('Per Invoice'!$V357="","",'Per Invoice'!E357)</f>
        <v/>
      </c>
      <c r="C358">
        <f>IF('Per Invoice'!$V357="","",'Per Invoice'!G357)</f>
        <v/>
      </c>
      <c r="D358">
        <f>IF('Per Invoice'!$V357="","",'Per Invoice'!H357)</f>
        <v/>
      </c>
      <c r="E358">
        <f>IF('Per Invoice'!$V357="","",'Per Invoice'!F357)</f>
        <v/>
      </c>
      <c r="F358" s="7">
        <f>IF('Per Invoice'!$V357="","",'Per Invoice'!P357)</f>
        <v/>
      </c>
      <c r="G358" s="7">
        <f>IF('Per Invoice'!$V357="","",'Per Invoice'!Q357)</f>
        <v/>
      </c>
      <c r="H358" s="7">
        <f>IF('Per Invoice'!$V357="","",'Per Invoice'!M357)</f>
        <v/>
      </c>
      <c r="I358" s="7">
        <f>IF('Per Invoice'!$V357="","",'Per Invoice'!N357)</f>
        <v/>
      </c>
      <c r="J358" s="7">
        <f>IF('Per Invoice'!$V357="","",'Per Invoice'!K357)</f>
        <v/>
      </c>
      <c r="K358" s="7">
        <f>IF('Per Invoice'!$V357="","",'Per Invoice'!T357)</f>
        <v/>
      </c>
      <c r="L358" s="7">
        <f>IF('Per Invoice'!$V357="","",'Per Invoice'!S357)</f>
        <v/>
      </c>
    </row>
    <row r="359">
      <c r="A359">
        <f>IF('Per Invoice'!$V358="","",ROWS($A$3:A359))</f>
        <v/>
      </c>
      <c r="B359" s="11">
        <f>IF('Per Invoice'!$V358="","",'Per Invoice'!E358)</f>
        <v/>
      </c>
      <c r="C359">
        <f>IF('Per Invoice'!$V358="","",'Per Invoice'!G358)</f>
        <v/>
      </c>
      <c r="D359">
        <f>IF('Per Invoice'!$V358="","",'Per Invoice'!H358)</f>
        <v/>
      </c>
      <c r="E359">
        <f>IF('Per Invoice'!$V358="","",'Per Invoice'!F358)</f>
        <v/>
      </c>
      <c r="F359" s="7">
        <f>IF('Per Invoice'!$V358="","",'Per Invoice'!P358)</f>
        <v/>
      </c>
      <c r="G359" s="7">
        <f>IF('Per Invoice'!$V358="","",'Per Invoice'!Q358)</f>
        <v/>
      </c>
      <c r="H359" s="7">
        <f>IF('Per Invoice'!$V358="","",'Per Invoice'!M358)</f>
        <v/>
      </c>
      <c r="I359" s="7">
        <f>IF('Per Invoice'!$V358="","",'Per Invoice'!N358)</f>
        <v/>
      </c>
      <c r="J359" s="7">
        <f>IF('Per Invoice'!$V358="","",'Per Invoice'!K358)</f>
        <v/>
      </c>
      <c r="K359" s="7">
        <f>IF('Per Invoice'!$V358="","",'Per Invoice'!T358)</f>
        <v/>
      </c>
      <c r="L359" s="7">
        <f>IF('Per Invoice'!$V358="","",'Per Invoice'!S358)</f>
        <v/>
      </c>
    </row>
    <row r="360">
      <c r="A360">
        <f>IF('Per Invoice'!$V359="","",ROWS($A$3:A360))</f>
        <v/>
      </c>
      <c r="B360" s="11">
        <f>IF('Per Invoice'!$V359="","",'Per Invoice'!E359)</f>
        <v/>
      </c>
      <c r="C360">
        <f>IF('Per Invoice'!$V359="","",'Per Invoice'!G359)</f>
        <v/>
      </c>
      <c r="D360">
        <f>IF('Per Invoice'!$V359="","",'Per Invoice'!H359)</f>
        <v/>
      </c>
      <c r="E360">
        <f>IF('Per Invoice'!$V359="","",'Per Invoice'!F359)</f>
        <v/>
      </c>
      <c r="F360" s="7">
        <f>IF('Per Invoice'!$V359="","",'Per Invoice'!P359)</f>
        <v/>
      </c>
      <c r="G360" s="7">
        <f>IF('Per Invoice'!$V359="","",'Per Invoice'!Q359)</f>
        <v/>
      </c>
      <c r="H360" s="7">
        <f>IF('Per Invoice'!$V359="","",'Per Invoice'!M359)</f>
        <v/>
      </c>
      <c r="I360" s="7">
        <f>IF('Per Invoice'!$V359="","",'Per Invoice'!N359)</f>
        <v/>
      </c>
      <c r="J360" s="7">
        <f>IF('Per Invoice'!$V359="","",'Per Invoice'!K359)</f>
        <v/>
      </c>
      <c r="K360" s="7">
        <f>IF('Per Invoice'!$V359="","",'Per Invoice'!T359)</f>
        <v/>
      </c>
      <c r="L360" s="7">
        <f>IF('Per Invoice'!$V359="","",'Per Invoice'!S359)</f>
        <v/>
      </c>
    </row>
    <row r="361">
      <c r="A361">
        <f>IF('Per Invoice'!$V360="","",ROWS($A$3:A361))</f>
        <v/>
      </c>
      <c r="B361" s="11">
        <f>IF('Per Invoice'!$V360="","",'Per Invoice'!E360)</f>
        <v/>
      </c>
      <c r="C361">
        <f>IF('Per Invoice'!$V360="","",'Per Invoice'!G360)</f>
        <v/>
      </c>
      <c r="D361">
        <f>IF('Per Invoice'!$V360="","",'Per Invoice'!H360)</f>
        <v/>
      </c>
      <c r="E361">
        <f>IF('Per Invoice'!$V360="","",'Per Invoice'!F360)</f>
        <v/>
      </c>
      <c r="F361" s="7">
        <f>IF('Per Invoice'!$V360="","",'Per Invoice'!P360)</f>
        <v/>
      </c>
      <c r="G361" s="7">
        <f>IF('Per Invoice'!$V360="","",'Per Invoice'!Q360)</f>
        <v/>
      </c>
      <c r="H361" s="7">
        <f>IF('Per Invoice'!$V360="","",'Per Invoice'!M360)</f>
        <v/>
      </c>
      <c r="I361" s="7">
        <f>IF('Per Invoice'!$V360="","",'Per Invoice'!N360)</f>
        <v/>
      </c>
      <c r="J361" s="7">
        <f>IF('Per Invoice'!$V360="","",'Per Invoice'!K360)</f>
        <v/>
      </c>
      <c r="K361" s="7">
        <f>IF('Per Invoice'!$V360="","",'Per Invoice'!T360)</f>
        <v/>
      </c>
      <c r="L361" s="7">
        <f>IF('Per Invoice'!$V360="","",'Per Invoice'!S360)</f>
        <v/>
      </c>
    </row>
    <row r="362">
      <c r="A362">
        <f>IF('Per Invoice'!$V361="","",ROWS($A$3:A362))</f>
        <v/>
      </c>
      <c r="B362" s="11">
        <f>IF('Per Invoice'!$V361="","",'Per Invoice'!E361)</f>
        <v/>
      </c>
      <c r="C362">
        <f>IF('Per Invoice'!$V361="","",'Per Invoice'!G361)</f>
        <v/>
      </c>
      <c r="D362">
        <f>IF('Per Invoice'!$V361="","",'Per Invoice'!H361)</f>
        <v/>
      </c>
      <c r="E362">
        <f>IF('Per Invoice'!$V361="","",'Per Invoice'!F361)</f>
        <v/>
      </c>
      <c r="F362" s="7">
        <f>IF('Per Invoice'!$V361="","",'Per Invoice'!P361)</f>
        <v/>
      </c>
      <c r="G362" s="7">
        <f>IF('Per Invoice'!$V361="","",'Per Invoice'!Q361)</f>
        <v/>
      </c>
      <c r="H362" s="7">
        <f>IF('Per Invoice'!$V361="","",'Per Invoice'!M361)</f>
        <v/>
      </c>
      <c r="I362" s="7">
        <f>IF('Per Invoice'!$V361="","",'Per Invoice'!N361)</f>
        <v/>
      </c>
      <c r="J362" s="7">
        <f>IF('Per Invoice'!$V361="","",'Per Invoice'!K361)</f>
        <v/>
      </c>
      <c r="K362" s="7">
        <f>IF('Per Invoice'!$V361="","",'Per Invoice'!T361)</f>
        <v/>
      </c>
      <c r="L362" s="7">
        <f>IF('Per Invoice'!$V361="","",'Per Invoice'!S361)</f>
        <v/>
      </c>
    </row>
    <row r="363">
      <c r="A363">
        <f>IF('Per Invoice'!$V362="","",ROWS($A$3:A363))</f>
        <v/>
      </c>
      <c r="B363" s="11">
        <f>IF('Per Invoice'!$V362="","",'Per Invoice'!E362)</f>
        <v/>
      </c>
      <c r="C363">
        <f>IF('Per Invoice'!$V362="","",'Per Invoice'!G362)</f>
        <v/>
      </c>
      <c r="D363">
        <f>IF('Per Invoice'!$V362="","",'Per Invoice'!H362)</f>
        <v/>
      </c>
      <c r="E363">
        <f>IF('Per Invoice'!$V362="","",'Per Invoice'!F362)</f>
        <v/>
      </c>
      <c r="F363" s="7">
        <f>IF('Per Invoice'!$V362="","",'Per Invoice'!P362)</f>
        <v/>
      </c>
      <c r="G363" s="7">
        <f>IF('Per Invoice'!$V362="","",'Per Invoice'!Q362)</f>
        <v/>
      </c>
      <c r="H363" s="7">
        <f>IF('Per Invoice'!$V362="","",'Per Invoice'!M362)</f>
        <v/>
      </c>
      <c r="I363" s="7">
        <f>IF('Per Invoice'!$V362="","",'Per Invoice'!N362)</f>
        <v/>
      </c>
      <c r="J363" s="7">
        <f>IF('Per Invoice'!$V362="","",'Per Invoice'!K362)</f>
        <v/>
      </c>
      <c r="K363" s="7">
        <f>IF('Per Invoice'!$V362="","",'Per Invoice'!T362)</f>
        <v/>
      </c>
      <c r="L363" s="7">
        <f>IF('Per Invoice'!$V362="","",'Per Invoice'!S362)</f>
        <v/>
      </c>
    </row>
    <row r="364">
      <c r="A364">
        <f>IF('Per Invoice'!$V363="","",ROWS($A$3:A364))</f>
        <v/>
      </c>
      <c r="B364" s="11">
        <f>IF('Per Invoice'!$V363="","",'Per Invoice'!E363)</f>
        <v/>
      </c>
      <c r="C364">
        <f>IF('Per Invoice'!$V363="","",'Per Invoice'!G363)</f>
        <v/>
      </c>
      <c r="D364">
        <f>IF('Per Invoice'!$V363="","",'Per Invoice'!H363)</f>
        <v/>
      </c>
      <c r="E364">
        <f>IF('Per Invoice'!$V363="","",'Per Invoice'!F363)</f>
        <v/>
      </c>
      <c r="F364" s="7">
        <f>IF('Per Invoice'!$V363="","",'Per Invoice'!P363)</f>
        <v/>
      </c>
      <c r="G364" s="7">
        <f>IF('Per Invoice'!$V363="","",'Per Invoice'!Q363)</f>
        <v/>
      </c>
      <c r="H364" s="7">
        <f>IF('Per Invoice'!$V363="","",'Per Invoice'!M363)</f>
        <v/>
      </c>
      <c r="I364" s="7">
        <f>IF('Per Invoice'!$V363="","",'Per Invoice'!N363)</f>
        <v/>
      </c>
      <c r="J364" s="7">
        <f>IF('Per Invoice'!$V363="","",'Per Invoice'!K363)</f>
        <v/>
      </c>
      <c r="K364" s="7">
        <f>IF('Per Invoice'!$V363="","",'Per Invoice'!T363)</f>
        <v/>
      </c>
      <c r="L364" s="7">
        <f>IF('Per Invoice'!$V363="","",'Per Invoice'!S363)</f>
        <v/>
      </c>
    </row>
    <row r="365">
      <c r="A365">
        <f>IF('Per Invoice'!$V364="","",ROWS($A$3:A365))</f>
        <v/>
      </c>
      <c r="B365" s="11">
        <f>IF('Per Invoice'!$V364="","",'Per Invoice'!E364)</f>
        <v/>
      </c>
      <c r="C365">
        <f>IF('Per Invoice'!$V364="","",'Per Invoice'!G364)</f>
        <v/>
      </c>
      <c r="D365">
        <f>IF('Per Invoice'!$V364="","",'Per Invoice'!H364)</f>
        <v/>
      </c>
      <c r="E365">
        <f>IF('Per Invoice'!$V364="","",'Per Invoice'!F364)</f>
        <v/>
      </c>
      <c r="F365" s="7">
        <f>IF('Per Invoice'!$V364="","",'Per Invoice'!P364)</f>
        <v/>
      </c>
      <c r="G365" s="7">
        <f>IF('Per Invoice'!$V364="","",'Per Invoice'!Q364)</f>
        <v/>
      </c>
      <c r="H365" s="7">
        <f>IF('Per Invoice'!$V364="","",'Per Invoice'!M364)</f>
        <v/>
      </c>
      <c r="I365" s="7">
        <f>IF('Per Invoice'!$V364="","",'Per Invoice'!N364)</f>
        <v/>
      </c>
      <c r="J365" s="7">
        <f>IF('Per Invoice'!$V364="","",'Per Invoice'!K364)</f>
        <v/>
      </c>
      <c r="K365" s="7">
        <f>IF('Per Invoice'!$V364="","",'Per Invoice'!T364)</f>
        <v/>
      </c>
      <c r="L365" s="7">
        <f>IF('Per Invoice'!$V364="","",'Per Invoice'!S364)</f>
        <v/>
      </c>
    </row>
    <row r="366">
      <c r="A366">
        <f>IF('Per Invoice'!$V365="","",ROWS($A$3:A366))</f>
        <v/>
      </c>
      <c r="B366" s="11">
        <f>IF('Per Invoice'!$V365="","",'Per Invoice'!E365)</f>
        <v/>
      </c>
      <c r="C366">
        <f>IF('Per Invoice'!$V365="","",'Per Invoice'!G365)</f>
        <v/>
      </c>
      <c r="D366">
        <f>IF('Per Invoice'!$V365="","",'Per Invoice'!H365)</f>
        <v/>
      </c>
      <c r="E366">
        <f>IF('Per Invoice'!$V365="","",'Per Invoice'!F365)</f>
        <v/>
      </c>
      <c r="F366" s="7">
        <f>IF('Per Invoice'!$V365="","",'Per Invoice'!P365)</f>
        <v/>
      </c>
      <c r="G366" s="7">
        <f>IF('Per Invoice'!$V365="","",'Per Invoice'!Q365)</f>
        <v/>
      </c>
      <c r="H366" s="7">
        <f>IF('Per Invoice'!$V365="","",'Per Invoice'!M365)</f>
        <v/>
      </c>
      <c r="I366" s="7">
        <f>IF('Per Invoice'!$V365="","",'Per Invoice'!N365)</f>
        <v/>
      </c>
      <c r="J366" s="7">
        <f>IF('Per Invoice'!$V365="","",'Per Invoice'!K365)</f>
        <v/>
      </c>
      <c r="K366" s="7">
        <f>IF('Per Invoice'!$V365="","",'Per Invoice'!T365)</f>
        <v/>
      </c>
      <c r="L366" s="7">
        <f>IF('Per Invoice'!$V365="","",'Per Invoice'!S365)</f>
        <v/>
      </c>
    </row>
    <row r="367">
      <c r="A367">
        <f>IF('Per Invoice'!$V366="","",ROWS($A$3:A367))</f>
        <v/>
      </c>
      <c r="B367" s="11">
        <f>IF('Per Invoice'!$V366="","",'Per Invoice'!E366)</f>
        <v/>
      </c>
      <c r="C367">
        <f>IF('Per Invoice'!$V366="","",'Per Invoice'!G366)</f>
        <v/>
      </c>
      <c r="D367">
        <f>IF('Per Invoice'!$V366="","",'Per Invoice'!H366)</f>
        <v/>
      </c>
      <c r="E367">
        <f>IF('Per Invoice'!$V366="","",'Per Invoice'!F366)</f>
        <v/>
      </c>
      <c r="F367" s="7">
        <f>IF('Per Invoice'!$V366="","",'Per Invoice'!P366)</f>
        <v/>
      </c>
      <c r="G367" s="7">
        <f>IF('Per Invoice'!$V366="","",'Per Invoice'!Q366)</f>
        <v/>
      </c>
      <c r="H367" s="7">
        <f>IF('Per Invoice'!$V366="","",'Per Invoice'!M366)</f>
        <v/>
      </c>
      <c r="I367" s="7">
        <f>IF('Per Invoice'!$V366="","",'Per Invoice'!N366)</f>
        <v/>
      </c>
      <c r="J367" s="7">
        <f>IF('Per Invoice'!$V366="","",'Per Invoice'!K366)</f>
        <v/>
      </c>
      <c r="K367" s="7">
        <f>IF('Per Invoice'!$V366="","",'Per Invoice'!T366)</f>
        <v/>
      </c>
      <c r="L367" s="7">
        <f>IF('Per Invoice'!$V366="","",'Per Invoice'!S366)</f>
        <v/>
      </c>
    </row>
    <row r="368">
      <c r="A368">
        <f>IF('Per Invoice'!$V367="","",ROWS($A$3:A368))</f>
        <v/>
      </c>
      <c r="B368" s="11">
        <f>IF('Per Invoice'!$V367="","",'Per Invoice'!E367)</f>
        <v/>
      </c>
      <c r="C368">
        <f>IF('Per Invoice'!$V367="","",'Per Invoice'!G367)</f>
        <v/>
      </c>
      <c r="D368">
        <f>IF('Per Invoice'!$V367="","",'Per Invoice'!H367)</f>
        <v/>
      </c>
      <c r="E368">
        <f>IF('Per Invoice'!$V367="","",'Per Invoice'!F367)</f>
        <v/>
      </c>
      <c r="F368" s="7">
        <f>IF('Per Invoice'!$V367="","",'Per Invoice'!P367)</f>
        <v/>
      </c>
      <c r="G368" s="7">
        <f>IF('Per Invoice'!$V367="","",'Per Invoice'!Q367)</f>
        <v/>
      </c>
      <c r="H368" s="7">
        <f>IF('Per Invoice'!$V367="","",'Per Invoice'!M367)</f>
        <v/>
      </c>
      <c r="I368" s="7">
        <f>IF('Per Invoice'!$V367="","",'Per Invoice'!N367)</f>
        <v/>
      </c>
      <c r="J368" s="7">
        <f>IF('Per Invoice'!$V367="","",'Per Invoice'!K367)</f>
        <v/>
      </c>
      <c r="K368" s="7">
        <f>IF('Per Invoice'!$V367="","",'Per Invoice'!T367)</f>
        <v/>
      </c>
      <c r="L368" s="7">
        <f>IF('Per Invoice'!$V367="","",'Per Invoice'!S367)</f>
        <v/>
      </c>
    </row>
    <row r="369">
      <c r="A369">
        <f>IF('Per Invoice'!$V368="","",ROWS($A$3:A369))</f>
        <v/>
      </c>
      <c r="B369" s="11">
        <f>IF('Per Invoice'!$V368="","",'Per Invoice'!E368)</f>
        <v/>
      </c>
      <c r="C369">
        <f>IF('Per Invoice'!$V368="","",'Per Invoice'!G368)</f>
        <v/>
      </c>
      <c r="D369">
        <f>IF('Per Invoice'!$V368="","",'Per Invoice'!H368)</f>
        <v/>
      </c>
      <c r="E369">
        <f>IF('Per Invoice'!$V368="","",'Per Invoice'!F368)</f>
        <v/>
      </c>
      <c r="F369" s="7">
        <f>IF('Per Invoice'!$V368="","",'Per Invoice'!P368)</f>
        <v/>
      </c>
      <c r="G369" s="7">
        <f>IF('Per Invoice'!$V368="","",'Per Invoice'!Q368)</f>
        <v/>
      </c>
      <c r="H369" s="7">
        <f>IF('Per Invoice'!$V368="","",'Per Invoice'!M368)</f>
        <v/>
      </c>
      <c r="I369" s="7">
        <f>IF('Per Invoice'!$V368="","",'Per Invoice'!N368)</f>
        <v/>
      </c>
      <c r="J369" s="7">
        <f>IF('Per Invoice'!$V368="","",'Per Invoice'!K368)</f>
        <v/>
      </c>
      <c r="K369" s="7">
        <f>IF('Per Invoice'!$V368="","",'Per Invoice'!T368)</f>
        <v/>
      </c>
      <c r="L369" s="7">
        <f>IF('Per Invoice'!$V368="","",'Per Invoice'!S368)</f>
        <v/>
      </c>
    </row>
    <row r="370">
      <c r="A370">
        <f>IF('Per Invoice'!$V369="","",ROWS($A$3:A370))</f>
        <v/>
      </c>
      <c r="B370" s="11">
        <f>IF('Per Invoice'!$V369="","",'Per Invoice'!E369)</f>
        <v/>
      </c>
      <c r="C370">
        <f>IF('Per Invoice'!$V369="","",'Per Invoice'!G369)</f>
        <v/>
      </c>
      <c r="D370">
        <f>IF('Per Invoice'!$V369="","",'Per Invoice'!H369)</f>
        <v/>
      </c>
      <c r="E370">
        <f>IF('Per Invoice'!$V369="","",'Per Invoice'!F369)</f>
        <v/>
      </c>
      <c r="F370" s="7">
        <f>IF('Per Invoice'!$V369="","",'Per Invoice'!P369)</f>
        <v/>
      </c>
      <c r="G370" s="7">
        <f>IF('Per Invoice'!$V369="","",'Per Invoice'!Q369)</f>
        <v/>
      </c>
      <c r="H370" s="7">
        <f>IF('Per Invoice'!$V369="","",'Per Invoice'!M369)</f>
        <v/>
      </c>
      <c r="I370" s="7">
        <f>IF('Per Invoice'!$V369="","",'Per Invoice'!N369)</f>
        <v/>
      </c>
      <c r="J370" s="7">
        <f>IF('Per Invoice'!$V369="","",'Per Invoice'!K369)</f>
        <v/>
      </c>
      <c r="K370" s="7">
        <f>IF('Per Invoice'!$V369="","",'Per Invoice'!T369)</f>
        <v/>
      </c>
      <c r="L370" s="7">
        <f>IF('Per Invoice'!$V369="","",'Per Invoice'!S369)</f>
        <v/>
      </c>
    </row>
    <row r="371">
      <c r="A371">
        <f>IF('Per Invoice'!$V370="","",ROWS($A$3:A371))</f>
        <v/>
      </c>
      <c r="B371" s="11">
        <f>IF('Per Invoice'!$V370="","",'Per Invoice'!E370)</f>
        <v/>
      </c>
      <c r="C371">
        <f>IF('Per Invoice'!$V370="","",'Per Invoice'!G370)</f>
        <v/>
      </c>
      <c r="D371">
        <f>IF('Per Invoice'!$V370="","",'Per Invoice'!H370)</f>
        <v/>
      </c>
      <c r="E371">
        <f>IF('Per Invoice'!$V370="","",'Per Invoice'!F370)</f>
        <v/>
      </c>
      <c r="F371" s="7">
        <f>IF('Per Invoice'!$V370="","",'Per Invoice'!P370)</f>
        <v/>
      </c>
      <c r="G371" s="7">
        <f>IF('Per Invoice'!$V370="","",'Per Invoice'!Q370)</f>
        <v/>
      </c>
      <c r="H371" s="7">
        <f>IF('Per Invoice'!$V370="","",'Per Invoice'!M370)</f>
        <v/>
      </c>
      <c r="I371" s="7">
        <f>IF('Per Invoice'!$V370="","",'Per Invoice'!N370)</f>
        <v/>
      </c>
      <c r="J371" s="7">
        <f>IF('Per Invoice'!$V370="","",'Per Invoice'!K370)</f>
        <v/>
      </c>
      <c r="K371" s="7">
        <f>IF('Per Invoice'!$V370="","",'Per Invoice'!T370)</f>
        <v/>
      </c>
      <c r="L371" s="7">
        <f>IF('Per Invoice'!$V370="","",'Per Invoice'!S370)</f>
        <v/>
      </c>
    </row>
    <row r="372">
      <c r="A372">
        <f>IF('Per Invoice'!$V371="","",ROWS($A$3:A372))</f>
        <v/>
      </c>
      <c r="B372" s="11">
        <f>IF('Per Invoice'!$V371="","",'Per Invoice'!E371)</f>
        <v/>
      </c>
      <c r="C372">
        <f>IF('Per Invoice'!$V371="","",'Per Invoice'!G371)</f>
        <v/>
      </c>
      <c r="D372">
        <f>IF('Per Invoice'!$V371="","",'Per Invoice'!H371)</f>
        <v/>
      </c>
      <c r="E372">
        <f>IF('Per Invoice'!$V371="","",'Per Invoice'!F371)</f>
        <v/>
      </c>
      <c r="F372" s="7">
        <f>IF('Per Invoice'!$V371="","",'Per Invoice'!P371)</f>
        <v/>
      </c>
      <c r="G372" s="7">
        <f>IF('Per Invoice'!$V371="","",'Per Invoice'!Q371)</f>
        <v/>
      </c>
      <c r="H372" s="7">
        <f>IF('Per Invoice'!$V371="","",'Per Invoice'!M371)</f>
        <v/>
      </c>
      <c r="I372" s="7">
        <f>IF('Per Invoice'!$V371="","",'Per Invoice'!N371)</f>
        <v/>
      </c>
      <c r="J372" s="7">
        <f>IF('Per Invoice'!$V371="","",'Per Invoice'!K371)</f>
        <v/>
      </c>
      <c r="K372" s="7">
        <f>IF('Per Invoice'!$V371="","",'Per Invoice'!T371)</f>
        <v/>
      </c>
      <c r="L372" s="7">
        <f>IF('Per Invoice'!$V371="","",'Per Invoice'!S371)</f>
        <v/>
      </c>
    </row>
    <row r="373">
      <c r="A373">
        <f>IF('Per Invoice'!$V372="","",ROWS($A$3:A373))</f>
        <v/>
      </c>
      <c r="B373" s="11">
        <f>IF('Per Invoice'!$V372="","",'Per Invoice'!E372)</f>
        <v/>
      </c>
      <c r="C373">
        <f>IF('Per Invoice'!$V372="","",'Per Invoice'!G372)</f>
        <v/>
      </c>
      <c r="D373">
        <f>IF('Per Invoice'!$V372="","",'Per Invoice'!H372)</f>
        <v/>
      </c>
      <c r="E373">
        <f>IF('Per Invoice'!$V372="","",'Per Invoice'!F372)</f>
        <v/>
      </c>
      <c r="F373" s="7">
        <f>IF('Per Invoice'!$V372="","",'Per Invoice'!P372)</f>
        <v/>
      </c>
      <c r="G373" s="7">
        <f>IF('Per Invoice'!$V372="","",'Per Invoice'!Q372)</f>
        <v/>
      </c>
      <c r="H373" s="7">
        <f>IF('Per Invoice'!$V372="","",'Per Invoice'!M372)</f>
        <v/>
      </c>
      <c r="I373" s="7">
        <f>IF('Per Invoice'!$V372="","",'Per Invoice'!N372)</f>
        <v/>
      </c>
      <c r="J373" s="7">
        <f>IF('Per Invoice'!$V372="","",'Per Invoice'!K372)</f>
        <v/>
      </c>
      <c r="K373" s="7">
        <f>IF('Per Invoice'!$V372="","",'Per Invoice'!T372)</f>
        <v/>
      </c>
      <c r="L373" s="7">
        <f>IF('Per Invoice'!$V372="","",'Per Invoice'!S372)</f>
        <v/>
      </c>
    </row>
    <row r="374">
      <c r="A374">
        <f>IF('Per Invoice'!$V373="","",ROWS($A$3:A374))</f>
        <v/>
      </c>
      <c r="B374" s="11">
        <f>IF('Per Invoice'!$V373="","",'Per Invoice'!E373)</f>
        <v/>
      </c>
      <c r="C374">
        <f>IF('Per Invoice'!$V373="","",'Per Invoice'!G373)</f>
        <v/>
      </c>
      <c r="D374">
        <f>IF('Per Invoice'!$V373="","",'Per Invoice'!H373)</f>
        <v/>
      </c>
      <c r="E374">
        <f>IF('Per Invoice'!$V373="","",'Per Invoice'!F373)</f>
        <v/>
      </c>
      <c r="F374" s="7">
        <f>IF('Per Invoice'!$V373="","",'Per Invoice'!P373)</f>
        <v/>
      </c>
      <c r="G374" s="7">
        <f>IF('Per Invoice'!$V373="","",'Per Invoice'!Q373)</f>
        <v/>
      </c>
      <c r="H374" s="7">
        <f>IF('Per Invoice'!$V373="","",'Per Invoice'!M373)</f>
        <v/>
      </c>
      <c r="I374" s="7">
        <f>IF('Per Invoice'!$V373="","",'Per Invoice'!N373)</f>
        <v/>
      </c>
      <c r="J374" s="7">
        <f>IF('Per Invoice'!$V373="","",'Per Invoice'!K373)</f>
        <v/>
      </c>
      <c r="K374" s="7">
        <f>IF('Per Invoice'!$V373="","",'Per Invoice'!T373)</f>
        <v/>
      </c>
      <c r="L374" s="7">
        <f>IF('Per Invoice'!$V373="","",'Per Invoice'!S373)</f>
        <v/>
      </c>
    </row>
    <row r="375">
      <c r="A375">
        <f>IF('Per Invoice'!$V374="","",ROWS($A$3:A375))</f>
        <v/>
      </c>
      <c r="B375" s="11">
        <f>IF('Per Invoice'!$V374="","",'Per Invoice'!E374)</f>
        <v/>
      </c>
      <c r="C375">
        <f>IF('Per Invoice'!$V374="","",'Per Invoice'!G374)</f>
        <v/>
      </c>
      <c r="D375">
        <f>IF('Per Invoice'!$V374="","",'Per Invoice'!H374)</f>
        <v/>
      </c>
      <c r="E375">
        <f>IF('Per Invoice'!$V374="","",'Per Invoice'!F374)</f>
        <v/>
      </c>
      <c r="F375" s="7">
        <f>IF('Per Invoice'!$V374="","",'Per Invoice'!P374)</f>
        <v/>
      </c>
      <c r="G375" s="7">
        <f>IF('Per Invoice'!$V374="","",'Per Invoice'!Q374)</f>
        <v/>
      </c>
      <c r="H375" s="7">
        <f>IF('Per Invoice'!$V374="","",'Per Invoice'!M374)</f>
        <v/>
      </c>
      <c r="I375" s="7">
        <f>IF('Per Invoice'!$V374="","",'Per Invoice'!N374)</f>
        <v/>
      </c>
      <c r="J375" s="7">
        <f>IF('Per Invoice'!$V374="","",'Per Invoice'!K374)</f>
        <v/>
      </c>
      <c r="K375" s="7">
        <f>IF('Per Invoice'!$V374="","",'Per Invoice'!T374)</f>
        <v/>
      </c>
      <c r="L375" s="7">
        <f>IF('Per Invoice'!$V374="","",'Per Invoice'!S374)</f>
        <v/>
      </c>
    </row>
    <row r="376">
      <c r="A376">
        <f>IF('Per Invoice'!$V375="","",ROWS($A$3:A376))</f>
        <v/>
      </c>
      <c r="B376" s="11">
        <f>IF('Per Invoice'!$V375="","",'Per Invoice'!E375)</f>
        <v/>
      </c>
      <c r="C376">
        <f>IF('Per Invoice'!$V375="","",'Per Invoice'!G375)</f>
        <v/>
      </c>
      <c r="D376">
        <f>IF('Per Invoice'!$V375="","",'Per Invoice'!H375)</f>
        <v/>
      </c>
      <c r="E376">
        <f>IF('Per Invoice'!$V375="","",'Per Invoice'!F375)</f>
        <v/>
      </c>
      <c r="F376" s="7">
        <f>IF('Per Invoice'!$V375="","",'Per Invoice'!P375)</f>
        <v/>
      </c>
      <c r="G376" s="7">
        <f>IF('Per Invoice'!$V375="","",'Per Invoice'!Q375)</f>
        <v/>
      </c>
      <c r="H376" s="7">
        <f>IF('Per Invoice'!$V375="","",'Per Invoice'!M375)</f>
        <v/>
      </c>
      <c r="I376" s="7">
        <f>IF('Per Invoice'!$V375="","",'Per Invoice'!N375)</f>
        <v/>
      </c>
      <c r="J376" s="7">
        <f>IF('Per Invoice'!$V375="","",'Per Invoice'!K375)</f>
        <v/>
      </c>
      <c r="K376" s="7">
        <f>IF('Per Invoice'!$V375="","",'Per Invoice'!T375)</f>
        <v/>
      </c>
      <c r="L376" s="7">
        <f>IF('Per Invoice'!$V375="","",'Per Invoice'!S375)</f>
        <v/>
      </c>
    </row>
    <row r="377">
      <c r="A377">
        <f>IF('Per Invoice'!$V376="","",ROWS($A$3:A377))</f>
        <v/>
      </c>
      <c r="B377" s="11">
        <f>IF('Per Invoice'!$V376="","",'Per Invoice'!E376)</f>
        <v/>
      </c>
      <c r="C377">
        <f>IF('Per Invoice'!$V376="","",'Per Invoice'!G376)</f>
        <v/>
      </c>
      <c r="D377">
        <f>IF('Per Invoice'!$V376="","",'Per Invoice'!H376)</f>
        <v/>
      </c>
      <c r="E377">
        <f>IF('Per Invoice'!$V376="","",'Per Invoice'!F376)</f>
        <v/>
      </c>
      <c r="F377" s="7">
        <f>IF('Per Invoice'!$V376="","",'Per Invoice'!P376)</f>
        <v/>
      </c>
      <c r="G377" s="7">
        <f>IF('Per Invoice'!$V376="","",'Per Invoice'!Q376)</f>
        <v/>
      </c>
      <c r="H377" s="7">
        <f>IF('Per Invoice'!$V376="","",'Per Invoice'!M376)</f>
        <v/>
      </c>
      <c r="I377" s="7">
        <f>IF('Per Invoice'!$V376="","",'Per Invoice'!N376)</f>
        <v/>
      </c>
      <c r="J377" s="7">
        <f>IF('Per Invoice'!$V376="","",'Per Invoice'!K376)</f>
        <v/>
      </c>
      <c r="K377" s="7">
        <f>IF('Per Invoice'!$V376="","",'Per Invoice'!T376)</f>
        <v/>
      </c>
      <c r="L377" s="7">
        <f>IF('Per Invoice'!$V376="","",'Per Invoice'!S376)</f>
        <v/>
      </c>
    </row>
    <row r="378">
      <c r="A378">
        <f>IF('Per Invoice'!$V377="","",ROWS($A$3:A378))</f>
        <v/>
      </c>
      <c r="B378" s="11">
        <f>IF('Per Invoice'!$V377="","",'Per Invoice'!E377)</f>
        <v/>
      </c>
      <c r="C378">
        <f>IF('Per Invoice'!$V377="","",'Per Invoice'!G377)</f>
        <v/>
      </c>
      <c r="D378">
        <f>IF('Per Invoice'!$V377="","",'Per Invoice'!H377)</f>
        <v/>
      </c>
      <c r="E378">
        <f>IF('Per Invoice'!$V377="","",'Per Invoice'!F377)</f>
        <v/>
      </c>
      <c r="F378" s="7">
        <f>IF('Per Invoice'!$V377="","",'Per Invoice'!P377)</f>
        <v/>
      </c>
      <c r="G378" s="7">
        <f>IF('Per Invoice'!$V377="","",'Per Invoice'!Q377)</f>
        <v/>
      </c>
      <c r="H378" s="7">
        <f>IF('Per Invoice'!$V377="","",'Per Invoice'!M377)</f>
        <v/>
      </c>
      <c r="I378" s="7">
        <f>IF('Per Invoice'!$V377="","",'Per Invoice'!N377)</f>
        <v/>
      </c>
      <c r="J378" s="7">
        <f>IF('Per Invoice'!$V377="","",'Per Invoice'!K377)</f>
        <v/>
      </c>
      <c r="K378" s="7">
        <f>IF('Per Invoice'!$V377="","",'Per Invoice'!T377)</f>
        <v/>
      </c>
      <c r="L378" s="7">
        <f>IF('Per Invoice'!$V377="","",'Per Invoice'!S377)</f>
        <v/>
      </c>
    </row>
    <row r="379">
      <c r="A379">
        <f>IF('Per Invoice'!$V378="","",ROWS($A$3:A379))</f>
        <v/>
      </c>
      <c r="B379" s="11">
        <f>IF('Per Invoice'!$V378="","",'Per Invoice'!E378)</f>
        <v/>
      </c>
      <c r="C379">
        <f>IF('Per Invoice'!$V378="","",'Per Invoice'!G378)</f>
        <v/>
      </c>
      <c r="D379">
        <f>IF('Per Invoice'!$V378="","",'Per Invoice'!H378)</f>
        <v/>
      </c>
      <c r="E379">
        <f>IF('Per Invoice'!$V378="","",'Per Invoice'!F378)</f>
        <v/>
      </c>
      <c r="F379" s="7">
        <f>IF('Per Invoice'!$V378="","",'Per Invoice'!P378)</f>
        <v/>
      </c>
      <c r="G379" s="7">
        <f>IF('Per Invoice'!$V378="","",'Per Invoice'!Q378)</f>
        <v/>
      </c>
      <c r="H379" s="7">
        <f>IF('Per Invoice'!$V378="","",'Per Invoice'!M378)</f>
        <v/>
      </c>
      <c r="I379" s="7">
        <f>IF('Per Invoice'!$V378="","",'Per Invoice'!N378)</f>
        <v/>
      </c>
      <c r="J379" s="7">
        <f>IF('Per Invoice'!$V378="","",'Per Invoice'!K378)</f>
        <v/>
      </c>
      <c r="K379" s="7">
        <f>IF('Per Invoice'!$V378="","",'Per Invoice'!T378)</f>
        <v/>
      </c>
      <c r="L379" s="7">
        <f>IF('Per Invoice'!$V378="","",'Per Invoice'!S378)</f>
        <v/>
      </c>
    </row>
    <row r="380">
      <c r="A380">
        <f>IF('Per Invoice'!$V379="","",ROWS($A$3:A380))</f>
        <v/>
      </c>
      <c r="B380" s="11">
        <f>IF('Per Invoice'!$V379="","",'Per Invoice'!E379)</f>
        <v/>
      </c>
      <c r="C380">
        <f>IF('Per Invoice'!$V379="","",'Per Invoice'!G379)</f>
        <v/>
      </c>
      <c r="D380">
        <f>IF('Per Invoice'!$V379="","",'Per Invoice'!H379)</f>
        <v/>
      </c>
      <c r="E380">
        <f>IF('Per Invoice'!$V379="","",'Per Invoice'!F379)</f>
        <v/>
      </c>
      <c r="F380" s="7">
        <f>IF('Per Invoice'!$V379="","",'Per Invoice'!P379)</f>
        <v/>
      </c>
      <c r="G380" s="7">
        <f>IF('Per Invoice'!$V379="","",'Per Invoice'!Q379)</f>
        <v/>
      </c>
      <c r="H380" s="7">
        <f>IF('Per Invoice'!$V379="","",'Per Invoice'!M379)</f>
        <v/>
      </c>
      <c r="I380" s="7">
        <f>IF('Per Invoice'!$V379="","",'Per Invoice'!N379)</f>
        <v/>
      </c>
      <c r="J380" s="7">
        <f>IF('Per Invoice'!$V379="","",'Per Invoice'!K379)</f>
        <v/>
      </c>
      <c r="K380" s="7">
        <f>IF('Per Invoice'!$V379="","",'Per Invoice'!T379)</f>
        <v/>
      </c>
      <c r="L380" s="7">
        <f>IF('Per Invoice'!$V379="","",'Per Invoice'!S379)</f>
        <v/>
      </c>
    </row>
    <row r="381">
      <c r="A381">
        <f>IF('Per Invoice'!$V380="","",ROWS($A$3:A381))</f>
        <v/>
      </c>
      <c r="B381" s="11">
        <f>IF('Per Invoice'!$V380="","",'Per Invoice'!E380)</f>
        <v/>
      </c>
      <c r="C381">
        <f>IF('Per Invoice'!$V380="","",'Per Invoice'!G380)</f>
        <v/>
      </c>
      <c r="D381">
        <f>IF('Per Invoice'!$V380="","",'Per Invoice'!H380)</f>
        <v/>
      </c>
      <c r="E381">
        <f>IF('Per Invoice'!$V380="","",'Per Invoice'!F380)</f>
        <v/>
      </c>
      <c r="F381" s="7">
        <f>IF('Per Invoice'!$V380="","",'Per Invoice'!P380)</f>
        <v/>
      </c>
      <c r="G381" s="7">
        <f>IF('Per Invoice'!$V380="","",'Per Invoice'!Q380)</f>
        <v/>
      </c>
      <c r="H381" s="7">
        <f>IF('Per Invoice'!$V380="","",'Per Invoice'!M380)</f>
        <v/>
      </c>
      <c r="I381" s="7">
        <f>IF('Per Invoice'!$V380="","",'Per Invoice'!N380)</f>
        <v/>
      </c>
      <c r="J381" s="7">
        <f>IF('Per Invoice'!$V380="","",'Per Invoice'!K380)</f>
        <v/>
      </c>
      <c r="K381" s="7">
        <f>IF('Per Invoice'!$V380="","",'Per Invoice'!T380)</f>
        <v/>
      </c>
      <c r="L381" s="7">
        <f>IF('Per Invoice'!$V380="","",'Per Invoice'!S380)</f>
        <v/>
      </c>
    </row>
    <row r="382">
      <c r="A382">
        <f>IF('Per Invoice'!$V381="","",ROWS($A$3:A382))</f>
        <v/>
      </c>
      <c r="B382" s="11">
        <f>IF('Per Invoice'!$V381="","",'Per Invoice'!E381)</f>
        <v/>
      </c>
      <c r="C382">
        <f>IF('Per Invoice'!$V381="","",'Per Invoice'!G381)</f>
        <v/>
      </c>
      <c r="D382">
        <f>IF('Per Invoice'!$V381="","",'Per Invoice'!H381)</f>
        <v/>
      </c>
      <c r="E382">
        <f>IF('Per Invoice'!$V381="","",'Per Invoice'!F381)</f>
        <v/>
      </c>
      <c r="F382" s="7">
        <f>IF('Per Invoice'!$V381="","",'Per Invoice'!P381)</f>
        <v/>
      </c>
      <c r="G382" s="7">
        <f>IF('Per Invoice'!$V381="","",'Per Invoice'!Q381)</f>
        <v/>
      </c>
      <c r="H382" s="7">
        <f>IF('Per Invoice'!$V381="","",'Per Invoice'!M381)</f>
        <v/>
      </c>
      <c r="I382" s="7">
        <f>IF('Per Invoice'!$V381="","",'Per Invoice'!N381)</f>
        <v/>
      </c>
      <c r="J382" s="7">
        <f>IF('Per Invoice'!$V381="","",'Per Invoice'!K381)</f>
        <v/>
      </c>
      <c r="K382" s="7">
        <f>IF('Per Invoice'!$V381="","",'Per Invoice'!T381)</f>
        <v/>
      </c>
      <c r="L382" s="7">
        <f>IF('Per Invoice'!$V381="","",'Per Invoice'!S381)</f>
        <v/>
      </c>
    </row>
    <row r="383">
      <c r="A383">
        <f>IF('Per Invoice'!$V382="","",ROWS($A$3:A383))</f>
        <v/>
      </c>
      <c r="B383" s="11">
        <f>IF('Per Invoice'!$V382="","",'Per Invoice'!E382)</f>
        <v/>
      </c>
      <c r="C383">
        <f>IF('Per Invoice'!$V382="","",'Per Invoice'!G382)</f>
        <v/>
      </c>
      <c r="D383">
        <f>IF('Per Invoice'!$V382="","",'Per Invoice'!H382)</f>
        <v/>
      </c>
      <c r="E383">
        <f>IF('Per Invoice'!$V382="","",'Per Invoice'!F382)</f>
        <v/>
      </c>
      <c r="F383" s="7">
        <f>IF('Per Invoice'!$V382="","",'Per Invoice'!P382)</f>
        <v/>
      </c>
      <c r="G383" s="7">
        <f>IF('Per Invoice'!$V382="","",'Per Invoice'!Q382)</f>
        <v/>
      </c>
      <c r="H383" s="7">
        <f>IF('Per Invoice'!$V382="","",'Per Invoice'!M382)</f>
        <v/>
      </c>
      <c r="I383" s="7">
        <f>IF('Per Invoice'!$V382="","",'Per Invoice'!N382)</f>
        <v/>
      </c>
      <c r="J383" s="7">
        <f>IF('Per Invoice'!$V382="","",'Per Invoice'!K382)</f>
        <v/>
      </c>
      <c r="K383" s="7">
        <f>IF('Per Invoice'!$V382="","",'Per Invoice'!T382)</f>
        <v/>
      </c>
      <c r="L383" s="7">
        <f>IF('Per Invoice'!$V382="","",'Per Invoice'!S382)</f>
        <v/>
      </c>
    </row>
    <row r="384">
      <c r="A384">
        <f>IF('Per Invoice'!$V383="","",ROWS($A$3:A384))</f>
        <v/>
      </c>
      <c r="B384" s="11">
        <f>IF('Per Invoice'!$V383="","",'Per Invoice'!E383)</f>
        <v/>
      </c>
      <c r="C384">
        <f>IF('Per Invoice'!$V383="","",'Per Invoice'!G383)</f>
        <v/>
      </c>
      <c r="D384">
        <f>IF('Per Invoice'!$V383="","",'Per Invoice'!H383)</f>
        <v/>
      </c>
      <c r="E384">
        <f>IF('Per Invoice'!$V383="","",'Per Invoice'!F383)</f>
        <v/>
      </c>
      <c r="F384" s="7">
        <f>IF('Per Invoice'!$V383="","",'Per Invoice'!P383)</f>
        <v/>
      </c>
      <c r="G384" s="7">
        <f>IF('Per Invoice'!$V383="","",'Per Invoice'!Q383)</f>
        <v/>
      </c>
      <c r="H384" s="7">
        <f>IF('Per Invoice'!$V383="","",'Per Invoice'!M383)</f>
        <v/>
      </c>
      <c r="I384" s="7">
        <f>IF('Per Invoice'!$V383="","",'Per Invoice'!N383)</f>
        <v/>
      </c>
      <c r="J384" s="7">
        <f>IF('Per Invoice'!$V383="","",'Per Invoice'!K383)</f>
        <v/>
      </c>
      <c r="K384" s="7">
        <f>IF('Per Invoice'!$V383="","",'Per Invoice'!T383)</f>
        <v/>
      </c>
      <c r="L384" s="7">
        <f>IF('Per Invoice'!$V383="","",'Per Invoice'!S383)</f>
        <v/>
      </c>
    </row>
    <row r="385">
      <c r="A385">
        <f>IF('Per Invoice'!$V384="","",ROWS($A$3:A385))</f>
        <v/>
      </c>
      <c r="B385" s="11">
        <f>IF('Per Invoice'!$V384="","",'Per Invoice'!E384)</f>
        <v/>
      </c>
      <c r="C385">
        <f>IF('Per Invoice'!$V384="","",'Per Invoice'!G384)</f>
        <v/>
      </c>
      <c r="D385">
        <f>IF('Per Invoice'!$V384="","",'Per Invoice'!H384)</f>
        <v/>
      </c>
      <c r="E385">
        <f>IF('Per Invoice'!$V384="","",'Per Invoice'!F384)</f>
        <v/>
      </c>
      <c r="F385" s="7">
        <f>IF('Per Invoice'!$V384="","",'Per Invoice'!P384)</f>
        <v/>
      </c>
      <c r="G385" s="7">
        <f>IF('Per Invoice'!$V384="","",'Per Invoice'!Q384)</f>
        <v/>
      </c>
      <c r="H385" s="7">
        <f>IF('Per Invoice'!$V384="","",'Per Invoice'!M384)</f>
        <v/>
      </c>
      <c r="I385" s="7">
        <f>IF('Per Invoice'!$V384="","",'Per Invoice'!N384)</f>
        <v/>
      </c>
      <c r="J385" s="7">
        <f>IF('Per Invoice'!$V384="","",'Per Invoice'!K384)</f>
        <v/>
      </c>
      <c r="K385" s="7">
        <f>IF('Per Invoice'!$V384="","",'Per Invoice'!T384)</f>
        <v/>
      </c>
      <c r="L385" s="7">
        <f>IF('Per Invoice'!$V384="","",'Per Invoice'!S384)</f>
        <v/>
      </c>
    </row>
    <row r="386">
      <c r="A386">
        <f>IF('Per Invoice'!$V385="","",ROWS($A$3:A386))</f>
        <v/>
      </c>
      <c r="B386" s="11">
        <f>IF('Per Invoice'!$V385="","",'Per Invoice'!E385)</f>
        <v/>
      </c>
      <c r="C386">
        <f>IF('Per Invoice'!$V385="","",'Per Invoice'!G385)</f>
        <v/>
      </c>
      <c r="D386">
        <f>IF('Per Invoice'!$V385="","",'Per Invoice'!H385)</f>
        <v/>
      </c>
      <c r="E386">
        <f>IF('Per Invoice'!$V385="","",'Per Invoice'!F385)</f>
        <v/>
      </c>
      <c r="F386" s="7">
        <f>IF('Per Invoice'!$V385="","",'Per Invoice'!P385)</f>
        <v/>
      </c>
      <c r="G386" s="7">
        <f>IF('Per Invoice'!$V385="","",'Per Invoice'!Q385)</f>
        <v/>
      </c>
      <c r="H386" s="7">
        <f>IF('Per Invoice'!$V385="","",'Per Invoice'!M385)</f>
        <v/>
      </c>
      <c r="I386" s="7">
        <f>IF('Per Invoice'!$V385="","",'Per Invoice'!N385)</f>
        <v/>
      </c>
      <c r="J386" s="7">
        <f>IF('Per Invoice'!$V385="","",'Per Invoice'!K385)</f>
        <v/>
      </c>
      <c r="K386" s="7">
        <f>IF('Per Invoice'!$V385="","",'Per Invoice'!T385)</f>
        <v/>
      </c>
      <c r="L386" s="7">
        <f>IF('Per Invoice'!$V385="","",'Per Invoice'!S385)</f>
        <v/>
      </c>
    </row>
    <row r="387">
      <c r="A387">
        <f>IF('Per Invoice'!$V386="","",ROWS($A$3:A387))</f>
        <v/>
      </c>
      <c r="B387" s="11">
        <f>IF('Per Invoice'!$V386="","",'Per Invoice'!E386)</f>
        <v/>
      </c>
      <c r="C387">
        <f>IF('Per Invoice'!$V386="","",'Per Invoice'!G386)</f>
        <v/>
      </c>
      <c r="D387">
        <f>IF('Per Invoice'!$V386="","",'Per Invoice'!H386)</f>
        <v/>
      </c>
      <c r="E387">
        <f>IF('Per Invoice'!$V386="","",'Per Invoice'!F386)</f>
        <v/>
      </c>
      <c r="F387" s="7">
        <f>IF('Per Invoice'!$V386="","",'Per Invoice'!P386)</f>
        <v/>
      </c>
      <c r="G387" s="7">
        <f>IF('Per Invoice'!$V386="","",'Per Invoice'!Q386)</f>
        <v/>
      </c>
      <c r="H387" s="7">
        <f>IF('Per Invoice'!$V386="","",'Per Invoice'!M386)</f>
        <v/>
      </c>
      <c r="I387" s="7">
        <f>IF('Per Invoice'!$V386="","",'Per Invoice'!N386)</f>
        <v/>
      </c>
      <c r="J387" s="7">
        <f>IF('Per Invoice'!$V386="","",'Per Invoice'!K386)</f>
        <v/>
      </c>
      <c r="K387" s="7">
        <f>IF('Per Invoice'!$V386="","",'Per Invoice'!T386)</f>
        <v/>
      </c>
      <c r="L387" s="7">
        <f>IF('Per Invoice'!$V386="","",'Per Invoice'!S386)</f>
        <v/>
      </c>
    </row>
    <row r="388">
      <c r="A388">
        <f>IF('Per Invoice'!$V387="","",ROWS($A$3:A388))</f>
        <v/>
      </c>
      <c r="B388" s="11">
        <f>IF('Per Invoice'!$V387="","",'Per Invoice'!E387)</f>
        <v/>
      </c>
      <c r="C388">
        <f>IF('Per Invoice'!$V387="","",'Per Invoice'!G387)</f>
        <v/>
      </c>
      <c r="D388">
        <f>IF('Per Invoice'!$V387="","",'Per Invoice'!H387)</f>
        <v/>
      </c>
      <c r="E388">
        <f>IF('Per Invoice'!$V387="","",'Per Invoice'!F387)</f>
        <v/>
      </c>
      <c r="F388" s="7">
        <f>IF('Per Invoice'!$V387="","",'Per Invoice'!P387)</f>
        <v/>
      </c>
      <c r="G388" s="7">
        <f>IF('Per Invoice'!$V387="","",'Per Invoice'!Q387)</f>
        <v/>
      </c>
      <c r="H388" s="7">
        <f>IF('Per Invoice'!$V387="","",'Per Invoice'!M387)</f>
        <v/>
      </c>
      <c r="I388" s="7">
        <f>IF('Per Invoice'!$V387="","",'Per Invoice'!N387)</f>
        <v/>
      </c>
      <c r="J388" s="7">
        <f>IF('Per Invoice'!$V387="","",'Per Invoice'!K387)</f>
        <v/>
      </c>
      <c r="K388" s="7">
        <f>IF('Per Invoice'!$V387="","",'Per Invoice'!T387)</f>
        <v/>
      </c>
      <c r="L388" s="7">
        <f>IF('Per Invoice'!$V387="","",'Per Invoice'!S387)</f>
        <v/>
      </c>
    </row>
    <row r="389">
      <c r="A389">
        <f>IF('Per Invoice'!$V388="","",ROWS($A$3:A389))</f>
        <v/>
      </c>
      <c r="B389" s="11">
        <f>IF('Per Invoice'!$V388="","",'Per Invoice'!E388)</f>
        <v/>
      </c>
      <c r="C389">
        <f>IF('Per Invoice'!$V388="","",'Per Invoice'!G388)</f>
        <v/>
      </c>
      <c r="D389">
        <f>IF('Per Invoice'!$V388="","",'Per Invoice'!H388)</f>
        <v/>
      </c>
      <c r="E389">
        <f>IF('Per Invoice'!$V388="","",'Per Invoice'!F388)</f>
        <v/>
      </c>
      <c r="F389" s="7">
        <f>IF('Per Invoice'!$V388="","",'Per Invoice'!P388)</f>
        <v/>
      </c>
      <c r="G389" s="7">
        <f>IF('Per Invoice'!$V388="","",'Per Invoice'!Q388)</f>
        <v/>
      </c>
      <c r="H389" s="7">
        <f>IF('Per Invoice'!$V388="","",'Per Invoice'!M388)</f>
        <v/>
      </c>
      <c r="I389" s="7">
        <f>IF('Per Invoice'!$V388="","",'Per Invoice'!N388)</f>
        <v/>
      </c>
      <c r="J389" s="7">
        <f>IF('Per Invoice'!$V388="","",'Per Invoice'!K388)</f>
        <v/>
      </c>
      <c r="K389" s="7">
        <f>IF('Per Invoice'!$V388="","",'Per Invoice'!T388)</f>
        <v/>
      </c>
      <c r="L389" s="7">
        <f>IF('Per Invoice'!$V388="","",'Per Invoice'!S388)</f>
        <v/>
      </c>
    </row>
    <row r="390">
      <c r="A390">
        <f>IF('Per Invoice'!$V389="","",ROWS($A$3:A390))</f>
        <v/>
      </c>
      <c r="B390" s="11">
        <f>IF('Per Invoice'!$V389="","",'Per Invoice'!E389)</f>
        <v/>
      </c>
      <c r="C390">
        <f>IF('Per Invoice'!$V389="","",'Per Invoice'!G389)</f>
        <v/>
      </c>
      <c r="D390">
        <f>IF('Per Invoice'!$V389="","",'Per Invoice'!H389)</f>
        <v/>
      </c>
      <c r="E390">
        <f>IF('Per Invoice'!$V389="","",'Per Invoice'!F389)</f>
        <v/>
      </c>
      <c r="F390" s="7">
        <f>IF('Per Invoice'!$V389="","",'Per Invoice'!P389)</f>
        <v/>
      </c>
      <c r="G390" s="7">
        <f>IF('Per Invoice'!$V389="","",'Per Invoice'!Q389)</f>
        <v/>
      </c>
      <c r="H390" s="7">
        <f>IF('Per Invoice'!$V389="","",'Per Invoice'!M389)</f>
        <v/>
      </c>
      <c r="I390" s="7">
        <f>IF('Per Invoice'!$V389="","",'Per Invoice'!N389)</f>
        <v/>
      </c>
      <c r="J390" s="7">
        <f>IF('Per Invoice'!$V389="","",'Per Invoice'!K389)</f>
        <v/>
      </c>
      <c r="K390" s="7">
        <f>IF('Per Invoice'!$V389="","",'Per Invoice'!T389)</f>
        <v/>
      </c>
      <c r="L390" s="7">
        <f>IF('Per Invoice'!$V389="","",'Per Invoice'!S389)</f>
        <v/>
      </c>
    </row>
    <row r="391">
      <c r="A391">
        <f>IF('Per Invoice'!$V390="","",ROWS($A$3:A391))</f>
        <v/>
      </c>
      <c r="B391" s="11">
        <f>IF('Per Invoice'!$V390="","",'Per Invoice'!E390)</f>
        <v/>
      </c>
      <c r="C391">
        <f>IF('Per Invoice'!$V390="","",'Per Invoice'!G390)</f>
        <v/>
      </c>
      <c r="D391">
        <f>IF('Per Invoice'!$V390="","",'Per Invoice'!H390)</f>
        <v/>
      </c>
      <c r="E391">
        <f>IF('Per Invoice'!$V390="","",'Per Invoice'!F390)</f>
        <v/>
      </c>
      <c r="F391" s="7">
        <f>IF('Per Invoice'!$V390="","",'Per Invoice'!P390)</f>
        <v/>
      </c>
      <c r="G391" s="7">
        <f>IF('Per Invoice'!$V390="","",'Per Invoice'!Q390)</f>
        <v/>
      </c>
      <c r="H391" s="7">
        <f>IF('Per Invoice'!$V390="","",'Per Invoice'!M390)</f>
        <v/>
      </c>
      <c r="I391" s="7">
        <f>IF('Per Invoice'!$V390="","",'Per Invoice'!N390)</f>
        <v/>
      </c>
      <c r="J391" s="7">
        <f>IF('Per Invoice'!$V390="","",'Per Invoice'!K390)</f>
        <v/>
      </c>
      <c r="K391" s="7">
        <f>IF('Per Invoice'!$V390="","",'Per Invoice'!T390)</f>
        <v/>
      </c>
      <c r="L391" s="7">
        <f>IF('Per Invoice'!$V390="","",'Per Invoice'!S390)</f>
        <v/>
      </c>
    </row>
    <row r="392">
      <c r="A392">
        <f>IF('Per Invoice'!$V391="","",ROWS($A$3:A392))</f>
        <v/>
      </c>
      <c r="B392" s="11">
        <f>IF('Per Invoice'!$V391="","",'Per Invoice'!E391)</f>
        <v/>
      </c>
      <c r="C392">
        <f>IF('Per Invoice'!$V391="","",'Per Invoice'!G391)</f>
        <v/>
      </c>
      <c r="D392">
        <f>IF('Per Invoice'!$V391="","",'Per Invoice'!H391)</f>
        <v/>
      </c>
      <c r="E392">
        <f>IF('Per Invoice'!$V391="","",'Per Invoice'!F391)</f>
        <v/>
      </c>
      <c r="F392" s="7">
        <f>IF('Per Invoice'!$V391="","",'Per Invoice'!P391)</f>
        <v/>
      </c>
      <c r="G392" s="7">
        <f>IF('Per Invoice'!$V391="","",'Per Invoice'!Q391)</f>
        <v/>
      </c>
      <c r="H392" s="7">
        <f>IF('Per Invoice'!$V391="","",'Per Invoice'!M391)</f>
        <v/>
      </c>
      <c r="I392" s="7">
        <f>IF('Per Invoice'!$V391="","",'Per Invoice'!N391)</f>
        <v/>
      </c>
      <c r="J392" s="7">
        <f>IF('Per Invoice'!$V391="","",'Per Invoice'!K391)</f>
        <v/>
      </c>
      <c r="K392" s="7">
        <f>IF('Per Invoice'!$V391="","",'Per Invoice'!T391)</f>
        <v/>
      </c>
      <c r="L392" s="7">
        <f>IF('Per Invoice'!$V391="","",'Per Invoice'!S391)</f>
        <v/>
      </c>
    </row>
    <row r="393">
      <c r="A393">
        <f>IF('Per Invoice'!$V392="","",ROWS($A$3:A393))</f>
        <v/>
      </c>
      <c r="B393" s="11">
        <f>IF('Per Invoice'!$V392="","",'Per Invoice'!E392)</f>
        <v/>
      </c>
      <c r="C393">
        <f>IF('Per Invoice'!$V392="","",'Per Invoice'!G392)</f>
        <v/>
      </c>
      <c r="D393">
        <f>IF('Per Invoice'!$V392="","",'Per Invoice'!H392)</f>
        <v/>
      </c>
      <c r="E393">
        <f>IF('Per Invoice'!$V392="","",'Per Invoice'!F392)</f>
        <v/>
      </c>
      <c r="F393" s="7">
        <f>IF('Per Invoice'!$V392="","",'Per Invoice'!P392)</f>
        <v/>
      </c>
      <c r="G393" s="7">
        <f>IF('Per Invoice'!$V392="","",'Per Invoice'!Q392)</f>
        <v/>
      </c>
      <c r="H393" s="7">
        <f>IF('Per Invoice'!$V392="","",'Per Invoice'!M392)</f>
        <v/>
      </c>
      <c r="I393" s="7">
        <f>IF('Per Invoice'!$V392="","",'Per Invoice'!N392)</f>
        <v/>
      </c>
      <c r="J393" s="7">
        <f>IF('Per Invoice'!$V392="","",'Per Invoice'!K392)</f>
        <v/>
      </c>
      <c r="K393" s="7">
        <f>IF('Per Invoice'!$V392="","",'Per Invoice'!T392)</f>
        <v/>
      </c>
      <c r="L393" s="7">
        <f>IF('Per Invoice'!$V392="","",'Per Invoice'!S392)</f>
        <v/>
      </c>
    </row>
    <row r="394">
      <c r="A394">
        <f>IF('Per Invoice'!$V393="","",ROWS($A$3:A394))</f>
        <v/>
      </c>
      <c r="B394" s="11">
        <f>IF('Per Invoice'!$V393="","",'Per Invoice'!E393)</f>
        <v/>
      </c>
      <c r="C394">
        <f>IF('Per Invoice'!$V393="","",'Per Invoice'!G393)</f>
        <v/>
      </c>
      <c r="D394">
        <f>IF('Per Invoice'!$V393="","",'Per Invoice'!H393)</f>
        <v/>
      </c>
      <c r="E394">
        <f>IF('Per Invoice'!$V393="","",'Per Invoice'!F393)</f>
        <v/>
      </c>
      <c r="F394" s="7">
        <f>IF('Per Invoice'!$V393="","",'Per Invoice'!P393)</f>
        <v/>
      </c>
      <c r="G394" s="7">
        <f>IF('Per Invoice'!$V393="","",'Per Invoice'!Q393)</f>
        <v/>
      </c>
      <c r="H394" s="7">
        <f>IF('Per Invoice'!$V393="","",'Per Invoice'!M393)</f>
        <v/>
      </c>
      <c r="I394" s="7">
        <f>IF('Per Invoice'!$V393="","",'Per Invoice'!N393)</f>
        <v/>
      </c>
      <c r="J394" s="7">
        <f>IF('Per Invoice'!$V393="","",'Per Invoice'!K393)</f>
        <v/>
      </c>
      <c r="K394" s="7">
        <f>IF('Per Invoice'!$V393="","",'Per Invoice'!T393)</f>
        <v/>
      </c>
      <c r="L394" s="7">
        <f>IF('Per Invoice'!$V393="","",'Per Invoice'!S393)</f>
        <v/>
      </c>
    </row>
    <row r="395">
      <c r="A395">
        <f>IF('Per Invoice'!$V394="","",ROWS($A$3:A395))</f>
        <v/>
      </c>
      <c r="B395" s="11">
        <f>IF('Per Invoice'!$V394="","",'Per Invoice'!E394)</f>
        <v/>
      </c>
      <c r="C395">
        <f>IF('Per Invoice'!$V394="","",'Per Invoice'!G394)</f>
        <v/>
      </c>
      <c r="D395">
        <f>IF('Per Invoice'!$V394="","",'Per Invoice'!H394)</f>
        <v/>
      </c>
      <c r="E395">
        <f>IF('Per Invoice'!$V394="","",'Per Invoice'!F394)</f>
        <v/>
      </c>
      <c r="F395" s="7">
        <f>IF('Per Invoice'!$V394="","",'Per Invoice'!P394)</f>
        <v/>
      </c>
      <c r="G395" s="7">
        <f>IF('Per Invoice'!$V394="","",'Per Invoice'!Q394)</f>
        <v/>
      </c>
      <c r="H395" s="7">
        <f>IF('Per Invoice'!$V394="","",'Per Invoice'!M394)</f>
        <v/>
      </c>
      <c r="I395" s="7">
        <f>IF('Per Invoice'!$V394="","",'Per Invoice'!N394)</f>
        <v/>
      </c>
      <c r="J395" s="7">
        <f>IF('Per Invoice'!$V394="","",'Per Invoice'!K394)</f>
        <v/>
      </c>
      <c r="K395" s="7">
        <f>IF('Per Invoice'!$V394="","",'Per Invoice'!T394)</f>
        <v/>
      </c>
      <c r="L395" s="7">
        <f>IF('Per Invoice'!$V394="","",'Per Invoice'!S394)</f>
        <v/>
      </c>
    </row>
    <row r="396">
      <c r="A396">
        <f>IF('Per Invoice'!$V395="","",ROWS($A$3:A396))</f>
        <v/>
      </c>
      <c r="B396" s="11">
        <f>IF('Per Invoice'!$V395="","",'Per Invoice'!E395)</f>
        <v/>
      </c>
      <c r="C396">
        <f>IF('Per Invoice'!$V395="","",'Per Invoice'!G395)</f>
        <v/>
      </c>
      <c r="D396">
        <f>IF('Per Invoice'!$V395="","",'Per Invoice'!H395)</f>
        <v/>
      </c>
      <c r="E396">
        <f>IF('Per Invoice'!$V395="","",'Per Invoice'!F395)</f>
        <v/>
      </c>
      <c r="F396" s="7">
        <f>IF('Per Invoice'!$V395="","",'Per Invoice'!P395)</f>
        <v/>
      </c>
      <c r="G396" s="7">
        <f>IF('Per Invoice'!$V395="","",'Per Invoice'!Q395)</f>
        <v/>
      </c>
      <c r="H396" s="7">
        <f>IF('Per Invoice'!$V395="","",'Per Invoice'!M395)</f>
        <v/>
      </c>
      <c r="I396" s="7">
        <f>IF('Per Invoice'!$V395="","",'Per Invoice'!N395)</f>
        <v/>
      </c>
      <c r="J396" s="7">
        <f>IF('Per Invoice'!$V395="","",'Per Invoice'!K395)</f>
        <v/>
      </c>
      <c r="K396" s="7">
        <f>IF('Per Invoice'!$V395="","",'Per Invoice'!T395)</f>
        <v/>
      </c>
      <c r="L396" s="7">
        <f>IF('Per Invoice'!$V395="","",'Per Invoice'!S395)</f>
        <v/>
      </c>
    </row>
    <row r="397">
      <c r="A397">
        <f>IF('Per Invoice'!$V396="","",ROWS($A$3:A397))</f>
        <v/>
      </c>
      <c r="B397" s="11">
        <f>IF('Per Invoice'!$V396="","",'Per Invoice'!E396)</f>
        <v/>
      </c>
      <c r="C397">
        <f>IF('Per Invoice'!$V396="","",'Per Invoice'!G396)</f>
        <v/>
      </c>
      <c r="D397">
        <f>IF('Per Invoice'!$V396="","",'Per Invoice'!H396)</f>
        <v/>
      </c>
      <c r="E397">
        <f>IF('Per Invoice'!$V396="","",'Per Invoice'!F396)</f>
        <v/>
      </c>
      <c r="F397" s="7">
        <f>IF('Per Invoice'!$V396="","",'Per Invoice'!P396)</f>
        <v/>
      </c>
      <c r="G397" s="7">
        <f>IF('Per Invoice'!$V396="","",'Per Invoice'!Q396)</f>
        <v/>
      </c>
      <c r="H397" s="7">
        <f>IF('Per Invoice'!$V396="","",'Per Invoice'!M396)</f>
        <v/>
      </c>
      <c r="I397" s="7">
        <f>IF('Per Invoice'!$V396="","",'Per Invoice'!N396)</f>
        <v/>
      </c>
      <c r="J397" s="7">
        <f>IF('Per Invoice'!$V396="","",'Per Invoice'!K396)</f>
        <v/>
      </c>
      <c r="K397" s="7">
        <f>IF('Per Invoice'!$V396="","",'Per Invoice'!T396)</f>
        <v/>
      </c>
      <c r="L397" s="7">
        <f>IF('Per Invoice'!$V396="","",'Per Invoice'!S396)</f>
        <v/>
      </c>
    </row>
    <row r="398">
      <c r="A398">
        <f>IF('Per Invoice'!$V397="","",ROWS($A$3:A398))</f>
        <v/>
      </c>
      <c r="B398" s="11">
        <f>IF('Per Invoice'!$V397="","",'Per Invoice'!E397)</f>
        <v/>
      </c>
      <c r="C398">
        <f>IF('Per Invoice'!$V397="","",'Per Invoice'!G397)</f>
        <v/>
      </c>
      <c r="D398">
        <f>IF('Per Invoice'!$V397="","",'Per Invoice'!H397)</f>
        <v/>
      </c>
      <c r="E398">
        <f>IF('Per Invoice'!$V397="","",'Per Invoice'!F397)</f>
        <v/>
      </c>
      <c r="F398" s="7">
        <f>IF('Per Invoice'!$V397="","",'Per Invoice'!P397)</f>
        <v/>
      </c>
      <c r="G398" s="7">
        <f>IF('Per Invoice'!$V397="","",'Per Invoice'!Q397)</f>
        <v/>
      </c>
      <c r="H398" s="7">
        <f>IF('Per Invoice'!$V397="","",'Per Invoice'!M397)</f>
        <v/>
      </c>
      <c r="I398" s="7">
        <f>IF('Per Invoice'!$V397="","",'Per Invoice'!N397)</f>
        <v/>
      </c>
      <c r="J398" s="7">
        <f>IF('Per Invoice'!$V397="","",'Per Invoice'!K397)</f>
        <v/>
      </c>
      <c r="K398" s="7">
        <f>IF('Per Invoice'!$V397="","",'Per Invoice'!T397)</f>
        <v/>
      </c>
      <c r="L398" s="7">
        <f>IF('Per Invoice'!$V397="","",'Per Invoice'!S397)</f>
        <v/>
      </c>
    </row>
    <row r="399">
      <c r="A399">
        <f>IF('Per Invoice'!$V398="","",ROWS($A$3:A399))</f>
        <v/>
      </c>
      <c r="B399" s="11">
        <f>IF('Per Invoice'!$V398="","",'Per Invoice'!E398)</f>
        <v/>
      </c>
      <c r="C399">
        <f>IF('Per Invoice'!$V398="","",'Per Invoice'!G398)</f>
        <v/>
      </c>
      <c r="D399">
        <f>IF('Per Invoice'!$V398="","",'Per Invoice'!H398)</f>
        <v/>
      </c>
      <c r="E399">
        <f>IF('Per Invoice'!$V398="","",'Per Invoice'!F398)</f>
        <v/>
      </c>
      <c r="F399" s="7">
        <f>IF('Per Invoice'!$V398="","",'Per Invoice'!P398)</f>
        <v/>
      </c>
      <c r="G399" s="7">
        <f>IF('Per Invoice'!$V398="","",'Per Invoice'!Q398)</f>
        <v/>
      </c>
      <c r="H399" s="7">
        <f>IF('Per Invoice'!$V398="","",'Per Invoice'!M398)</f>
        <v/>
      </c>
      <c r="I399" s="7">
        <f>IF('Per Invoice'!$V398="","",'Per Invoice'!N398)</f>
        <v/>
      </c>
      <c r="J399" s="7">
        <f>IF('Per Invoice'!$V398="","",'Per Invoice'!K398)</f>
        <v/>
      </c>
      <c r="K399" s="7">
        <f>IF('Per Invoice'!$V398="","",'Per Invoice'!T398)</f>
        <v/>
      </c>
      <c r="L399" s="7">
        <f>IF('Per Invoice'!$V398="","",'Per Invoice'!S398)</f>
        <v/>
      </c>
    </row>
    <row r="400">
      <c r="A400">
        <f>IF('Per Invoice'!$V399="","",ROWS($A$3:A400))</f>
        <v/>
      </c>
      <c r="B400" s="11">
        <f>IF('Per Invoice'!$V399="","",'Per Invoice'!E399)</f>
        <v/>
      </c>
      <c r="C400">
        <f>IF('Per Invoice'!$V399="","",'Per Invoice'!G399)</f>
        <v/>
      </c>
      <c r="D400">
        <f>IF('Per Invoice'!$V399="","",'Per Invoice'!H399)</f>
        <v/>
      </c>
      <c r="E400">
        <f>IF('Per Invoice'!$V399="","",'Per Invoice'!F399)</f>
        <v/>
      </c>
      <c r="F400" s="7">
        <f>IF('Per Invoice'!$V399="","",'Per Invoice'!P399)</f>
        <v/>
      </c>
      <c r="G400" s="7">
        <f>IF('Per Invoice'!$V399="","",'Per Invoice'!Q399)</f>
        <v/>
      </c>
      <c r="H400" s="7">
        <f>IF('Per Invoice'!$V399="","",'Per Invoice'!M399)</f>
        <v/>
      </c>
      <c r="I400" s="7">
        <f>IF('Per Invoice'!$V399="","",'Per Invoice'!N399)</f>
        <v/>
      </c>
      <c r="J400" s="7">
        <f>IF('Per Invoice'!$V399="","",'Per Invoice'!K399)</f>
        <v/>
      </c>
      <c r="K400" s="7">
        <f>IF('Per Invoice'!$V399="","",'Per Invoice'!T399)</f>
        <v/>
      </c>
      <c r="L400" s="7">
        <f>IF('Per Invoice'!$V399="","",'Per Invoice'!S399)</f>
        <v/>
      </c>
    </row>
    <row r="401">
      <c r="A401">
        <f>IF('Per Invoice'!$V400="","",ROWS($A$3:A401))</f>
        <v/>
      </c>
      <c r="B401" s="11">
        <f>IF('Per Invoice'!$V400="","",'Per Invoice'!E400)</f>
        <v/>
      </c>
      <c r="C401">
        <f>IF('Per Invoice'!$V400="","",'Per Invoice'!G400)</f>
        <v/>
      </c>
      <c r="D401">
        <f>IF('Per Invoice'!$V400="","",'Per Invoice'!H400)</f>
        <v/>
      </c>
      <c r="E401">
        <f>IF('Per Invoice'!$V400="","",'Per Invoice'!F400)</f>
        <v/>
      </c>
      <c r="F401" s="7">
        <f>IF('Per Invoice'!$V400="","",'Per Invoice'!P400)</f>
        <v/>
      </c>
      <c r="G401" s="7">
        <f>IF('Per Invoice'!$V400="","",'Per Invoice'!Q400)</f>
        <v/>
      </c>
      <c r="H401" s="7">
        <f>IF('Per Invoice'!$V400="","",'Per Invoice'!M400)</f>
        <v/>
      </c>
      <c r="I401" s="7">
        <f>IF('Per Invoice'!$V400="","",'Per Invoice'!N400)</f>
        <v/>
      </c>
      <c r="J401" s="7">
        <f>IF('Per Invoice'!$V400="","",'Per Invoice'!K400)</f>
        <v/>
      </c>
      <c r="K401" s="7">
        <f>IF('Per Invoice'!$V400="","",'Per Invoice'!T400)</f>
        <v/>
      </c>
      <c r="L401" s="7">
        <f>IF('Per Invoice'!$V400="","",'Per Invoice'!S400)</f>
        <v/>
      </c>
    </row>
    <row r="402">
      <c r="A402">
        <f>IF('Per Invoice'!$V401="","",ROWS($A$3:A402))</f>
        <v/>
      </c>
      <c r="B402" s="11">
        <f>IF('Per Invoice'!$V401="","",'Per Invoice'!E401)</f>
        <v/>
      </c>
      <c r="C402">
        <f>IF('Per Invoice'!$V401="","",'Per Invoice'!G401)</f>
        <v/>
      </c>
      <c r="D402">
        <f>IF('Per Invoice'!$V401="","",'Per Invoice'!H401)</f>
        <v/>
      </c>
      <c r="E402">
        <f>IF('Per Invoice'!$V401="","",'Per Invoice'!F401)</f>
        <v/>
      </c>
      <c r="F402" s="7">
        <f>IF('Per Invoice'!$V401="","",'Per Invoice'!P401)</f>
        <v/>
      </c>
      <c r="G402" s="7">
        <f>IF('Per Invoice'!$V401="","",'Per Invoice'!Q401)</f>
        <v/>
      </c>
      <c r="H402" s="7">
        <f>IF('Per Invoice'!$V401="","",'Per Invoice'!M401)</f>
        <v/>
      </c>
      <c r="I402" s="7">
        <f>IF('Per Invoice'!$V401="","",'Per Invoice'!N401)</f>
        <v/>
      </c>
      <c r="J402" s="7">
        <f>IF('Per Invoice'!$V401="","",'Per Invoice'!K401)</f>
        <v/>
      </c>
      <c r="K402" s="7">
        <f>IF('Per Invoice'!$V401="","",'Per Invoice'!T401)</f>
        <v/>
      </c>
      <c r="L402" s="7">
        <f>IF('Per Invoice'!$V401="","",'Per Invoice'!S401)</f>
        <v/>
      </c>
    </row>
    <row r="403">
      <c r="A403">
        <f>IF('Per Invoice'!$V402="","",ROWS($A$3:A403))</f>
        <v/>
      </c>
      <c r="B403" s="11">
        <f>IF('Per Invoice'!$V402="","",'Per Invoice'!E402)</f>
        <v/>
      </c>
      <c r="C403">
        <f>IF('Per Invoice'!$V402="","",'Per Invoice'!G402)</f>
        <v/>
      </c>
      <c r="D403">
        <f>IF('Per Invoice'!$V402="","",'Per Invoice'!H402)</f>
        <v/>
      </c>
      <c r="E403">
        <f>IF('Per Invoice'!$V402="","",'Per Invoice'!F402)</f>
        <v/>
      </c>
      <c r="F403" s="7">
        <f>IF('Per Invoice'!$V402="","",'Per Invoice'!P402)</f>
        <v/>
      </c>
      <c r="G403" s="7">
        <f>IF('Per Invoice'!$V402="","",'Per Invoice'!Q402)</f>
        <v/>
      </c>
      <c r="H403" s="7">
        <f>IF('Per Invoice'!$V402="","",'Per Invoice'!M402)</f>
        <v/>
      </c>
      <c r="I403" s="7">
        <f>IF('Per Invoice'!$V402="","",'Per Invoice'!N402)</f>
        <v/>
      </c>
      <c r="J403" s="7">
        <f>IF('Per Invoice'!$V402="","",'Per Invoice'!K402)</f>
        <v/>
      </c>
      <c r="K403" s="7">
        <f>IF('Per Invoice'!$V402="","",'Per Invoice'!T402)</f>
        <v/>
      </c>
      <c r="L403" s="7">
        <f>IF('Per Invoice'!$V402="","",'Per Invoice'!S402)</f>
        <v/>
      </c>
    </row>
    <row r="404">
      <c r="A404">
        <f>IF('Per Invoice'!$V403="","",ROWS($A$3:A404))</f>
        <v/>
      </c>
      <c r="B404" s="11">
        <f>IF('Per Invoice'!$V403="","",'Per Invoice'!E403)</f>
        <v/>
      </c>
      <c r="C404">
        <f>IF('Per Invoice'!$V403="","",'Per Invoice'!G403)</f>
        <v/>
      </c>
      <c r="D404">
        <f>IF('Per Invoice'!$V403="","",'Per Invoice'!H403)</f>
        <v/>
      </c>
      <c r="E404">
        <f>IF('Per Invoice'!$V403="","",'Per Invoice'!F403)</f>
        <v/>
      </c>
      <c r="F404" s="7">
        <f>IF('Per Invoice'!$V403="","",'Per Invoice'!P403)</f>
        <v/>
      </c>
      <c r="G404" s="7">
        <f>IF('Per Invoice'!$V403="","",'Per Invoice'!Q403)</f>
        <v/>
      </c>
      <c r="H404" s="7">
        <f>IF('Per Invoice'!$V403="","",'Per Invoice'!M403)</f>
        <v/>
      </c>
      <c r="I404" s="7">
        <f>IF('Per Invoice'!$V403="","",'Per Invoice'!N403)</f>
        <v/>
      </c>
      <c r="J404" s="7">
        <f>IF('Per Invoice'!$V403="","",'Per Invoice'!K403)</f>
        <v/>
      </c>
      <c r="K404" s="7">
        <f>IF('Per Invoice'!$V403="","",'Per Invoice'!T403)</f>
        <v/>
      </c>
      <c r="L404" s="7">
        <f>IF('Per Invoice'!$V403="","",'Per Invoice'!S403)</f>
        <v/>
      </c>
    </row>
    <row r="405">
      <c r="A405">
        <f>IF('Per Invoice'!$V404="","",ROWS($A$3:A405))</f>
        <v/>
      </c>
      <c r="B405" s="11">
        <f>IF('Per Invoice'!$V404="","",'Per Invoice'!E404)</f>
        <v/>
      </c>
      <c r="C405">
        <f>IF('Per Invoice'!$V404="","",'Per Invoice'!G404)</f>
        <v/>
      </c>
      <c r="D405">
        <f>IF('Per Invoice'!$V404="","",'Per Invoice'!H404)</f>
        <v/>
      </c>
      <c r="E405">
        <f>IF('Per Invoice'!$V404="","",'Per Invoice'!F404)</f>
        <v/>
      </c>
      <c r="F405" s="7">
        <f>IF('Per Invoice'!$V404="","",'Per Invoice'!P404)</f>
        <v/>
      </c>
      <c r="G405" s="7">
        <f>IF('Per Invoice'!$V404="","",'Per Invoice'!Q404)</f>
        <v/>
      </c>
      <c r="H405" s="7">
        <f>IF('Per Invoice'!$V404="","",'Per Invoice'!M404)</f>
        <v/>
      </c>
      <c r="I405" s="7">
        <f>IF('Per Invoice'!$V404="","",'Per Invoice'!N404)</f>
        <v/>
      </c>
      <c r="J405" s="7">
        <f>IF('Per Invoice'!$V404="","",'Per Invoice'!K404)</f>
        <v/>
      </c>
      <c r="K405" s="7">
        <f>IF('Per Invoice'!$V404="","",'Per Invoice'!T404)</f>
        <v/>
      </c>
      <c r="L405" s="7">
        <f>IF('Per Invoice'!$V404="","",'Per Invoice'!S404)</f>
        <v/>
      </c>
    </row>
    <row r="406">
      <c r="A406">
        <f>IF('Per Invoice'!$V405="","",ROWS($A$3:A406))</f>
        <v/>
      </c>
      <c r="B406" s="11">
        <f>IF('Per Invoice'!$V405="","",'Per Invoice'!E405)</f>
        <v/>
      </c>
      <c r="C406">
        <f>IF('Per Invoice'!$V405="","",'Per Invoice'!G405)</f>
        <v/>
      </c>
      <c r="D406">
        <f>IF('Per Invoice'!$V405="","",'Per Invoice'!H405)</f>
        <v/>
      </c>
      <c r="E406">
        <f>IF('Per Invoice'!$V405="","",'Per Invoice'!F405)</f>
        <v/>
      </c>
      <c r="F406" s="7">
        <f>IF('Per Invoice'!$V405="","",'Per Invoice'!P405)</f>
        <v/>
      </c>
      <c r="G406" s="7">
        <f>IF('Per Invoice'!$V405="","",'Per Invoice'!Q405)</f>
        <v/>
      </c>
      <c r="H406" s="7">
        <f>IF('Per Invoice'!$V405="","",'Per Invoice'!M405)</f>
        <v/>
      </c>
      <c r="I406" s="7">
        <f>IF('Per Invoice'!$V405="","",'Per Invoice'!N405)</f>
        <v/>
      </c>
      <c r="J406" s="7">
        <f>IF('Per Invoice'!$V405="","",'Per Invoice'!K405)</f>
        <v/>
      </c>
      <c r="K406" s="7">
        <f>IF('Per Invoice'!$V405="","",'Per Invoice'!T405)</f>
        <v/>
      </c>
      <c r="L406" s="7">
        <f>IF('Per Invoice'!$V405="","",'Per Invoice'!S405)</f>
        <v/>
      </c>
    </row>
    <row r="407">
      <c r="A407">
        <f>IF('Per Invoice'!$V406="","",ROWS($A$3:A407))</f>
        <v/>
      </c>
      <c r="B407" s="11">
        <f>IF('Per Invoice'!$V406="","",'Per Invoice'!E406)</f>
        <v/>
      </c>
      <c r="C407">
        <f>IF('Per Invoice'!$V406="","",'Per Invoice'!G406)</f>
        <v/>
      </c>
      <c r="D407">
        <f>IF('Per Invoice'!$V406="","",'Per Invoice'!H406)</f>
        <v/>
      </c>
      <c r="E407">
        <f>IF('Per Invoice'!$V406="","",'Per Invoice'!F406)</f>
        <v/>
      </c>
      <c r="F407" s="7">
        <f>IF('Per Invoice'!$V406="","",'Per Invoice'!P406)</f>
        <v/>
      </c>
      <c r="G407" s="7">
        <f>IF('Per Invoice'!$V406="","",'Per Invoice'!Q406)</f>
        <v/>
      </c>
      <c r="H407" s="7">
        <f>IF('Per Invoice'!$V406="","",'Per Invoice'!M406)</f>
        <v/>
      </c>
      <c r="I407" s="7">
        <f>IF('Per Invoice'!$V406="","",'Per Invoice'!N406)</f>
        <v/>
      </c>
      <c r="J407" s="7">
        <f>IF('Per Invoice'!$V406="","",'Per Invoice'!K406)</f>
        <v/>
      </c>
      <c r="K407" s="7">
        <f>IF('Per Invoice'!$V406="","",'Per Invoice'!T406)</f>
        <v/>
      </c>
      <c r="L407" s="7">
        <f>IF('Per Invoice'!$V406="","",'Per Invoice'!S406)</f>
        <v/>
      </c>
    </row>
    <row r="408">
      <c r="A408">
        <f>IF('Per Invoice'!$V407="","",ROWS($A$3:A408))</f>
        <v/>
      </c>
      <c r="B408" s="11">
        <f>IF('Per Invoice'!$V407="","",'Per Invoice'!E407)</f>
        <v/>
      </c>
      <c r="C408">
        <f>IF('Per Invoice'!$V407="","",'Per Invoice'!G407)</f>
        <v/>
      </c>
      <c r="D408">
        <f>IF('Per Invoice'!$V407="","",'Per Invoice'!H407)</f>
        <v/>
      </c>
      <c r="E408">
        <f>IF('Per Invoice'!$V407="","",'Per Invoice'!F407)</f>
        <v/>
      </c>
      <c r="F408" s="7">
        <f>IF('Per Invoice'!$V407="","",'Per Invoice'!P407)</f>
        <v/>
      </c>
      <c r="G408" s="7">
        <f>IF('Per Invoice'!$V407="","",'Per Invoice'!Q407)</f>
        <v/>
      </c>
      <c r="H408" s="7">
        <f>IF('Per Invoice'!$V407="","",'Per Invoice'!M407)</f>
        <v/>
      </c>
      <c r="I408" s="7">
        <f>IF('Per Invoice'!$V407="","",'Per Invoice'!N407)</f>
        <v/>
      </c>
      <c r="J408" s="7">
        <f>IF('Per Invoice'!$V407="","",'Per Invoice'!K407)</f>
        <v/>
      </c>
      <c r="K408" s="7">
        <f>IF('Per Invoice'!$V407="","",'Per Invoice'!T407)</f>
        <v/>
      </c>
      <c r="L408" s="7">
        <f>IF('Per Invoice'!$V407="","",'Per Invoice'!S407)</f>
        <v/>
      </c>
    </row>
    <row r="409">
      <c r="A409">
        <f>IF('Per Invoice'!$V408="","",ROWS($A$3:A409))</f>
        <v/>
      </c>
      <c r="B409" s="11">
        <f>IF('Per Invoice'!$V408="","",'Per Invoice'!E408)</f>
        <v/>
      </c>
      <c r="C409">
        <f>IF('Per Invoice'!$V408="","",'Per Invoice'!G408)</f>
        <v/>
      </c>
      <c r="D409">
        <f>IF('Per Invoice'!$V408="","",'Per Invoice'!H408)</f>
        <v/>
      </c>
      <c r="E409">
        <f>IF('Per Invoice'!$V408="","",'Per Invoice'!F408)</f>
        <v/>
      </c>
      <c r="F409" s="7">
        <f>IF('Per Invoice'!$V408="","",'Per Invoice'!P408)</f>
        <v/>
      </c>
      <c r="G409" s="7">
        <f>IF('Per Invoice'!$V408="","",'Per Invoice'!Q408)</f>
        <v/>
      </c>
      <c r="H409" s="7">
        <f>IF('Per Invoice'!$V408="","",'Per Invoice'!M408)</f>
        <v/>
      </c>
      <c r="I409" s="7">
        <f>IF('Per Invoice'!$V408="","",'Per Invoice'!N408)</f>
        <v/>
      </c>
      <c r="J409" s="7">
        <f>IF('Per Invoice'!$V408="","",'Per Invoice'!K408)</f>
        <v/>
      </c>
      <c r="K409" s="7">
        <f>IF('Per Invoice'!$V408="","",'Per Invoice'!T408)</f>
        <v/>
      </c>
      <c r="L409" s="7">
        <f>IF('Per Invoice'!$V408="","",'Per Invoice'!S408)</f>
        <v/>
      </c>
    </row>
    <row r="410">
      <c r="A410">
        <f>IF('Per Invoice'!$V409="","",ROWS($A$3:A410))</f>
        <v/>
      </c>
      <c r="B410" s="11">
        <f>IF('Per Invoice'!$V409="","",'Per Invoice'!E409)</f>
        <v/>
      </c>
      <c r="C410">
        <f>IF('Per Invoice'!$V409="","",'Per Invoice'!G409)</f>
        <v/>
      </c>
      <c r="D410">
        <f>IF('Per Invoice'!$V409="","",'Per Invoice'!H409)</f>
        <v/>
      </c>
      <c r="E410">
        <f>IF('Per Invoice'!$V409="","",'Per Invoice'!F409)</f>
        <v/>
      </c>
      <c r="F410" s="7">
        <f>IF('Per Invoice'!$V409="","",'Per Invoice'!P409)</f>
        <v/>
      </c>
      <c r="G410" s="7">
        <f>IF('Per Invoice'!$V409="","",'Per Invoice'!Q409)</f>
        <v/>
      </c>
      <c r="H410" s="7">
        <f>IF('Per Invoice'!$V409="","",'Per Invoice'!M409)</f>
        <v/>
      </c>
      <c r="I410" s="7">
        <f>IF('Per Invoice'!$V409="","",'Per Invoice'!N409)</f>
        <v/>
      </c>
      <c r="J410" s="7">
        <f>IF('Per Invoice'!$V409="","",'Per Invoice'!K409)</f>
        <v/>
      </c>
      <c r="K410" s="7">
        <f>IF('Per Invoice'!$V409="","",'Per Invoice'!T409)</f>
        <v/>
      </c>
      <c r="L410" s="7">
        <f>IF('Per Invoice'!$V409="","",'Per Invoice'!S409)</f>
        <v/>
      </c>
    </row>
    <row r="411">
      <c r="A411">
        <f>IF('Per Invoice'!$V410="","",ROWS($A$3:A411))</f>
        <v/>
      </c>
      <c r="B411" s="11">
        <f>IF('Per Invoice'!$V410="","",'Per Invoice'!E410)</f>
        <v/>
      </c>
      <c r="C411">
        <f>IF('Per Invoice'!$V410="","",'Per Invoice'!G410)</f>
        <v/>
      </c>
      <c r="D411">
        <f>IF('Per Invoice'!$V410="","",'Per Invoice'!H410)</f>
        <v/>
      </c>
      <c r="E411">
        <f>IF('Per Invoice'!$V410="","",'Per Invoice'!F410)</f>
        <v/>
      </c>
      <c r="F411" s="7">
        <f>IF('Per Invoice'!$V410="","",'Per Invoice'!P410)</f>
        <v/>
      </c>
      <c r="G411" s="7">
        <f>IF('Per Invoice'!$V410="","",'Per Invoice'!Q410)</f>
        <v/>
      </c>
      <c r="H411" s="7">
        <f>IF('Per Invoice'!$V410="","",'Per Invoice'!M410)</f>
        <v/>
      </c>
      <c r="I411" s="7">
        <f>IF('Per Invoice'!$V410="","",'Per Invoice'!N410)</f>
        <v/>
      </c>
      <c r="J411" s="7">
        <f>IF('Per Invoice'!$V410="","",'Per Invoice'!K410)</f>
        <v/>
      </c>
      <c r="K411" s="7">
        <f>IF('Per Invoice'!$V410="","",'Per Invoice'!T410)</f>
        <v/>
      </c>
      <c r="L411" s="7">
        <f>IF('Per Invoice'!$V410="","",'Per Invoice'!S410)</f>
        <v/>
      </c>
    </row>
    <row r="412">
      <c r="A412">
        <f>IF('Per Invoice'!$V411="","",ROWS($A$3:A412))</f>
        <v/>
      </c>
      <c r="B412" s="11">
        <f>IF('Per Invoice'!$V411="","",'Per Invoice'!E411)</f>
        <v/>
      </c>
      <c r="C412">
        <f>IF('Per Invoice'!$V411="","",'Per Invoice'!G411)</f>
        <v/>
      </c>
      <c r="D412">
        <f>IF('Per Invoice'!$V411="","",'Per Invoice'!H411)</f>
        <v/>
      </c>
      <c r="E412">
        <f>IF('Per Invoice'!$V411="","",'Per Invoice'!F411)</f>
        <v/>
      </c>
      <c r="F412" s="7">
        <f>IF('Per Invoice'!$V411="","",'Per Invoice'!P411)</f>
        <v/>
      </c>
      <c r="G412" s="7">
        <f>IF('Per Invoice'!$V411="","",'Per Invoice'!Q411)</f>
        <v/>
      </c>
      <c r="H412" s="7">
        <f>IF('Per Invoice'!$V411="","",'Per Invoice'!M411)</f>
        <v/>
      </c>
      <c r="I412" s="7">
        <f>IF('Per Invoice'!$V411="","",'Per Invoice'!N411)</f>
        <v/>
      </c>
      <c r="J412" s="7">
        <f>IF('Per Invoice'!$V411="","",'Per Invoice'!K411)</f>
        <v/>
      </c>
      <c r="K412" s="7">
        <f>IF('Per Invoice'!$V411="","",'Per Invoice'!T411)</f>
        <v/>
      </c>
      <c r="L412" s="7">
        <f>IF('Per Invoice'!$V411="","",'Per Invoice'!S411)</f>
        <v/>
      </c>
    </row>
    <row r="413">
      <c r="A413">
        <f>IF('Per Invoice'!$V412="","",ROWS($A$3:A413))</f>
        <v/>
      </c>
      <c r="B413" s="11">
        <f>IF('Per Invoice'!$V412="","",'Per Invoice'!E412)</f>
        <v/>
      </c>
      <c r="C413">
        <f>IF('Per Invoice'!$V412="","",'Per Invoice'!G412)</f>
        <v/>
      </c>
      <c r="D413">
        <f>IF('Per Invoice'!$V412="","",'Per Invoice'!H412)</f>
        <v/>
      </c>
      <c r="E413">
        <f>IF('Per Invoice'!$V412="","",'Per Invoice'!F412)</f>
        <v/>
      </c>
      <c r="F413" s="7">
        <f>IF('Per Invoice'!$V412="","",'Per Invoice'!P412)</f>
        <v/>
      </c>
      <c r="G413" s="7">
        <f>IF('Per Invoice'!$V412="","",'Per Invoice'!Q412)</f>
        <v/>
      </c>
      <c r="H413" s="7">
        <f>IF('Per Invoice'!$V412="","",'Per Invoice'!M412)</f>
        <v/>
      </c>
      <c r="I413" s="7">
        <f>IF('Per Invoice'!$V412="","",'Per Invoice'!N412)</f>
        <v/>
      </c>
      <c r="J413" s="7">
        <f>IF('Per Invoice'!$V412="","",'Per Invoice'!K412)</f>
        <v/>
      </c>
      <c r="K413" s="7">
        <f>IF('Per Invoice'!$V412="","",'Per Invoice'!T412)</f>
        <v/>
      </c>
      <c r="L413" s="7">
        <f>IF('Per Invoice'!$V412="","",'Per Invoice'!S412)</f>
        <v/>
      </c>
    </row>
    <row r="414">
      <c r="A414">
        <f>IF('Per Invoice'!$V413="","",ROWS($A$3:A414))</f>
        <v/>
      </c>
      <c r="B414" s="11">
        <f>IF('Per Invoice'!$V413="","",'Per Invoice'!E413)</f>
        <v/>
      </c>
      <c r="C414">
        <f>IF('Per Invoice'!$V413="","",'Per Invoice'!G413)</f>
        <v/>
      </c>
      <c r="D414">
        <f>IF('Per Invoice'!$V413="","",'Per Invoice'!H413)</f>
        <v/>
      </c>
      <c r="E414">
        <f>IF('Per Invoice'!$V413="","",'Per Invoice'!F413)</f>
        <v/>
      </c>
      <c r="F414" s="7">
        <f>IF('Per Invoice'!$V413="","",'Per Invoice'!P413)</f>
        <v/>
      </c>
      <c r="G414" s="7">
        <f>IF('Per Invoice'!$V413="","",'Per Invoice'!Q413)</f>
        <v/>
      </c>
      <c r="H414" s="7">
        <f>IF('Per Invoice'!$V413="","",'Per Invoice'!M413)</f>
        <v/>
      </c>
      <c r="I414" s="7">
        <f>IF('Per Invoice'!$V413="","",'Per Invoice'!N413)</f>
        <v/>
      </c>
      <c r="J414" s="7">
        <f>IF('Per Invoice'!$V413="","",'Per Invoice'!K413)</f>
        <v/>
      </c>
      <c r="K414" s="7">
        <f>IF('Per Invoice'!$V413="","",'Per Invoice'!T413)</f>
        <v/>
      </c>
      <c r="L414" s="7">
        <f>IF('Per Invoice'!$V413="","",'Per Invoice'!S413)</f>
        <v/>
      </c>
    </row>
    <row r="415">
      <c r="A415">
        <f>IF('Per Invoice'!$V414="","",ROWS($A$3:A415))</f>
        <v/>
      </c>
      <c r="B415" s="11">
        <f>IF('Per Invoice'!$V414="","",'Per Invoice'!E414)</f>
        <v/>
      </c>
      <c r="C415">
        <f>IF('Per Invoice'!$V414="","",'Per Invoice'!G414)</f>
        <v/>
      </c>
      <c r="D415">
        <f>IF('Per Invoice'!$V414="","",'Per Invoice'!H414)</f>
        <v/>
      </c>
      <c r="E415">
        <f>IF('Per Invoice'!$V414="","",'Per Invoice'!F414)</f>
        <v/>
      </c>
      <c r="F415" s="7">
        <f>IF('Per Invoice'!$V414="","",'Per Invoice'!P414)</f>
        <v/>
      </c>
      <c r="G415" s="7">
        <f>IF('Per Invoice'!$V414="","",'Per Invoice'!Q414)</f>
        <v/>
      </c>
      <c r="H415" s="7">
        <f>IF('Per Invoice'!$V414="","",'Per Invoice'!M414)</f>
        <v/>
      </c>
      <c r="I415" s="7">
        <f>IF('Per Invoice'!$V414="","",'Per Invoice'!N414)</f>
        <v/>
      </c>
      <c r="J415" s="7">
        <f>IF('Per Invoice'!$V414="","",'Per Invoice'!K414)</f>
        <v/>
      </c>
      <c r="K415" s="7">
        <f>IF('Per Invoice'!$V414="","",'Per Invoice'!T414)</f>
        <v/>
      </c>
      <c r="L415" s="7">
        <f>IF('Per Invoice'!$V414="","",'Per Invoice'!S414)</f>
        <v/>
      </c>
    </row>
    <row r="416">
      <c r="A416">
        <f>IF('Per Invoice'!$V415="","",ROWS($A$3:A416))</f>
        <v/>
      </c>
      <c r="B416" s="11">
        <f>IF('Per Invoice'!$V415="","",'Per Invoice'!E415)</f>
        <v/>
      </c>
      <c r="C416">
        <f>IF('Per Invoice'!$V415="","",'Per Invoice'!G415)</f>
        <v/>
      </c>
      <c r="D416">
        <f>IF('Per Invoice'!$V415="","",'Per Invoice'!H415)</f>
        <v/>
      </c>
      <c r="E416">
        <f>IF('Per Invoice'!$V415="","",'Per Invoice'!F415)</f>
        <v/>
      </c>
      <c r="F416" s="7">
        <f>IF('Per Invoice'!$V415="","",'Per Invoice'!P415)</f>
        <v/>
      </c>
      <c r="G416" s="7">
        <f>IF('Per Invoice'!$V415="","",'Per Invoice'!Q415)</f>
        <v/>
      </c>
      <c r="H416" s="7">
        <f>IF('Per Invoice'!$V415="","",'Per Invoice'!M415)</f>
        <v/>
      </c>
      <c r="I416" s="7">
        <f>IF('Per Invoice'!$V415="","",'Per Invoice'!N415)</f>
        <v/>
      </c>
      <c r="J416" s="7">
        <f>IF('Per Invoice'!$V415="","",'Per Invoice'!K415)</f>
        <v/>
      </c>
      <c r="K416" s="7">
        <f>IF('Per Invoice'!$V415="","",'Per Invoice'!T415)</f>
        <v/>
      </c>
      <c r="L416" s="7">
        <f>IF('Per Invoice'!$V415="","",'Per Invoice'!S415)</f>
        <v/>
      </c>
    </row>
    <row r="417">
      <c r="A417">
        <f>IF('Per Invoice'!$V416="","",ROWS($A$3:A417))</f>
        <v/>
      </c>
      <c r="B417" s="11">
        <f>IF('Per Invoice'!$V416="","",'Per Invoice'!E416)</f>
        <v/>
      </c>
      <c r="C417">
        <f>IF('Per Invoice'!$V416="","",'Per Invoice'!G416)</f>
        <v/>
      </c>
      <c r="D417">
        <f>IF('Per Invoice'!$V416="","",'Per Invoice'!H416)</f>
        <v/>
      </c>
      <c r="E417">
        <f>IF('Per Invoice'!$V416="","",'Per Invoice'!F416)</f>
        <v/>
      </c>
      <c r="F417" s="7">
        <f>IF('Per Invoice'!$V416="","",'Per Invoice'!P416)</f>
        <v/>
      </c>
      <c r="G417" s="7">
        <f>IF('Per Invoice'!$V416="","",'Per Invoice'!Q416)</f>
        <v/>
      </c>
      <c r="H417" s="7">
        <f>IF('Per Invoice'!$V416="","",'Per Invoice'!M416)</f>
        <v/>
      </c>
      <c r="I417" s="7">
        <f>IF('Per Invoice'!$V416="","",'Per Invoice'!N416)</f>
        <v/>
      </c>
      <c r="J417" s="7">
        <f>IF('Per Invoice'!$V416="","",'Per Invoice'!K416)</f>
        <v/>
      </c>
      <c r="K417" s="7">
        <f>IF('Per Invoice'!$V416="","",'Per Invoice'!T416)</f>
        <v/>
      </c>
      <c r="L417" s="7">
        <f>IF('Per Invoice'!$V416="","",'Per Invoice'!S416)</f>
        <v/>
      </c>
    </row>
    <row r="418">
      <c r="A418">
        <f>IF('Per Invoice'!$V417="","",ROWS($A$3:A418))</f>
        <v/>
      </c>
      <c r="B418" s="11">
        <f>IF('Per Invoice'!$V417="","",'Per Invoice'!E417)</f>
        <v/>
      </c>
      <c r="C418">
        <f>IF('Per Invoice'!$V417="","",'Per Invoice'!G417)</f>
        <v/>
      </c>
      <c r="D418">
        <f>IF('Per Invoice'!$V417="","",'Per Invoice'!H417)</f>
        <v/>
      </c>
      <c r="E418">
        <f>IF('Per Invoice'!$V417="","",'Per Invoice'!F417)</f>
        <v/>
      </c>
      <c r="F418" s="7">
        <f>IF('Per Invoice'!$V417="","",'Per Invoice'!P417)</f>
        <v/>
      </c>
      <c r="G418" s="7">
        <f>IF('Per Invoice'!$V417="","",'Per Invoice'!Q417)</f>
        <v/>
      </c>
      <c r="H418" s="7">
        <f>IF('Per Invoice'!$V417="","",'Per Invoice'!M417)</f>
        <v/>
      </c>
      <c r="I418" s="7">
        <f>IF('Per Invoice'!$V417="","",'Per Invoice'!N417)</f>
        <v/>
      </c>
      <c r="J418" s="7">
        <f>IF('Per Invoice'!$V417="","",'Per Invoice'!K417)</f>
        <v/>
      </c>
      <c r="K418" s="7">
        <f>IF('Per Invoice'!$V417="","",'Per Invoice'!T417)</f>
        <v/>
      </c>
      <c r="L418" s="7">
        <f>IF('Per Invoice'!$V417="","",'Per Invoice'!S417)</f>
        <v/>
      </c>
    </row>
    <row r="419">
      <c r="A419">
        <f>IF('Per Invoice'!$V418="","",ROWS($A$3:A419))</f>
        <v/>
      </c>
      <c r="B419" s="11">
        <f>IF('Per Invoice'!$V418="","",'Per Invoice'!E418)</f>
        <v/>
      </c>
      <c r="C419">
        <f>IF('Per Invoice'!$V418="","",'Per Invoice'!G418)</f>
        <v/>
      </c>
      <c r="D419">
        <f>IF('Per Invoice'!$V418="","",'Per Invoice'!H418)</f>
        <v/>
      </c>
      <c r="E419">
        <f>IF('Per Invoice'!$V418="","",'Per Invoice'!F418)</f>
        <v/>
      </c>
      <c r="F419" s="7">
        <f>IF('Per Invoice'!$V418="","",'Per Invoice'!P418)</f>
        <v/>
      </c>
      <c r="G419" s="7">
        <f>IF('Per Invoice'!$V418="","",'Per Invoice'!Q418)</f>
        <v/>
      </c>
      <c r="H419" s="7">
        <f>IF('Per Invoice'!$V418="","",'Per Invoice'!M418)</f>
        <v/>
      </c>
      <c r="I419" s="7">
        <f>IF('Per Invoice'!$V418="","",'Per Invoice'!N418)</f>
        <v/>
      </c>
      <c r="J419" s="7">
        <f>IF('Per Invoice'!$V418="","",'Per Invoice'!K418)</f>
        <v/>
      </c>
      <c r="K419" s="7">
        <f>IF('Per Invoice'!$V418="","",'Per Invoice'!T418)</f>
        <v/>
      </c>
      <c r="L419" s="7">
        <f>IF('Per Invoice'!$V418="","",'Per Invoice'!S418)</f>
        <v/>
      </c>
    </row>
    <row r="420">
      <c r="A420">
        <f>IF('Per Invoice'!$V419="","",ROWS($A$3:A420))</f>
        <v/>
      </c>
      <c r="B420" s="11">
        <f>IF('Per Invoice'!$V419="","",'Per Invoice'!E419)</f>
        <v/>
      </c>
      <c r="C420">
        <f>IF('Per Invoice'!$V419="","",'Per Invoice'!G419)</f>
        <v/>
      </c>
      <c r="D420">
        <f>IF('Per Invoice'!$V419="","",'Per Invoice'!H419)</f>
        <v/>
      </c>
      <c r="E420">
        <f>IF('Per Invoice'!$V419="","",'Per Invoice'!F419)</f>
        <v/>
      </c>
      <c r="F420" s="7">
        <f>IF('Per Invoice'!$V419="","",'Per Invoice'!P419)</f>
        <v/>
      </c>
      <c r="G420" s="7">
        <f>IF('Per Invoice'!$V419="","",'Per Invoice'!Q419)</f>
        <v/>
      </c>
      <c r="H420" s="7">
        <f>IF('Per Invoice'!$V419="","",'Per Invoice'!M419)</f>
        <v/>
      </c>
      <c r="I420" s="7">
        <f>IF('Per Invoice'!$V419="","",'Per Invoice'!N419)</f>
        <v/>
      </c>
      <c r="J420" s="7">
        <f>IF('Per Invoice'!$V419="","",'Per Invoice'!K419)</f>
        <v/>
      </c>
      <c r="K420" s="7">
        <f>IF('Per Invoice'!$V419="","",'Per Invoice'!T419)</f>
        <v/>
      </c>
      <c r="L420" s="7">
        <f>IF('Per Invoice'!$V419="","",'Per Invoice'!S419)</f>
        <v/>
      </c>
    </row>
    <row r="421">
      <c r="A421">
        <f>IF('Per Invoice'!$V420="","",ROWS($A$3:A421))</f>
        <v/>
      </c>
      <c r="B421" s="11">
        <f>IF('Per Invoice'!$V420="","",'Per Invoice'!E420)</f>
        <v/>
      </c>
      <c r="C421">
        <f>IF('Per Invoice'!$V420="","",'Per Invoice'!G420)</f>
        <v/>
      </c>
      <c r="D421">
        <f>IF('Per Invoice'!$V420="","",'Per Invoice'!H420)</f>
        <v/>
      </c>
      <c r="E421">
        <f>IF('Per Invoice'!$V420="","",'Per Invoice'!F420)</f>
        <v/>
      </c>
      <c r="F421" s="7">
        <f>IF('Per Invoice'!$V420="","",'Per Invoice'!P420)</f>
        <v/>
      </c>
      <c r="G421" s="7">
        <f>IF('Per Invoice'!$V420="","",'Per Invoice'!Q420)</f>
        <v/>
      </c>
      <c r="H421" s="7">
        <f>IF('Per Invoice'!$V420="","",'Per Invoice'!M420)</f>
        <v/>
      </c>
      <c r="I421" s="7">
        <f>IF('Per Invoice'!$V420="","",'Per Invoice'!N420)</f>
        <v/>
      </c>
      <c r="J421" s="7">
        <f>IF('Per Invoice'!$V420="","",'Per Invoice'!K420)</f>
        <v/>
      </c>
      <c r="K421" s="7">
        <f>IF('Per Invoice'!$V420="","",'Per Invoice'!T420)</f>
        <v/>
      </c>
      <c r="L421" s="7">
        <f>IF('Per Invoice'!$V420="","",'Per Invoice'!S420)</f>
        <v/>
      </c>
    </row>
    <row r="422">
      <c r="A422">
        <f>IF('Per Invoice'!$V421="","",ROWS($A$3:A422))</f>
        <v/>
      </c>
      <c r="B422" s="11">
        <f>IF('Per Invoice'!$V421="","",'Per Invoice'!E421)</f>
        <v/>
      </c>
      <c r="C422">
        <f>IF('Per Invoice'!$V421="","",'Per Invoice'!G421)</f>
        <v/>
      </c>
      <c r="D422">
        <f>IF('Per Invoice'!$V421="","",'Per Invoice'!H421)</f>
        <v/>
      </c>
      <c r="E422">
        <f>IF('Per Invoice'!$V421="","",'Per Invoice'!F421)</f>
        <v/>
      </c>
      <c r="F422" s="7">
        <f>IF('Per Invoice'!$V421="","",'Per Invoice'!P421)</f>
        <v/>
      </c>
      <c r="G422" s="7">
        <f>IF('Per Invoice'!$V421="","",'Per Invoice'!Q421)</f>
        <v/>
      </c>
      <c r="H422" s="7">
        <f>IF('Per Invoice'!$V421="","",'Per Invoice'!M421)</f>
        <v/>
      </c>
      <c r="I422" s="7">
        <f>IF('Per Invoice'!$V421="","",'Per Invoice'!N421)</f>
        <v/>
      </c>
      <c r="J422" s="7">
        <f>IF('Per Invoice'!$V421="","",'Per Invoice'!K421)</f>
        <v/>
      </c>
      <c r="K422" s="7">
        <f>IF('Per Invoice'!$V421="","",'Per Invoice'!T421)</f>
        <v/>
      </c>
      <c r="L422" s="7">
        <f>IF('Per Invoice'!$V421="","",'Per Invoice'!S421)</f>
        <v/>
      </c>
    </row>
    <row r="423">
      <c r="A423">
        <f>IF('Per Invoice'!$V422="","",ROWS($A$3:A423))</f>
        <v/>
      </c>
      <c r="B423" s="11">
        <f>IF('Per Invoice'!$V422="","",'Per Invoice'!E422)</f>
        <v/>
      </c>
      <c r="C423">
        <f>IF('Per Invoice'!$V422="","",'Per Invoice'!G422)</f>
        <v/>
      </c>
      <c r="D423">
        <f>IF('Per Invoice'!$V422="","",'Per Invoice'!H422)</f>
        <v/>
      </c>
      <c r="E423">
        <f>IF('Per Invoice'!$V422="","",'Per Invoice'!F422)</f>
        <v/>
      </c>
      <c r="F423" s="7">
        <f>IF('Per Invoice'!$V422="","",'Per Invoice'!P422)</f>
        <v/>
      </c>
      <c r="G423" s="7">
        <f>IF('Per Invoice'!$V422="","",'Per Invoice'!Q422)</f>
        <v/>
      </c>
      <c r="H423" s="7">
        <f>IF('Per Invoice'!$V422="","",'Per Invoice'!M422)</f>
        <v/>
      </c>
      <c r="I423" s="7">
        <f>IF('Per Invoice'!$V422="","",'Per Invoice'!N422)</f>
        <v/>
      </c>
      <c r="J423" s="7">
        <f>IF('Per Invoice'!$V422="","",'Per Invoice'!K422)</f>
        <v/>
      </c>
      <c r="K423" s="7">
        <f>IF('Per Invoice'!$V422="","",'Per Invoice'!T422)</f>
        <v/>
      </c>
      <c r="L423" s="7">
        <f>IF('Per Invoice'!$V422="","",'Per Invoice'!S422)</f>
        <v/>
      </c>
    </row>
    <row r="424">
      <c r="A424">
        <f>IF('Per Invoice'!$V423="","",ROWS($A$3:A424))</f>
        <v/>
      </c>
      <c r="B424" s="11">
        <f>IF('Per Invoice'!$V423="","",'Per Invoice'!E423)</f>
        <v/>
      </c>
      <c r="C424">
        <f>IF('Per Invoice'!$V423="","",'Per Invoice'!G423)</f>
        <v/>
      </c>
      <c r="D424">
        <f>IF('Per Invoice'!$V423="","",'Per Invoice'!H423)</f>
        <v/>
      </c>
      <c r="E424">
        <f>IF('Per Invoice'!$V423="","",'Per Invoice'!F423)</f>
        <v/>
      </c>
      <c r="F424" s="7">
        <f>IF('Per Invoice'!$V423="","",'Per Invoice'!P423)</f>
        <v/>
      </c>
      <c r="G424" s="7">
        <f>IF('Per Invoice'!$V423="","",'Per Invoice'!Q423)</f>
        <v/>
      </c>
      <c r="H424" s="7">
        <f>IF('Per Invoice'!$V423="","",'Per Invoice'!M423)</f>
        <v/>
      </c>
      <c r="I424" s="7">
        <f>IF('Per Invoice'!$V423="","",'Per Invoice'!N423)</f>
        <v/>
      </c>
      <c r="J424" s="7">
        <f>IF('Per Invoice'!$V423="","",'Per Invoice'!K423)</f>
        <v/>
      </c>
      <c r="K424" s="7">
        <f>IF('Per Invoice'!$V423="","",'Per Invoice'!T423)</f>
        <v/>
      </c>
      <c r="L424" s="7">
        <f>IF('Per Invoice'!$V423="","",'Per Invoice'!S423)</f>
        <v/>
      </c>
    </row>
    <row r="425">
      <c r="A425">
        <f>IF('Per Invoice'!$V424="","",ROWS($A$3:A425))</f>
        <v/>
      </c>
      <c r="B425" s="11">
        <f>IF('Per Invoice'!$V424="","",'Per Invoice'!E424)</f>
        <v/>
      </c>
      <c r="C425">
        <f>IF('Per Invoice'!$V424="","",'Per Invoice'!G424)</f>
        <v/>
      </c>
      <c r="D425">
        <f>IF('Per Invoice'!$V424="","",'Per Invoice'!H424)</f>
        <v/>
      </c>
      <c r="E425">
        <f>IF('Per Invoice'!$V424="","",'Per Invoice'!F424)</f>
        <v/>
      </c>
      <c r="F425" s="7">
        <f>IF('Per Invoice'!$V424="","",'Per Invoice'!P424)</f>
        <v/>
      </c>
      <c r="G425" s="7">
        <f>IF('Per Invoice'!$V424="","",'Per Invoice'!Q424)</f>
        <v/>
      </c>
      <c r="H425" s="7">
        <f>IF('Per Invoice'!$V424="","",'Per Invoice'!M424)</f>
        <v/>
      </c>
      <c r="I425" s="7">
        <f>IF('Per Invoice'!$V424="","",'Per Invoice'!N424)</f>
        <v/>
      </c>
      <c r="J425" s="7">
        <f>IF('Per Invoice'!$V424="","",'Per Invoice'!K424)</f>
        <v/>
      </c>
      <c r="K425" s="7">
        <f>IF('Per Invoice'!$V424="","",'Per Invoice'!T424)</f>
        <v/>
      </c>
      <c r="L425" s="7">
        <f>IF('Per Invoice'!$V424="","",'Per Invoice'!S424)</f>
        <v/>
      </c>
    </row>
    <row r="426">
      <c r="A426">
        <f>IF('Per Invoice'!$V425="","",ROWS($A$3:A426))</f>
        <v/>
      </c>
      <c r="B426" s="11">
        <f>IF('Per Invoice'!$V425="","",'Per Invoice'!E425)</f>
        <v/>
      </c>
      <c r="C426">
        <f>IF('Per Invoice'!$V425="","",'Per Invoice'!G425)</f>
        <v/>
      </c>
      <c r="D426">
        <f>IF('Per Invoice'!$V425="","",'Per Invoice'!H425)</f>
        <v/>
      </c>
      <c r="E426">
        <f>IF('Per Invoice'!$V425="","",'Per Invoice'!F425)</f>
        <v/>
      </c>
      <c r="F426" s="7">
        <f>IF('Per Invoice'!$V425="","",'Per Invoice'!P425)</f>
        <v/>
      </c>
      <c r="G426" s="7">
        <f>IF('Per Invoice'!$V425="","",'Per Invoice'!Q425)</f>
        <v/>
      </c>
      <c r="H426" s="7">
        <f>IF('Per Invoice'!$V425="","",'Per Invoice'!M425)</f>
        <v/>
      </c>
      <c r="I426" s="7">
        <f>IF('Per Invoice'!$V425="","",'Per Invoice'!N425)</f>
        <v/>
      </c>
      <c r="J426" s="7">
        <f>IF('Per Invoice'!$V425="","",'Per Invoice'!K425)</f>
        <v/>
      </c>
      <c r="K426" s="7">
        <f>IF('Per Invoice'!$V425="","",'Per Invoice'!T425)</f>
        <v/>
      </c>
      <c r="L426" s="7">
        <f>IF('Per Invoice'!$V425="","",'Per Invoice'!S425)</f>
        <v/>
      </c>
    </row>
    <row r="427">
      <c r="A427">
        <f>IF('Per Invoice'!$V426="","",ROWS($A$3:A427))</f>
        <v/>
      </c>
      <c r="B427" s="11">
        <f>IF('Per Invoice'!$V426="","",'Per Invoice'!E426)</f>
        <v/>
      </c>
      <c r="C427">
        <f>IF('Per Invoice'!$V426="","",'Per Invoice'!G426)</f>
        <v/>
      </c>
      <c r="D427">
        <f>IF('Per Invoice'!$V426="","",'Per Invoice'!H426)</f>
        <v/>
      </c>
      <c r="E427">
        <f>IF('Per Invoice'!$V426="","",'Per Invoice'!F426)</f>
        <v/>
      </c>
      <c r="F427" s="7">
        <f>IF('Per Invoice'!$V426="","",'Per Invoice'!P426)</f>
        <v/>
      </c>
      <c r="G427" s="7">
        <f>IF('Per Invoice'!$V426="","",'Per Invoice'!Q426)</f>
        <v/>
      </c>
      <c r="H427" s="7">
        <f>IF('Per Invoice'!$V426="","",'Per Invoice'!M426)</f>
        <v/>
      </c>
      <c r="I427" s="7">
        <f>IF('Per Invoice'!$V426="","",'Per Invoice'!N426)</f>
        <v/>
      </c>
      <c r="J427" s="7">
        <f>IF('Per Invoice'!$V426="","",'Per Invoice'!K426)</f>
        <v/>
      </c>
      <c r="K427" s="7">
        <f>IF('Per Invoice'!$V426="","",'Per Invoice'!T426)</f>
        <v/>
      </c>
      <c r="L427" s="7">
        <f>IF('Per Invoice'!$V426="","",'Per Invoice'!S426)</f>
        <v/>
      </c>
    </row>
    <row r="428">
      <c r="A428">
        <f>IF('Per Invoice'!$V427="","",ROWS($A$3:A428))</f>
        <v/>
      </c>
      <c r="B428" s="11">
        <f>IF('Per Invoice'!$V427="","",'Per Invoice'!E427)</f>
        <v/>
      </c>
      <c r="C428">
        <f>IF('Per Invoice'!$V427="","",'Per Invoice'!G427)</f>
        <v/>
      </c>
      <c r="D428">
        <f>IF('Per Invoice'!$V427="","",'Per Invoice'!H427)</f>
        <v/>
      </c>
      <c r="E428">
        <f>IF('Per Invoice'!$V427="","",'Per Invoice'!F427)</f>
        <v/>
      </c>
      <c r="F428" s="7">
        <f>IF('Per Invoice'!$V427="","",'Per Invoice'!P427)</f>
        <v/>
      </c>
      <c r="G428" s="7">
        <f>IF('Per Invoice'!$V427="","",'Per Invoice'!Q427)</f>
        <v/>
      </c>
      <c r="H428" s="7">
        <f>IF('Per Invoice'!$V427="","",'Per Invoice'!M427)</f>
        <v/>
      </c>
      <c r="I428" s="7">
        <f>IF('Per Invoice'!$V427="","",'Per Invoice'!N427)</f>
        <v/>
      </c>
      <c r="J428" s="7">
        <f>IF('Per Invoice'!$V427="","",'Per Invoice'!K427)</f>
        <v/>
      </c>
      <c r="K428" s="7">
        <f>IF('Per Invoice'!$V427="","",'Per Invoice'!T427)</f>
        <v/>
      </c>
      <c r="L428" s="7">
        <f>IF('Per Invoice'!$V427="","",'Per Invoice'!S427)</f>
        <v/>
      </c>
    </row>
    <row r="429">
      <c r="A429">
        <f>IF('Per Invoice'!$V428="","",ROWS($A$3:A429))</f>
        <v/>
      </c>
      <c r="B429" s="11">
        <f>IF('Per Invoice'!$V428="","",'Per Invoice'!E428)</f>
        <v/>
      </c>
      <c r="C429">
        <f>IF('Per Invoice'!$V428="","",'Per Invoice'!G428)</f>
        <v/>
      </c>
      <c r="D429">
        <f>IF('Per Invoice'!$V428="","",'Per Invoice'!H428)</f>
        <v/>
      </c>
      <c r="E429">
        <f>IF('Per Invoice'!$V428="","",'Per Invoice'!F428)</f>
        <v/>
      </c>
      <c r="F429" s="7">
        <f>IF('Per Invoice'!$V428="","",'Per Invoice'!P428)</f>
        <v/>
      </c>
      <c r="G429" s="7">
        <f>IF('Per Invoice'!$V428="","",'Per Invoice'!Q428)</f>
        <v/>
      </c>
      <c r="H429" s="7">
        <f>IF('Per Invoice'!$V428="","",'Per Invoice'!M428)</f>
        <v/>
      </c>
      <c r="I429" s="7">
        <f>IF('Per Invoice'!$V428="","",'Per Invoice'!N428)</f>
        <v/>
      </c>
      <c r="J429" s="7">
        <f>IF('Per Invoice'!$V428="","",'Per Invoice'!K428)</f>
        <v/>
      </c>
      <c r="K429" s="7">
        <f>IF('Per Invoice'!$V428="","",'Per Invoice'!T428)</f>
        <v/>
      </c>
      <c r="L429" s="7">
        <f>IF('Per Invoice'!$V428="","",'Per Invoice'!S428)</f>
        <v/>
      </c>
    </row>
    <row r="430">
      <c r="A430">
        <f>IF('Per Invoice'!$V429="","",ROWS($A$3:A430))</f>
        <v/>
      </c>
      <c r="B430" s="11">
        <f>IF('Per Invoice'!$V429="","",'Per Invoice'!E429)</f>
        <v/>
      </c>
      <c r="C430">
        <f>IF('Per Invoice'!$V429="","",'Per Invoice'!G429)</f>
        <v/>
      </c>
      <c r="D430">
        <f>IF('Per Invoice'!$V429="","",'Per Invoice'!H429)</f>
        <v/>
      </c>
      <c r="E430">
        <f>IF('Per Invoice'!$V429="","",'Per Invoice'!F429)</f>
        <v/>
      </c>
      <c r="F430" s="7">
        <f>IF('Per Invoice'!$V429="","",'Per Invoice'!P429)</f>
        <v/>
      </c>
      <c r="G430" s="7">
        <f>IF('Per Invoice'!$V429="","",'Per Invoice'!Q429)</f>
        <v/>
      </c>
      <c r="H430" s="7">
        <f>IF('Per Invoice'!$V429="","",'Per Invoice'!M429)</f>
        <v/>
      </c>
      <c r="I430" s="7">
        <f>IF('Per Invoice'!$V429="","",'Per Invoice'!N429)</f>
        <v/>
      </c>
      <c r="J430" s="7">
        <f>IF('Per Invoice'!$V429="","",'Per Invoice'!K429)</f>
        <v/>
      </c>
      <c r="K430" s="7">
        <f>IF('Per Invoice'!$V429="","",'Per Invoice'!T429)</f>
        <v/>
      </c>
      <c r="L430" s="7">
        <f>IF('Per Invoice'!$V429="","",'Per Invoice'!S429)</f>
        <v/>
      </c>
    </row>
    <row r="431">
      <c r="A431">
        <f>IF('Per Invoice'!$V430="","",ROWS($A$3:A431))</f>
        <v/>
      </c>
      <c r="B431" s="11">
        <f>IF('Per Invoice'!$V430="","",'Per Invoice'!E430)</f>
        <v/>
      </c>
      <c r="C431">
        <f>IF('Per Invoice'!$V430="","",'Per Invoice'!G430)</f>
        <v/>
      </c>
      <c r="D431">
        <f>IF('Per Invoice'!$V430="","",'Per Invoice'!H430)</f>
        <v/>
      </c>
      <c r="E431">
        <f>IF('Per Invoice'!$V430="","",'Per Invoice'!F430)</f>
        <v/>
      </c>
      <c r="F431" s="7">
        <f>IF('Per Invoice'!$V430="","",'Per Invoice'!P430)</f>
        <v/>
      </c>
      <c r="G431" s="7">
        <f>IF('Per Invoice'!$V430="","",'Per Invoice'!Q430)</f>
        <v/>
      </c>
      <c r="H431" s="7">
        <f>IF('Per Invoice'!$V430="","",'Per Invoice'!M430)</f>
        <v/>
      </c>
      <c r="I431" s="7">
        <f>IF('Per Invoice'!$V430="","",'Per Invoice'!N430)</f>
        <v/>
      </c>
      <c r="J431" s="7">
        <f>IF('Per Invoice'!$V430="","",'Per Invoice'!K430)</f>
        <v/>
      </c>
      <c r="K431" s="7">
        <f>IF('Per Invoice'!$V430="","",'Per Invoice'!T430)</f>
        <v/>
      </c>
      <c r="L431" s="7">
        <f>IF('Per Invoice'!$V430="","",'Per Invoice'!S430)</f>
        <v/>
      </c>
    </row>
    <row r="432">
      <c r="A432">
        <f>IF('Per Invoice'!$V431="","",ROWS($A$3:A432))</f>
        <v/>
      </c>
      <c r="B432" s="11">
        <f>IF('Per Invoice'!$V431="","",'Per Invoice'!E431)</f>
        <v/>
      </c>
      <c r="C432">
        <f>IF('Per Invoice'!$V431="","",'Per Invoice'!G431)</f>
        <v/>
      </c>
      <c r="D432">
        <f>IF('Per Invoice'!$V431="","",'Per Invoice'!H431)</f>
        <v/>
      </c>
      <c r="E432">
        <f>IF('Per Invoice'!$V431="","",'Per Invoice'!F431)</f>
        <v/>
      </c>
      <c r="F432" s="7">
        <f>IF('Per Invoice'!$V431="","",'Per Invoice'!P431)</f>
        <v/>
      </c>
      <c r="G432" s="7">
        <f>IF('Per Invoice'!$V431="","",'Per Invoice'!Q431)</f>
        <v/>
      </c>
      <c r="H432" s="7">
        <f>IF('Per Invoice'!$V431="","",'Per Invoice'!M431)</f>
        <v/>
      </c>
      <c r="I432" s="7">
        <f>IF('Per Invoice'!$V431="","",'Per Invoice'!N431)</f>
        <v/>
      </c>
      <c r="J432" s="7">
        <f>IF('Per Invoice'!$V431="","",'Per Invoice'!K431)</f>
        <v/>
      </c>
      <c r="K432" s="7">
        <f>IF('Per Invoice'!$V431="","",'Per Invoice'!T431)</f>
        <v/>
      </c>
      <c r="L432" s="7">
        <f>IF('Per Invoice'!$V431="","",'Per Invoice'!S431)</f>
        <v/>
      </c>
    </row>
    <row r="433">
      <c r="A433">
        <f>IF('Per Invoice'!$V432="","",ROWS($A$3:A433))</f>
        <v/>
      </c>
      <c r="B433" s="11">
        <f>IF('Per Invoice'!$V432="","",'Per Invoice'!E432)</f>
        <v/>
      </c>
      <c r="C433">
        <f>IF('Per Invoice'!$V432="","",'Per Invoice'!G432)</f>
        <v/>
      </c>
      <c r="D433">
        <f>IF('Per Invoice'!$V432="","",'Per Invoice'!H432)</f>
        <v/>
      </c>
      <c r="E433">
        <f>IF('Per Invoice'!$V432="","",'Per Invoice'!F432)</f>
        <v/>
      </c>
      <c r="F433" s="7">
        <f>IF('Per Invoice'!$V432="","",'Per Invoice'!P432)</f>
        <v/>
      </c>
      <c r="G433" s="7">
        <f>IF('Per Invoice'!$V432="","",'Per Invoice'!Q432)</f>
        <v/>
      </c>
      <c r="H433" s="7">
        <f>IF('Per Invoice'!$V432="","",'Per Invoice'!M432)</f>
        <v/>
      </c>
      <c r="I433" s="7">
        <f>IF('Per Invoice'!$V432="","",'Per Invoice'!N432)</f>
        <v/>
      </c>
      <c r="J433" s="7">
        <f>IF('Per Invoice'!$V432="","",'Per Invoice'!K432)</f>
        <v/>
      </c>
      <c r="K433" s="7">
        <f>IF('Per Invoice'!$V432="","",'Per Invoice'!T432)</f>
        <v/>
      </c>
      <c r="L433" s="7">
        <f>IF('Per Invoice'!$V432="","",'Per Invoice'!S432)</f>
        <v/>
      </c>
    </row>
    <row r="434">
      <c r="A434">
        <f>IF('Per Invoice'!$V433="","",ROWS($A$3:A434))</f>
        <v/>
      </c>
      <c r="B434" s="11">
        <f>IF('Per Invoice'!$V433="","",'Per Invoice'!E433)</f>
        <v/>
      </c>
      <c r="C434">
        <f>IF('Per Invoice'!$V433="","",'Per Invoice'!G433)</f>
        <v/>
      </c>
      <c r="D434">
        <f>IF('Per Invoice'!$V433="","",'Per Invoice'!H433)</f>
        <v/>
      </c>
      <c r="E434">
        <f>IF('Per Invoice'!$V433="","",'Per Invoice'!F433)</f>
        <v/>
      </c>
      <c r="F434" s="7">
        <f>IF('Per Invoice'!$V433="","",'Per Invoice'!P433)</f>
        <v/>
      </c>
      <c r="G434" s="7">
        <f>IF('Per Invoice'!$V433="","",'Per Invoice'!Q433)</f>
        <v/>
      </c>
      <c r="H434" s="7">
        <f>IF('Per Invoice'!$V433="","",'Per Invoice'!M433)</f>
        <v/>
      </c>
      <c r="I434" s="7">
        <f>IF('Per Invoice'!$V433="","",'Per Invoice'!N433)</f>
        <v/>
      </c>
      <c r="J434" s="7">
        <f>IF('Per Invoice'!$V433="","",'Per Invoice'!K433)</f>
        <v/>
      </c>
      <c r="K434" s="7">
        <f>IF('Per Invoice'!$V433="","",'Per Invoice'!T433)</f>
        <v/>
      </c>
      <c r="L434" s="7">
        <f>IF('Per Invoice'!$V433="","",'Per Invoice'!S433)</f>
        <v/>
      </c>
    </row>
    <row r="435">
      <c r="A435">
        <f>IF('Per Invoice'!$V434="","",ROWS($A$3:A435))</f>
        <v/>
      </c>
      <c r="B435" s="11">
        <f>IF('Per Invoice'!$V434="","",'Per Invoice'!E434)</f>
        <v/>
      </c>
      <c r="C435">
        <f>IF('Per Invoice'!$V434="","",'Per Invoice'!G434)</f>
        <v/>
      </c>
      <c r="D435">
        <f>IF('Per Invoice'!$V434="","",'Per Invoice'!H434)</f>
        <v/>
      </c>
      <c r="E435">
        <f>IF('Per Invoice'!$V434="","",'Per Invoice'!F434)</f>
        <v/>
      </c>
      <c r="F435" s="7">
        <f>IF('Per Invoice'!$V434="","",'Per Invoice'!P434)</f>
        <v/>
      </c>
      <c r="G435" s="7">
        <f>IF('Per Invoice'!$V434="","",'Per Invoice'!Q434)</f>
        <v/>
      </c>
      <c r="H435" s="7">
        <f>IF('Per Invoice'!$V434="","",'Per Invoice'!M434)</f>
        <v/>
      </c>
      <c r="I435" s="7">
        <f>IF('Per Invoice'!$V434="","",'Per Invoice'!N434)</f>
        <v/>
      </c>
      <c r="J435" s="7">
        <f>IF('Per Invoice'!$V434="","",'Per Invoice'!K434)</f>
        <v/>
      </c>
      <c r="K435" s="7">
        <f>IF('Per Invoice'!$V434="","",'Per Invoice'!T434)</f>
        <v/>
      </c>
      <c r="L435" s="7">
        <f>IF('Per Invoice'!$V434="","",'Per Invoice'!S434)</f>
        <v/>
      </c>
    </row>
    <row r="436">
      <c r="A436">
        <f>IF('Per Invoice'!$V435="","",ROWS($A$3:A436))</f>
        <v/>
      </c>
      <c r="B436" s="11">
        <f>IF('Per Invoice'!$V435="","",'Per Invoice'!E435)</f>
        <v/>
      </c>
      <c r="C436">
        <f>IF('Per Invoice'!$V435="","",'Per Invoice'!G435)</f>
        <v/>
      </c>
      <c r="D436">
        <f>IF('Per Invoice'!$V435="","",'Per Invoice'!H435)</f>
        <v/>
      </c>
      <c r="E436">
        <f>IF('Per Invoice'!$V435="","",'Per Invoice'!F435)</f>
        <v/>
      </c>
      <c r="F436" s="7">
        <f>IF('Per Invoice'!$V435="","",'Per Invoice'!P435)</f>
        <v/>
      </c>
      <c r="G436" s="7">
        <f>IF('Per Invoice'!$V435="","",'Per Invoice'!Q435)</f>
        <v/>
      </c>
      <c r="H436" s="7">
        <f>IF('Per Invoice'!$V435="","",'Per Invoice'!M435)</f>
        <v/>
      </c>
      <c r="I436" s="7">
        <f>IF('Per Invoice'!$V435="","",'Per Invoice'!N435)</f>
        <v/>
      </c>
      <c r="J436" s="7">
        <f>IF('Per Invoice'!$V435="","",'Per Invoice'!K435)</f>
        <v/>
      </c>
      <c r="K436" s="7">
        <f>IF('Per Invoice'!$V435="","",'Per Invoice'!T435)</f>
        <v/>
      </c>
      <c r="L436" s="7">
        <f>IF('Per Invoice'!$V435="","",'Per Invoice'!S435)</f>
        <v/>
      </c>
    </row>
    <row r="437">
      <c r="A437">
        <f>IF('Per Invoice'!$V436="","",ROWS($A$3:A437))</f>
        <v/>
      </c>
      <c r="B437" s="11">
        <f>IF('Per Invoice'!$V436="","",'Per Invoice'!E436)</f>
        <v/>
      </c>
      <c r="C437">
        <f>IF('Per Invoice'!$V436="","",'Per Invoice'!G436)</f>
        <v/>
      </c>
      <c r="D437">
        <f>IF('Per Invoice'!$V436="","",'Per Invoice'!H436)</f>
        <v/>
      </c>
      <c r="E437">
        <f>IF('Per Invoice'!$V436="","",'Per Invoice'!F436)</f>
        <v/>
      </c>
      <c r="F437" s="7">
        <f>IF('Per Invoice'!$V436="","",'Per Invoice'!P436)</f>
        <v/>
      </c>
      <c r="G437" s="7">
        <f>IF('Per Invoice'!$V436="","",'Per Invoice'!Q436)</f>
        <v/>
      </c>
      <c r="H437" s="7">
        <f>IF('Per Invoice'!$V436="","",'Per Invoice'!M436)</f>
        <v/>
      </c>
      <c r="I437" s="7">
        <f>IF('Per Invoice'!$V436="","",'Per Invoice'!N436)</f>
        <v/>
      </c>
      <c r="J437" s="7">
        <f>IF('Per Invoice'!$V436="","",'Per Invoice'!K436)</f>
        <v/>
      </c>
      <c r="K437" s="7">
        <f>IF('Per Invoice'!$V436="","",'Per Invoice'!T436)</f>
        <v/>
      </c>
      <c r="L437" s="7">
        <f>IF('Per Invoice'!$V436="","",'Per Invoice'!S436)</f>
        <v/>
      </c>
    </row>
    <row r="438">
      <c r="A438">
        <f>IF('Per Invoice'!$V437="","",ROWS($A$3:A438))</f>
        <v/>
      </c>
      <c r="B438" s="11">
        <f>IF('Per Invoice'!$V437="","",'Per Invoice'!E437)</f>
        <v/>
      </c>
      <c r="C438">
        <f>IF('Per Invoice'!$V437="","",'Per Invoice'!G437)</f>
        <v/>
      </c>
      <c r="D438">
        <f>IF('Per Invoice'!$V437="","",'Per Invoice'!H437)</f>
        <v/>
      </c>
      <c r="E438">
        <f>IF('Per Invoice'!$V437="","",'Per Invoice'!F437)</f>
        <v/>
      </c>
      <c r="F438" s="7">
        <f>IF('Per Invoice'!$V437="","",'Per Invoice'!P437)</f>
        <v/>
      </c>
      <c r="G438" s="7">
        <f>IF('Per Invoice'!$V437="","",'Per Invoice'!Q437)</f>
        <v/>
      </c>
      <c r="H438" s="7">
        <f>IF('Per Invoice'!$V437="","",'Per Invoice'!M437)</f>
        <v/>
      </c>
      <c r="I438" s="7">
        <f>IF('Per Invoice'!$V437="","",'Per Invoice'!N437)</f>
        <v/>
      </c>
      <c r="J438" s="7">
        <f>IF('Per Invoice'!$V437="","",'Per Invoice'!K437)</f>
        <v/>
      </c>
      <c r="K438" s="7">
        <f>IF('Per Invoice'!$V437="","",'Per Invoice'!T437)</f>
        <v/>
      </c>
      <c r="L438" s="7">
        <f>IF('Per Invoice'!$V437="","",'Per Invoice'!S437)</f>
        <v/>
      </c>
    </row>
    <row r="439">
      <c r="A439">
        <f>IF('Per Invoice'!$V438="","",ROWS($A$3:A439))</f>
        <v/>
      </c>
      <c r="B439" s="11">
        <f>IF('Per Invoice'!$V438="","",'Per Invoice'!E438)</f>
        <v/>
      </c>
      <c r="C439">
        <f>IF('Per Invoice'!$V438="","",'Per Invoice'!G438)</f>
        <v/>
      </c>
      <c r="D439">
        <f>IF('Per Invoice'!$V438="","",'Per Invoice'!H438)</f>
        <v/>
      </c>
      <c r="E439">
        <f>IF('Per Invoice'!$V438="","",'Per Invoice'!F438)</f>
        <v/>
      </c>
      <c r="F439" s="7">
        <f>IF('Per Invoice'!$V438="","",'Per Invoice'!P438)</f>
        <v/>
      </c>
      <c r="G439" s="7">
        <f>IF('Per Invoice'!$V438="","",'Per Invoice'!Q438)</f>
        <v/>
      </c>
      <c r="H439" s="7">
        <f>IF('Per Invoice'!$V438="","",'Per Invoice'!M438)</f>
        <v/>
      </c>
      <c r="I439" s="7">
        <f>IF('Per Invoice'!$V438="","",'Per Invoice'!N438)</f>
        <v/>
      </c>
      <c r="J439" s="7">
        <f>IF('Per Invoice'!$V438="","",'Per Invoice'!K438)</f>
        <v/>
      </c>
      <c r="K439" s="7">
        <f>IF('Per Invoice'!$V438="","",'Per Invoice'!T438)</f>
        <v/>
      </c>
      <c r="L439" s="7">
        <f>IF('Per Invoice'!$V438="","",'Per Invoice'!S438)</f>
        <v/>
      </c>
    </row>
    <row r="440">
      <c r="A440">
        <f>IF('Per Invoice'!$V439="","",ROWS($A$3:A440))</f>
        <v/>
      </c>
      <c r="B440" s="11">
        <f>IF('Per Invoice'!$V439="","",'Per Invoice'!E439)</f>
        <v/>
      </c>
      <c r="C440">
        <f>IF('Per Invoice'!$V439="","",'Per Invoice'!G439)</f>
        <v/>
      </c>
      <c r="D440">
        <f>IF('Per Invoice'!$V439="","",'Per Invoice'!H439)</f>
        <v/>
      </c>
      <c r="E440">
        <f>IF('Per Invoice'!$V439="","",'Per Invoice'!F439)</f>
        <v/>
      </c>
      <c r="F440" s="7">
        <f>IF('Per Invoice'!$V439="","",'Per Invoice'!P439)</f>
        <v/>
      </c>
      <c r="G440" s="7">
        <f>IF('Per Invoice'!$V439="","",'Per Invoice'!Q439)</f>
        <v/>
      </c>
      <c r="H440" s="7">
        <f>IF('Per Invoice'!$V439="","",'Per Invoice'!M439)</f>
        <v/>
      </c>
      <c r="I440" s="7">
        <f>IF('Per Invoice'!$V439="","",'Per Invoice'!N439)</f>
        <v/>
      </c>
      <c r="J440" s="7">
        <f>IF('Per Invoice'!$V439="","",'Per Invoice'!K439)</f>
        <v/>
      </c>
      <c r="K440" s="7">
        <f>IF('Per Invoice'!$V439="","",'Per Invoice'!T439)</f>
        <v/>
      </c>
      <c r="L440" s="7">
        <f>IF('Per Invoice'!$V439="","",'Per Invoice'!S439)</f>
        <v/>
      </c>
    </row>
    <row r="441">
      <c r="A441">
        <f>IF('Per Invoice'!$V440="","",ROWS($A$3:A441))</f>
        <v/>
      </c>
      <c r="B441" s="11">
        <f>IF('Per Invoice'!$V440="","",'Per Invoice'!E440)</f>
        <v/>
      </c>
      <c r="C441">
        <f>IF('Per Invoice'!$V440="","",'Per Invoice'!G440)</f>
        <v/>
      </c>
      <c r="D441">
        <f>IF('Per Invoice'!$V440="","",'Per Invoice'!H440)</f>
        <v/>
      </c>
      <c r="E441">
        <f>IF('Per Invoice'!$V440="","",'Per Invoice'!F440)</f>
        <v/>
      </c>
      <c r="F441" s="7">
        <f>IF('Per Invoice'!$V440="","",'Per Invoice'!P440)</f>
        <v/>
      </c>
      <c r="G441" s="7">
        <f>IF('Per Invoice'!$V440="","",'Per Invoice'!Q440)</f>
        <v/>
      </c>
      <c r="H441" s="7">
        <f>IF('Per Invoice'!$V440="","",'Per Invoice'!M440)</f>
        <v/>
      </c>
      <c r="I441" s="7">
        <f>IF('Per Invoice'!$V440="","",'Per Invoice'!N440)</f>
        <v/>
      </c>
      <c r="J441" s="7">
        <f>IF('Per Invoice'!$V440="","",'Per Invoice'!K440)</f>
        <v/>
      </c>
      <c r="K441" s="7">
        <f>IF('Per Invoice'!$V440="","",'Per Invoice'!T440)</f>
        <v/>
      </c>
      <c r="L441" s="7">
        <f>IF('Per Invoice'!$V440="","",'Per Invoice'!S440)</f>
        <v/>
      </c>
    </row>
    <row r="442">
      <c r="A442">
        <f>IF('Per Invoice'!$V441="","",ROWS($A$3:A442))</f>
        <v/>
      </c>
      <c r="B442" s="11">
        <f>IF('Per Invoice'!$V441="","",'Per Invoice'!E441)</f>
        <v/>
      </c>
      <c r="C442">
        <f>IF('Per Invoice'!$V441="","",'Per Invoice'!G441)</f>
        <v/>
      </c>
      <c r="D442">
        <f>IF('Per Invoice'!$V441="","",'Per Invoice'!H441)</f>
        <v/>
      </c>
      <c r="E442">
        <f>IF('Per Invoice'!$V441="","",'Per Invoice'!F441)</f>
        <v/>
      </c>
      <c r="F442" s="7">
        <f>IF('Per Invoice'!$V441="","",'Per Invoice'!P441)</f>
        <v/>
      </c>
      <c r="G442" s="7">
        <f>IF('Per Invoice'!$V441="","",'Per Invoice'!Q441)</f>
        <v/>
      </c>
      <c r="H442" s="7">
        <f>IF('Per Invoice'!$V441="","",'Per Invoice'!M441)</f>
        <v/>
      </c>
      <c r="I442" s="7">
        <f>IF('Per Invoice'!$V441="","",'Per Invoice'!N441)</f>
        <v/>
      </c>
      <c r="J442" s="7">
        <f>IF('Per Invoice'!$V441="","",'Per Invoice'!K441)</f>
        <v/>
      </c>
      <c r="K442" s="7">
        <f>IF('Per Invoice'!$V441="","",'Per Invoice'!T441)</f>
        <v/>
      </c>
      <c r="L442" s="7">
        <f>IF('Per Invoice'!$V441="","",'Per Invoice'!S441)</f>
        <v/>
      </c>
    </row>
    <row r="443">
      <c r="A443">
        <f>IF('Per Invoice'!$V442="","",ROWS($A$3:A443))</f>
        <v/>
      </c>
      <c r="B443" s="11">
        <f>IF('Per Invoice'!$V442="","",'Per Invoice'!E442)</f>
        <v/>
      </c>
      <c r="C443">
        <f>IF('Per Invoice'!$V442="","",'Per Invoice'!G442)</f>
        <v/>
      </c>
      <c r="D443">
        <f>IF('Per Invoice'!$V442="","",'Per Invoice'!H442)</f>
        <v/>
      </c>
      <c r="E443">
        <f>IF('Per Invoice'!$V442="","",'Per Invoice'!F442)</f>
        <v/>
      </c>
      <c r="F443" s="7">
        <f>IF('Per Invoice'!$V442="","",'Per Invoice'!P442)</f>
        <v/>
      </c>
      <c r="G443" s="7">
        <f>IF('Per Invoice'!$V442="","",'Per Invoice'!Q442)</f>
        <v/>
      </c>
      <c r="H443" s="7">
        <f>IF('Per Invoice'!$V442="","",'Per Invoice'!M442)</f>
        <v/>
      </c>
      <c r="I443" s="7">
        <f>IF('Per Invoice'!$V442="","",'Per Invoice'!N442)</f>
        <v/>
      </c>
      <c r="J443" s="7">
        <f>IF('Per Invoice'!$V442="","",'Per Invoice'!K442)</f>
        <v/>
      </c>
      <c r="K443" s="7">
        <f>IF('Per Invoice'!$V442="","",'Per Invoice'!T442)</f>
        <v/>
      </c>
      <c r="L443" s="7">
        <f>IF('Per Invoice'!$V442="","",'Per Invoice'!S442)</f>
        <v/>
      </c>
    </row>
    <row r="444">
      <c r="A444">
        <f>IF('Per Invoice'!$V443="","",ROWS($A$3:A444))</f>
        <v/>
      </c>
      <c r="B444" s="11">
        <f>IF('Per Invoice'!$V443="","",'Per Invoice'!E443)</f>
        <v/>
      </c>
      <c r="C444">
        <f>IF('Per Invoice'!$V443="","",'Per Invoice'!G443)</f>
        <v/>
      </c>
      <c r="D444">
        <f>IF('Per Invoice'!$V443="","",'Per Invoice'!H443)</f>
        <v/>
      </c>
      <c r="E444">
        <f>IF('Per Invoice'!$V443="","",'Per Invoice'!F443)</f>
        <v/>
      </c>
      <c r="F444" s="7">
        <f>IF('Per Invoice'!$V443="","",'Per Invoice'!P443)</f>
        <v/>
      </c>
      <c r="G444" s="7">
        <f>IF('Per Invoice'!$V443="","",'Per Invoice'!Q443)</f>
        <v/>
      </c>
      <c r="H444" s="7">
        <f>IF('Per Invoice'!$V443="","",'Per Invoice'!M443)</f>
        <v/>
      </c>
      <c r="I444" s="7">
        <f>IF('Per Invoice'!$V443="","",'Per Invoice'!N443)</f>
        <v/>
      </c>
      <c r="J444" s="7">
        <f>IF('Per Invoice'!$V443="","",'Per Invoice'!K443)</f>
        <v/>
      </c>
      <c r="K444" s="7">
        <f>IF('Per Invoice'!$V443="","",'Per Invoice'!T443)</f>
        <v/>
      </c>
      <c r="L444" s="7">
        <f>IF('Per Invoice'!$V443="","",'Per Invoice'!S443)</f>
        <v/>
      </c>
    </row>
    <row r="445">
      <c r="A445">
        <f>IF('Per Invoice'!$V444="","",ROWS($A$3:A445))</f>
        <v/>
      </c>
      <c r="B445" s="11">
        <f>IF('Per Invoice'!$V444="","",'Per Invoice'!E444)</f>
        <v/>
      </c>
      <c r="C445">
        <f>IF('Per Invoice'!$V444="","",'Per Invoice'!G444)</f>
        <v/>
      </c>
      <c r="D445">
        <f>IF('Per Invoice'!$V444="","",'Per Invoice'!H444)</f>
        <v/>
      </c>
      <c r="E445">
        <f>IF('Per Invoice'!$V444="","",'Per Invoice'!F444)</f>
        <v/>
      </c>
      <c r="F445" s="7">
        <f>IF('Per Invoice'!$V444="","",'Per Invoice'!P444)</f>
        <v/>
      </c>
      <c r="G445" s="7">
        <f>IF('Per Invoice'!$V444="","",'Per Invoice'!Q444)</f>
        <v/>
      </c>
      <c r="H445" s="7">
        <f>IF('Per Invoice'!$V444="","",'Per Invoice'!M444)</f>
        <v/>
      </c>
      <c r="I445" s="7">
        <f>IF('Per Invoice'!$V444="","",'Per Invoice'!N444)</f>
        <v/>
      </c>
      <c r="J445" s="7">
        <f>IF('Per Invoice'!$V444="","",'Per Invoice'!K444)</f>
        <v/>
      </c>
      <c r="K445" s="7">
        <f>IF('Per Invoice'!$V444="","",'Per Invoice'!T444)</f>
        <v/>
      </c>
      <c r="L445" s="7">
        <f>IF('Per Invoice'!$V444="","",'Per Invoice'!S444)</f>
        <v/>
      </c>
    </row>
    <row r="446">
      <c r="A446">
        <f>IF('Per Invoice'!$V445="","",ROWS($A$3:A446))</f>
        <v/>
      </c>
      <c r="B446" s="11">
        <f>IF('Per Invoice'!$V445="","",'Per Invoice'!E445)</f>
        <v/>
      </c>
      <c r="C446">
        <f>IF('Per Invoice'!$V445="","",'Per Invoice'!G445)</f>
        <v/>
      </c>
      <c r="D446">
        <f>IF('Per Invoice'!$V445="","",'Per Invoice'!H445)</f>
        <v/>
      </c>
      <c r="E446">
        <f>IF('Per Invoice'!$V445="","",'Per Invoice'!F445)</f>
        <v/>
      </c>
      <c r="F446" s="7">
        <f>IF('Per Invoice'!$V445="","",'Per Invoice'!P445)</f>
        <v/>
      </c>
      <c r="G446" s="7">
        <f>IF('Per Invoice'!$V445="","",'Per Invoice'!Q445)</f>
        <v/>
      </c>
      <c r="H446" s="7">
        <f>IF('Per Invoice'!$V445="","",'Per Invoice'!M445)</f>
        <v/>
      </c>
      <c r="I446" s="7">
        <f>IF('Per Invoice'!$V445="","",'Per Invoice'!N445)</f>
        <v/>
      </c>
      <c r="J446" s="7">
        <f>IF('Per Invoice'!$V445="","",'Per Invoice'!K445)</f>
        <v/>
      </c>
      <c r="K446" s="7">
        <f>IF('Per Invoice'!$V445="","",'Per Invoice'!T445)</f>
        <v/>
      </c>
      <c r="L446" s="7">
        <f>IF('Per Invoice'!$V445="","",'Per Invoice'!S445)</f>
        <v/>
      </c>
    </row>
    <row r="447">
      <c r="A447">
        <f>IF('Per Invoice'!$V446="","",ROWS($A$3:A447))</f>
        <v/>
      </c>
      <c r="B447" s="11">
        <f>IF('Per Invoice'!$V446="","",'Per Invoice'!E446)</f>
        <v/>
      </c>
      <c r="C447">
        <f>IF('Per Invoice'!$V446="","",'Per Invoice'!G446)</f>
        <v/>
      </c>
      <c r="D447">
        <f>IF('Per Invoice'!$V446="","",'Per Invoice'!H446)</f>
        <v/>
      </c>
      <c r="E447">
        <f>IF('Per Invoice'!$V446="","",'Per Invoice'!F446)</f>
        <v/>
      </c>
      <c r="F447" s="7">
        <f>IF('Per Invoice'!$V446="","",'Per Invoice'!P446)</f>
        <v/>
      </c>
      <c r="G447" s="7">
        <f>IF('Per Invoice'!$V446="","",'Per Invoice'!Q446)</f>
        <v/>
      </c>
      <c r="H447" s="7">
        <f>IF('Per Invoice'!$V446="","",'Per Invoice'!M446)</f>
        <v/>
      </c>
      <c r="I447" s="7">
        <f>IF('Per Invoice'!$V446="","",'Per Invoice'!N446)</f>
        <v/>
      </c>
      <c r="J447" s="7">
        <f>IF('Per Invoice'!$V446="","",'Per Invoice'!K446)</f>
        <v/>
      </c>
      <c r="K447" s="7">
        <f>IF('Per Invoice'!$V446="","",'Per Invoice'!T446)</f>
        <v/>
      </c>
      <c r="L447" s="7">
        <f>IF('Per Invoice'!$V446="","",'Per Invoice'!S446)</f>
        <v/>
      </c>
    </row>
    <row r="448">
      <c r="A448">
        <f>IF('Per Invoice'!$V447="","",ROWS($A$3:A448))</f>
        <v/>
      </c>
      <c r="B448" s="11">
        <f>IF('Per Invoice'!$V447="","",'Per Invoice'!E447)</f>
        <v/>
      </c>
      <c r="C448">
        <f>IF('Per Invoice'!$V447="","",'Per Invoice'!G447)</f>
        <v/>
      </c>
      <c r="D448">
        <f>IF('Per Invoice'!$V447="","",'Per Invoice'!H447)</f>
        <v/>
      </c>
      <c r="E448">
        <f>IF('Per Invoice'!$V447="","",'Per Invoice'!F447)</f>
        <v/>
      </c>
      <c r="F448" s="7">
        <f>IF('Per Invoice'!$V447="","",'Per Invoice'!P447)</f>
        <v/>
      </c>
      <c r="G448" s="7">
        <f>IF('Per Invoice'!$V447="","",'Per Invoice'!Q447)</f>
        <v/>
      </c>
      <c r="H448" s="7">
        <f>IF('Per Invoice'!$V447="","",'Per Invoice'!M447)</f>
        <v/>
      </c>
      <c r="I448" s="7">
        <f>IF('Per Invoice'!$V447="","",'Per Invoice'!N447)</f>
        <v/>
      </c>
      <c r="J448" s="7">
        <f>IF('Per Invoice'!$V447="","",'Per Invoice'!K447)</f>
        <v/>
      </c>
      <c r="K448" s="7">
        <f>IF('Per Invoice'!$V447="","",'Per Invoice'!T447)</f>
        <v/>
      </c>
      <c r="L448" s="7">
        <f>IF('Per Invoice'!$V447="","",'Per Invoice'!S447)</f>
        <v/>
      </c>
    </row>
    <row r="449">
      <c r="A449">
        <f>IF('Per Invoice'!$V448="","",ROWS($A$3:A449))</f>
        <v/>
      </c>
      <c r="B449" s="11">
        <f>IF('Per Invoice'!$V448="","",'Per Invoice'!E448)</f>
        <v/>
      </c>
      <c r="C449">
        <f>IF('Per Invoice'!$V448="","",'Per Invoice'!G448)</f>
        <v/>
      </c>
      <c r="D449">
        <f>IF('Per Invoice'!$V448="","",'Per Invoice'!H448)</f>
        <v/>
      </c>
      <c r="E449">
        <f>IF('Per Invoice'!$V448="","",'Per Invoice'!F448)</f>
        <v/>
      </c>
      <c r="F449" s="7">
        <f>IF('Per Invoice'!$V448="","",'Per Invoice'!P448)</f>
        <v/>
      </c>
      <c r="G449" s="7">
        <f>IF('Per Invoice'!$V448="","",'Per Invoice'!Q448)</f>
        <v/>
      </c>
      <c r="H449" s="7">
        <f>IF('Per Invoice'!$V448="","",'Per Invoice'!M448)</f>
        <v/>
      </c>
      <c r="I449" s="7">
        <f>IF('Per Invoice'!$V448="","",'Per Invoice'!N448)</f>
        <v/>
      </c>
      <c r="J449" s="7">
        <f>IF('Per Invoice'!$V448="","",'Per Invoice'!K448)</f>
        <v/>
      </c>
      <c r="K449" s="7">
        <f>IF('Per Invoice'!$V448="","",'Per Invoice'!T448)</f>
        <v/>
      </c>
      <c r="L449" s="7">
        <f>IF('Per Invoice'!$V448="","",'Per Invoice'!S448)</f>
        <v/>
      </c>
    </row>
    <row r="450">
      <c r="A450">
        <f>IF('Per Invoice'!$V449="","",ROWS($A$3:A450))</f>
        <v/>
      </c>
      <c r="B450" s="11">
        <f>IF('Per Invoice'!$V449="","",'Per Invoice'!E449)</f>
        <v/>
      </c>
      <c r="C450">
        <f>IF('Per Invoice'!$V449="","",'Per Invoice'!G449)</f>
        <v/>
      </c>
      <c r="D450">
        <f>IF('Per Invoice'!$V449="","",'Per Invoice'!H449)</f>
        <v/>
      </c>
      <c r="E450">
        <f>IF('Per Invoice'!$V449="","",'Per Invoice'!F449)</f>
        <v/>
      </c>
      <c r="F450" s="7">
        <f>IF('Per Invoice'!$V449="","",'Per Invoice'!P449)</f>
        <v/>
      </c>
      <c r="G450" s="7">
        <f>IF('Per Invoice'!$V449="","",'Per Invoice'!Q449)</f>
        <v/>
      </c>
      <c r="H450" s="7">
        <f>IF('Per Invoice'!$V449="","",'Per Invoice'!M449)</f>
        <v/>
      </c>
      <c r="I450" s="7">
        <f>IF('Per Invoice'!$V449="","",'Per Invoice'!N449)</f>
        <v/>
      </c>
      <c r="J450" s="7">
        <f>IF('Per Invoice'!$V449="","",'Per Invoice'!K449)</f>
        <v/>
      </c>
      <c r="K450" s="7">
        <f>IF('Per Invoice'!$V449="","",'Per Invoice'!T449)</f>
        <v/>
      </c>
      <c r="L450" s="7">
        <f>IF('Per Invoice'!$V449="","",'Per Invoice'!S449)</f>
        <v/>
      </c>
    </row>
    <row r="451">
      <c r="A451">
        <f>IF('Per Invoice'!$V450="","",ROWS($A$3:A451))</f>
        <v/>
      </c>
      <c r="B451" s="11">
        <f>IF('Per Invoice'!$V450="","",'Per Invoice'!E450)</f>
        <v/>
      </c>
      <c r="C451">
        <f>IF('Per Invoice'!$V450="","",'Per Invoice'!G450)</f>
        <v/>
      </c>
      <c r="D451">
        <f>IF('Per Invoice'!$V450="","",'Per Invoice'!H450)</f>
        <v/>
      </c>
      <c r="E451">
        <f>IF('Per Invoice'!$V450="","",'Per Invoice'!F450)</f>
        <v/>
      </c>
      <c r="F451" s="7">
        <f>IF('Per Invoice'!$V450="","",'Per Invoice'!P450)</f>
        <v/>
      </c>
      <c r="G451" s="7">
        <f>IF('Per Invoice'!$V450="","",'Per Invoice'!Q450)</f>
        <v/>
      </c>
      <c r="H451" s="7">
        <f>IF('Per Invoice'!$V450="","",'Per Invoice'!M450)</f>
        <v/>
      </c>
      <c r="I451" s="7">
        <f>IF('Per Invoice'!$V450="","",'Per Invoice'!N450)</f>
        <v/>
      </c>
      <c r="J451" s="7">
        <f>IF('Per Invoice'!$V450="","",'Per Invoice'!K450)</f>
        <v/>
      </c>
      <c r="K451" s="7">
        <f>IF('Per Invoice'!$V450="","",'Per Invoice'!T450)</f>
        <v/>
      </c>
      <c r="L451" s="7">
        <f>IF('Per Invoice'!$V450="","",'Per Invoice'!S450)</f>
        <v/>
      </c>
    </row>
    <row r="452">
      <c r="A452">
        <f>IF('Per Invoice'!$V451="","",ROWS($A$3:A452))</f>
        <v/>
      </c>
      <c r="B452" s="11">
        <f>IF('Per Invoice'!$V451="","",'Per Invoice'!E451)</f>
        <v/>
      </c>
      <c r="C452">
        <f>IF('Per Invoice'!$V451="","",'Per Invoice'!G451)</f>
        <v/>
      </c>
      <c r="D452">
        <f>IF('Per Invoice'!$V451="","",'Per Invoice'!H451)</f>
        <v/>
      </c>
      <c r="E452">
        <f>IF('Per Invoice'!$V451="","",'Per Invoice'!F451)</f>
        <v/>
      </c>
      <c r="F452" s="7">
        <f>IF('Per Invoice'!$V451="","",'Per Invoice'!P451)</f>
        <v/>
      </c>
      <c r="G452" s="7">
        <f>IF('Per Invoice'!$V451="","",'Per Invoice'!Q451)</f>
        <v/>
      </c>
      <c r="H452" s="7">
        <f>IF('Per Invoice'!$V451="","",'Per Invoice'!M451)</f>
        <v/>
      </c>
      <c r="I452" s="7">
        <f>IF('Per Invoice'!$V451="","",'Per Invoice'!N451)</f>
        <v/>
      </c>
      <c r="J452" s="7">
        <f>IF('Per Invoice'!$V451="","",'Per Invoice'!K451)</f>
        <v/>
      </c>
      <c r="K452" s="7">
        <f>IF('Per Invoice'!$V451="","",'Per Invoice'!T451)</f>
        <v/>
      </c>
      <c r="L452" s="7">
        <f>IF('Per Invoice'!$V451="","",'Per Invoice'!S451)</f>
        <v/>
      </c>
    </row>
    <row r="453">
      <c r="A453">
        <f>IF('Per Invoice'!$V452="","",ROWS($A$3:A453))</f>
        <v/>
      </c>
      <c r="B453" s="11">
        <f>IF('Per Invoice'!$V452="","",'Per Invoice'!E452)</f>
        <v/>
      </c>
      <c r="C453">
        <f>IF('Per Invoice'!$V452="","",'Per Invoice'!G452)</f>
        <v/>
      </c>
      <c r="D453">
        <f>IF('Per Invoice'!$V452="","",'Per Invoice'!H452)</f>
        <v/>
      </c>
      <c r="E453">
        <f>IF('Per Invoice'!$V452="","",'Per Invoice'!F452)</f>
        <v/>
      </c>
      <c r="F453" s="7">
        <f>IF('Per Invoice'!$V452="","",'Per Invoice'!P452)</f>
        <v/>
      </c>
      <c r="G453" s="7">
        <f>IF('Per Invoice'!$V452="","",'Per Invoice'!Q452)</f>
        <v/>
      </c>
      <c r="H453" s="7">
        <f>IF('Per Invoice'!$V452="","",'Per Invoice'!M452)</f>
        <v/>
      </c>
      <c r="I453" s="7">
        <f>IF('Per Invoice'!$V452="","",'Per Invoice'!N452)</f>
        <v/>
      </c>
      <c r="J453" s="7">
        <f>IF('Per Invoice'!$V452="","",'Per Invoice'!K452)</f>
        <v/>
      </c>
      <c r="K453" s="7">
        <f>IF('Per Invoice'!$V452="","",'Per Invoice'!T452)</f>
        <v/>
      </c>
      <c r="L453" s="7">
        <f>IF('Per Invoice'!$V452="","",'Per Invoice'!S452)</f>
        <v/>
      </c>
    </row>
    <row r="454">
      <c r="A454">
        <f>IF('Per Invoice'!$V453="","",ROWS($A$3:A454))</f>
        <v/>
      </c>
      <c r="B454" s="11">
        <f>IF('Per Invoice'!$V453="","",'Per Invoice'!E453)</f>
        <v/>
      </c>
      <c r="C454">
        <f>IF('Per Invoice'!$V453="","",'Per Invoice'!G453)</f>
        <v/>
      </c>
      <c r="D454">
        <f>IF('Per Invoice'!$V453="","",'Per Invoice'!H453)</f>
        <v/>
      </c>
      <c r="E454">
        <f>IF('Per Invoice'!$V453="","",'Per Invoice'!F453)</f>
        <v/>
      </c>
      <c r="F454" s="7">
        <f>IF('Per Invoice'!$V453="","",'Per Invoice'!P453)</f>
        <v/>
      </c>
      <c r="G454" s="7">
        <f>IF('Per Invoice'!$V453="","",'Per Invoice'!Q453)</f>
        <v/>
      </c>
      <c r="H454" s="7">
        <f>IF('Per Invoice'!$V453="","",'Per Invoice'!M453)</f>
        <v/>
      </c>
      <c r="I454" s="7">
        <f>IF('Per Invoice'!$V453="","",'Per Invoice'!N453)</f>
        <v/>
      </c>
      <c r="J454" s="7">
        <f>IF('Per Invoice'!$V453="","",'Per Invoice'!K453)</f>
        <v/>
      </c>
      <c r="K454" s="7">
        <f>IF('Per Invoice'!$V453="","",'Per Invoice'!T453)</f>
        <v/>
      </c>
      <c r="L454" s="7">
        <f>IF('Per Invoice'!$V453="","",'Per Invoice'!S453)</f>
        <v/>
      </c>
    </row>
    <row r="455">
      <c r="A455">
        <f>IF('Per Invoice'!$V454="","",ROWS($A$3:A455))</f>
        <v/>
      </c>
      <c r="B455" s="11">
        <f>IF('Per Invoice'!$V454="","",'Per Invoice'!E454)</f>
        <v/>
      </c>
      <c r="C455">
        <f>IF('Per Invoice'!$V454="","",'Per Invoice'!G454)</f>
        <v/>
      </c>
      <c r="D455">
        <f>IF('Per Invoice'!$V454="","",'Per Invoice'!H454)</f>
        <v/>
      </c>
      <c r="E455">
        <f>IF('Per Invoice'!$V454="","",'Per Invoice'!F454)</f>
        <v/>
      </c>
      <c r="F455" s="7">
        <f>IF('Per Invoice'!$V454="","",'Per Invoice'!P454)</f>
        <v/>
      </c>
      <c r="G455" s="7">
        <f>IF('Per Invoice'!$V454="","",'Per Invoice'!Q454)</f>
        <v/>
      </c>
      <c r="H455" s="7">
        <f>IF('Per Invoice'!$V454="","",'Per Invoice'!M454)</f>
        <v/>
      </c>
      <c r="I455" s="7">
        <f>IF('Per Invoice'!$V454="","",'Per Invoice'!N454)</f>
        <v/>
      </c>
      <c r="J455" s="7">
        <f>IF('Per Invoice'!$V454="","",'Per Invoice'!K454)</f>
        <v/>
      </c>
      <c r="K455" s="7">
        <f>IF('Per Invoice'!$V454="","",'Per Invoice'!T454)</f>
        <v/>
      </c>
      <c r="L455" s="7">
        <f>IF('Per Invoice'!$V454="","",'Per Invoice'!S454)</f>
        <v/>
      </c>
    </row>
    <row r="456">
      <c r="A456">
        <f>IF('Per Invoice'!$V455="","",ROWS($A$3:A456))</f>
        <v/>
      </c>
      <c r="B456" s="11">
        <f>IF('Per Invoice'!$V455="","",'Per Invoice'!E455)</f>
        <v/>
      </c>
      <c r="C456">
        <f>IF('Per Invoice'!$V455="","",'Per Invoice'!G455)</f>
        <v/>
      </c>
      <c r="D456">
        <f>IF('Per Invoice'!$V455="","",'Per Invoice'!H455)</f>
        <v/>
      </c>
      <c r="E456">
        <f>IF('Per Invoice'!$V455="","",'Per Invoice'!F455)</f>
        <v/>
      </c>
      <c r="F456" s="7">
        <f>IF('Per Invoice'!$V455="","",'Per Invoice'!P455)</f>
        <v/>
      </c>
      <c r="G456" s="7">
        <f>IF('Per Invoice'!$V455="","",'Per Invoice'!Q455)</f>
        <v/>
      </c>
      <c r="H456" s="7">
        <f>IF('Per Invoice'!$V455="","",'Per Invoice'!M455)</f>
        <v/>
      </c>
      <c r="I456" s="7">
        <f>IF('Per Invoice'!$V455="","",'Per Invoice'!N455)</f>
        <v/>
      </c>
      <c r="J456" s="7">
        <f>IF('Per Invoice'!$V455="","",'Per Invoice'!K455)</f>
        <v/>
      </c>
      <c r="K456" s="7">
        <f>IF('Per Invoice'!$V455="","",'Per Invoice'!T455)</f>
        <v/>
      </c>
      <c r="L456" s="7">
        <f>IF('Per Invoice'!$V455="","",'Per Invoice'!S455)</f>
        <v/>
      </c>
    </row>
    <row r="457">
      <c r="A457">
        <f>IF('Per Invoice'!$V456="","",ROWS($A$3:A457))</f>
        <v/>
      </c>
      <c r="B457" s="11">
        <f>IF('Per Invoice'!$V456="","",'Per Invoice'!E456)</f>
        <v/>
      </c>
      <c r="C457">
        <f>IF('Per Invoice'!$V456="","",'Per Invoice'!G456)</f>
        <v/>
      </c>
      <c r="D457">
        <f>IF('Per Invoice'!$V456="","",'Per Invoice'!H456)</f>
        <v/>
      </c>
      <c r="E457">
        <f>IF('Per Invoice'!$V456="","",'Per Invoice'!F456)</f>
        <v/>
      </c>
      <c r="F457" s="7">
        <f>IF('Per Invoice'!$V456="","",'Per Invoice'!P456)</f>
        <v/>
      </c>
      <c r="G457" s="7">
        <f>IF('Per Invoice'!$V456="","",'Per Invoice'!Q456)</f>
        <v/>
      </c>
      <c r="H457" s="7">
        <f>IF('Per Invoice'!$V456="","",'Per Invoice'!M456)</f>
        <v/>
      </c>
      <c r="I457" s="7">
        <f>IF('Per Invoice'!$V456="","",'Per Invoice'!N456)</f>
        <v/>
      </c>
      <c r="J457" s="7">
        <f>IF('Per Invoice'!$V456="","",'Per Invoice'!K456)</f>
        <v/>
      </c>
      <c r="K457" s="7">
        <f>IF('Per Invoice'!$V456="","",'Per Invoice'!T456)</f>
        <v/>
      </c>
      <c r="L457" s="7">
        <f>IF('Per Invoice'!$V456="","",'Per Invoice'!S456)</f>
        <v/>
      </c>
    </row>
    <row r="458">
      <c r="A458">
        <f>IF('Per Invoice'!$V457="","",ROWS($A$3:A458))</f>
        <v/>
      </c>
      <c r="B458" s="11">
        <f>IF('Per Invoice'!$V457="","",'Per Invoice'!E457)</f>
        <v/>
      </c>
      <c r="C458">
        <f>IF('Per Invoice'!$V457="","",'Per Invoice'!G457)</f>
        <v/>
      </c>
      <c r="D458">
        <f>IF('Per Invoice'!$V457="","",'Per Invoice'!H457)</f>
        <v/>
      </c>
      <c r="E458">
        <f>IF('Per Invoice'!$V457="","",'Per Invoice'!F457)</f>
        <v/>
      </c>
      <c r="F458" s="7">
        <f>IF('Per Invoice'!$V457="","",'Per Invoice'!P457)</f>
        <v/>
      </c>
      <c r="G458" s="7">
        <f>IF('Per Invoice'!$V457="","",'Per Invoice'!Q457)</f>
        <v/>
      </c>
      <c r="H458" s="7">
        <f>IF('Per Invoice'!$V457="","",'Per Invoice'!M457)</f>
        <v/>
      </c>
      <c r="I458" s="7">
        <f>IF('Per Invoice'!$V457="","",'Per Invoice'!N457)</f>
        <v/>
      </c>
      <c r="J458" s="7">
        <f>IF('Per Invoice'!$V457="","",'Per Invoice'!K457)</f>
        <v/>
      </c>
      <c r="K458" s="7">
        <f>IF('Per Invoice'!$V457="","",'Per Invoice'!T457)</f>
        <v/>
      </c>
      <c r="L458" s="7">
        <f>IF('Per Invoice'!$V457="","",'Per Invoice'!S457)</f>
        <v/>
      </c>
    </row>
    <row r="459">
      <c r="A459">
        <f>IF('Per Invoice'!$V458="","",ROWS($A$3:A459))</f>
        <v/>
      </c>
      <c r="B459" s="11">
        <f>IF('Per Invoice'!$V458="","",'Per Invoice'!E458)</f>
        <v/>
      </c>
      <c r="C459">
        <f>IF('Per Invoice'!$V458="","",'Per Invoice'!G458)</f>
        <v/>
      </c>
      <c r="D459">
        <f>IF('Per Invoice'!$V458="","",'Per Invoice'!H458)</f>
        <v/>
      </c>
      <c r="E459">
        <f>IF('Per Invoice'!$V458="","",'Per Invoice'!F458)</f>
        <v/>
      </c>
      <c r="F459" s="7">
        <f>IF('Per Invoice'!$V458="","",'Per Invoice'!P458)</f>
        <v/>
      </c>
      <c r="G459" s="7">
        <f>IF('Per Invoice'!$V458="","",'Per Invoice'!Q458)</f>
        <v/>
      </c>
      <c r="H459" s="7">
        <f>IF('Per Invoice'!$V458="","",'Per Invoice'!M458)</f>
        <v/>
      </c>
      <c r="I459" s="7">
        <f>IF('Per Invoice'!$V458="","",'Per Invoice'!N458)</f>
        <v/>
      </c>
      <c r="J459" s="7">
        <f>IF('Per Invoice'!$V458="","",'Per Invoice'!K458)</f>
        <v/>
      </c>
      <c r="K459" s="7">
        <f>IF('Per Invoice'!$V458="","",'Per Invoice'!T458)</f>
        <v/>
      </c>
      <c r="L459" s="7">
        <f>IF('Per Invoice'!$V458="","",'Per Invoice'!S458)</f>
        <v/>
      </c>
    </row>
    <row r="460">
      <c r="A460">
        <f>IF('Per Invoice'!$V459="","",ROWS($A$3:A460))</f>
        <v/>
      </c>
      <c r="B460" s="11">
        <f>IF('Per Invoice'!$V459="","",'Per Invoice'!E459)</f>
        <v/>
      </c>
      <c r="C460">
        <f>IF('Per Invoice'!$V459="","",'Per Invoice'!G459)</f>
        <v/>
      </c>
      <c r="D460">
        <f>IF('Per Invoice'!$V459="","",'Per Invoice'!H459)</f>
        <v/>
      </c>
      <c r="E460">
        <f>IF('Per Invoice'!$V459="","",'Per Invoice'!F459)</f>
        <v/>
      </c>
      <c r="F460" s="7">
        <f>IF('Per Invoice'!$V459="","",'Per Invoice'!P459)</f>
        <v/>
      </c>
      <c r="G460" s="7">
        <f>IF('Per Invoice'!$V459="","",'Per Invoice'!Q459)</f>
        <v/>
      </c>
      <c r="H460" s="7">
        <f>IF('Per Invoice'!$V459="","",'Per Invoice'!M459)</f>
        <v/>
      </c>
      <c r="I460" s="7">
        <f>IF('Per Invoice'!$V459="","",'Per Invoice'!N459)</f>
        <v/>
      </c>
      <c r="J460" s="7">
        <f>IF('Per Invoice'!$V459="","",'Per Invoice'!K459)</f>
        <v/>
      </c>
      <c r="K460" s="7">
        <f>IF('Per Invoice'!$V459="","",'Per Invoice'!T459)</f>
        <v/>
      </c>
      <c r="L460" s="7">
        <f>IF('Per Invoice'!$V459="","",'Per Invoice'!S459)</f>
        <v/>
      </c>
    </row>
    <row r="461">
      <c r="A461">
        <f>IF('Per Invoice'!$V460="","",ROWS($A$3:A461))</f>
        <v/>
      </c>
      <c r="B461" s="11">
        <f>IF('Per Invoice'!$V460="","",'Per Invoice'!E460)</f>
        <v/>
      </c>
      <c r="C461">
        <f>IF('Per Invoice'!$V460="","",'Per Invoice'!G460)</f>
        <v/>
      </c>
      <c r="D461">
        <f>IF('Per Invoice'!$V460="","",'Per Invoice'!H460)</f>
        <v/>
      </c>
      <c r="E461">
        <f>IF('Per Invoice'!$V460="","",'Per Invoice'!F460)</f>
        <v/>
      </c>
      <c r="F461" s="7">
        <f>IF('Per Invoice'!$V460="","",'Per Invoice'!P460)</f>
        <v/>
      </c>
      <c r="G461" s="7">
        <f>IF('Per Invoice'!$V460="","",'Per Invoice'!Q460)</f>
        <v/>
      </c>
      <c r="H461" s="7">
        <f>IF('Per Invoice'!$V460="","",'Per Invoice'!M460)</f>
        <v/>
      </c>
      <c r="I461" s="7">
        <f>IF('Per Invoice'!$V460="","",'Per Invoice'!N460)</f>
        <v/>
      </c>
      <c r="J461" s="7">
        <f>IF('Per Invoice'!$V460="","",'Per Invoice'!K460)</f>
        <v/>
      </c>
      <c r="K461" s="7">
        <f>IF('Per Invoice'!$V460="","",'Per Invoice'!T460)</f>
        <v/>
      </c>
      <c r="L461" s="7">
        <f>IF('Per Invoice'!$V460="","",'Per Invoice'!S460)</f>
        <v/>
      </c>
    </row>
    <row r="462">
      <c r="A462">
        <f>IF('Per Invoice'!$V461="","",ROWS($A$3:A462))</f>
        <v/>
      </c>
      <c r="B462" s="11">
        <f>IF('Per Invoice'!$V461="","",'Per Invoice'!E461)</f>
        <v/>
      </c>
      <c r="C462">
        <f>IF('Per Invoice'!$V461="","",'Per Invoice'!G461)</f>
        <v/>
      </c>
      <c r="D462">
        <f>IF('Per Invoice'!$V461="","",'Per Invoice'!H461)</f>
        <v/>
      </c>
      <c r="E462">
        <f>IF('Per Invoice'!$V461="","",'Per Invoice'!F461)</f>
        <v/>
      </c>
      <c r="F462" s="7">
        <f>IF('Per Invoice'!$V461="","",'Per Invoice'!P461)</f>
        <v/>
      </c>
      <c r="G462" s="7">
        <f>IF('Per Invoice'!$V461="","",'Per Invoice'!Q461)</f>
        <v/>
      </c>
      <c r="H462" s="7">
        <f>IF('Per Invoice'!$V461="","",'Per Invoice'!M461)</f>
        <v/>
      </c>
      <c r="I462" s="7">
        <f>IF('Per Invoice'!$V461="","",'Per Invoice'!N461)</f>
        <v/>
      </c>
      <c r="J462" s="7">
        <f>IF('Per Invoice'!$V461="","",'Per Invoice'!K461)</f>
        <v/>
      </c>
      <c r="K462" s="7">
        <f>IF('Per Invoice'!$V461="","",'Per Invoice'!T461)</f>
        <v/>
      </c>
      <c r="L462" s="7">
        <f>IF('Per Invoice'!$V461="","",'Per Invoice'!S461)</f>
        <v/>
      </c>
    </row>
    <row r="463">
      <c r="A463">
        <f>IF('Per Invoice'!$V462="","",ROWS($A$3:A463))</f>
        <v/>
      </c>
      <c r="B463" s="11">
        <f>IF('Per Invoice'!$V462="","",'Per Invoice'!E462)</f>
        <v/>
      </c>
      <c r="C463">
        <f>IF('Per Invoice'!$V462="","",'Per Invoice'!G462)</f>
        <v/>
      </c>
      <c r="D463">
        <f>IF('Per Invoice'!$V462="","",'Per Invoice'!H462)</f>
        <v/>
      </c>
      <c r="E463">
        <f>IF('Per Invoice'!$V462="","",'Per Invoice'!F462)</f>
        <v/>
      </c>
      <c r="F463" s="7">
        <f>IF('Per Invoice'!$V462="","",'Per Invoice'!P462)</f>
        <v/>
      </c>
      <c r="G463" s="7">
        <f>IF('Per Invoice'!$V462="","",'Per Invoice'!Q462)</f>
        <v/>
      </c>
      <c r="H463" s="7">
        <f>IF('Per Invoice'!$V462="","",'Per Invoice'!M462)</f>
        <v/>
      </c>
      <c r="I463" s="7">
        <f>IF('Per Invoice'!$V462="","",'Per Invoice'!N462)</f>
        <v/>
      </c>
      <c r="J463" s="7">
        <f>IF('Per Invoice'!$V462="","",'Per Invoice'!K462)</f>
        <v/>
      </c>
      <c r="K463" s="7">
        <f>IF('Per Invoice'!$V462="","",'Per Invoice'!T462)</f>
        <v/>
      </c>
      <c r="L463" s="7">
        <f>IF('Per Invoice'!$V462="","",'Per Invoice'!S462)</f>
        <v/>
      </c>
    </row>
    <row r="464">
      <c r="A464">
        <f>IF('Per Invoice'!$V463="","",ROWS($A$3:A464))</f>
        <v/>
      </c>
      <c r="B464" s="11">
        <f>IF('Per Invoice'!$V463="","",'Per Invoice'!E463)</f>
        <v/>
      </c>
      <c r="C464">
        <f>IF('Per Invoice'!$V463="","",'Per Invoice'!G463)</f>
        <v/>
      </c>
      <c r="D464">
        <f>IF('Per Invoice'!$V463="","",'Per Invoice'!H463)</f>
        <v/>
      </c>
      <c r="E464">
        <f>IF('Per Invoice'!$V463="","",'Per Invoice'!F463)</f>
        <v/>
      </c>
      <c r="F464" s="7">
        <f>IF('Per Invoice'!$V463="","",'Per Invoice'!P463)</f>
        <v/>
      </c>
      <c r="G464" s="7">
        <f>IF('Per Invoice'!$V463="","",'Per Invoice'!Q463)</f>
        <v/>
      </c>
      <c r="H464" s="7">
        <f>IF('Per Invoice'!$V463="","",'Per Invoice'!M463)</f>
        <v/>
      </c>
      <c r="I464" s="7">
        <f>IF('Per Invoice'!$V463="","",'Per Invoice'!N463)</f>
        <v/>
      </c>
      <c r="J464" s="7">
        <f>IF('Per Invoice'!$V463="","",'Per Invoice'!K463)</f>
        <v/>
      </c>
      <c r="K464" s="7">
        <f>IF('Per Invoice'!$V463="","",'Per Invoice'!T463)</f>
        <v/>
      </c>
      <c r="L464" s="7">
        <f>IF('Per Invoice'!$V463="","",'Per Invoice'!S463)</f>
        <v/>
      </c>
    </row>
    <row r="465">
      <c r="A465">
        <f>IF('Per Invoice'!$V464="","",ROWS($A$3:A465))</f>
        <v/>
      </c>
      <c r="B465" s="11">
        <f>IF('Per Invoice'!$V464="","",'Per Invoice'!E464)</f>
        <v/>
      </c>
      <c r="C465">
        <f>IF('Per Invoice'!$V464="","",'Per Invoice'!G464)</f>
        <v/>
      </c>
      <c r="D465">
        <f>IF('Per Invoice'!$V464="","",'Per Invoice'!H464)</f>
        <v/>
      </c>
      <c r="E465">
        <f>IF('Per Invoice'!$V464="","",'Per Invoice'!F464)</f>
        <v/>
      </c>
      <c r="F465" s="7">
        <f>IF('Per Invoice'!$V464="","",'Per Invoice'!P464)</f>
        <v/>
      </c>
      <c r="G465" s="7">
        <f>IF('Per Invoice'!$V464="","",'Per Invoice'!Q464)</f>
        <v/>
      </c>
      <c r="H465" s="7">
        <f>IF('Per Invoice'!$V464="","",'Per Invoice'!M464)</f>
        <v/>
      </c>
      <c r="I465" s="7">
        <f>IF('Per Invoice'!$V464="","",'Per Invoice'!N464)</f>
        <v/>
      </c>
      <c r="J465" s="7">
        <f>IF('Per Invoice'!$V464="","",'Per Invoice'!K464)</f>
        <v/>
      </c>
      <c r="K465" s="7">
        <f>IF('Per Invoice'!$V464="","",'Per Invoice'!T464)</f>
        <v/>
      </c>
      <c r="L465" s="7">
        <f>IF('Per Invoice'!$V464="","",'Per Invoice'!S464)</f>
        <v/>
      </c>
    </row>
    <row r="466">
      <c r="A466">
        <f>IF('Per Invoice'!$V465="","",ROWS($A$3:A466))</f>
        <v/>
      </c>
      <c r="B466" s="11">
        <f>IF('Per Invoice'!$V465="","",'Per Invoice'!E465)</f>
        <v/>
      </c>
      <c r="C466">
        <f>IF('Per Invoice'!$V465="","",'Per Invoice'!G465)</f>
        <v/>
      </c>
      <c r="D466">
        <f>IF('Per Invoice'!$V465="","",'Per Invoice'!H465)</f>
        <v/>
      </c>
      <c r="E466">
        <f>IF('Per Invoice'!$V465="","",'Per Invoice'!F465)</f>
        <v/>
      </c>
      <c r="F466" s="7">
        <f>IF('Per Invoice'!$V465="","",'Per Invoice'!P465)</f>
        <v/>
      </c>
      <c r="G466" s="7">
        <f>IF('Per Invoice'!$V465="","",'Per Invoice'!Q465)</f>
        <v/>
      </c>
      <c r="H466" s="7">
        <f>IF('Per Invoice'!$V465="","",'Per Invoice'!M465)</f>
        <v/>
      </c>
      <c r="I466" s="7">
        <f>IF('Per Invoice'!$V465="","",'Per Invoice'!N465)</f>
        <v/>
      </c>
      <c r="J466" s="7">
        <f>IF('Per Invoice'!$V465="","",'Per Invoice'!K465)</f>
        <v/>
      </c>
      <c r="K466" s="7">
        <f>IF('Per Invoice'!$V465="","",'Per Invoice'!T465)</f>
        <v/>
      </c>
      <c r="L466" s="7">
        <f>IF('Per Invoice'!$V465="","",'Per Invoice'!S465)</f>
        <v/>
      </c>
    </row>
    <row r="467">
      <c r="A467">
        <f>IF('Per Invoice'!$V466="","",ROWS($A$3:A467))</f>
        <v/>
      </c>
      <c r="B467" s="11">
        <f>IF('Per Invoice'!$V466="","",'Per Invoice'!E466)</f>
        <v/>
      </c>
      <c r="C467">
        <f>IF('Per Invoice'!$V466="","",'Per Invoice'!G466)</f>
        <v/>
      </c>
      <c r="D467">
        <f>IF('Per Invoice'!$V466="","",'Per Invoice'!H466)</f>
        <v/>
      </c>
      <c r="E467">
        <f>IF('Per Invoice'!$V466="","",'Per Invoice'!F466)</f>
        <v/>
      </c>
      <c r="F467" s="7">
        <f>IF('Per Invoice'!$V466="","",'Per Invoice'!P466)</f>
        <v/>
      </c>
      <c r="G467" s="7">
        <f>IF('Per Invoice'!$V466="","",'Per Invoice'!Q466)</f>
        <v/>
      </c>
      <c r="H467" s="7">
        <f>IF('Per Invoice'!$V466="","",'Per Invoice'!M466)</f>
        <v/>
      </c>
      <c r="I467" s="7">
        <f>IF('Per Invoice'!$V466="","",'Per Invoice'!N466)</f>
        <v/>
      </c>
      <c r="J467" s="7">
        <f>IF('Per Invoice'!$V466="","",'Per Invoice'!K466)</f>
        <v/>
      </c>
      <c r="K467" s="7">
        <f>IF('Per Invoice'!$V466="","",'Per Invoice'!T466)</f>
        <v/>
      </c>
      <c r="L467" s="7">
        <f>IF('Per Invoice'!$V466="","",'Per Invoice'!S466)</f>
        <v/>
      </c>
    </row>
    <row r="468">
      <c r="A468">
        <f>IF('Per Invoice'!$V467="","",ROWS($A$3:A468))</f>
        <v/>
      </c>
      <c r="B468" s="11">
        <f>IF('Per Invoice'!$V467="","",'Per Invoice'!E467)</f>
        <v/>
      </c>
      <c r="C468">
        <f>IF('Per Invoice'!$V467="","",'Per Invoice'!G467)</f>
        <v/>
      </c>
      <c r="D468">
        <f>IF('Per Invoice'!$V467="","",'Per Invoice'!H467)</f>
        <v/>
      </c>
      <c r="E468">
        <f>IF('Per Invoice'!$V467="","",'Per Invoice'!F467)</f>
        <v/>
      </c>
      <c r="F468" s="7">
        <f>IF('Per Invoice'!$V467="","",'Per Invoice'!P467)</f>
        <v/>
      </c>
      <c r="G468" s="7">
        <f>IF('Per Invoice'!$V467="","",'Per Invoice'!Q467)</f>
        <v/>
      </c>
      <c r="H468" s="7">
        <f>IF('Per Invoice'!$V467="","",'Per Invoice'!M467)</f>
        <v/>
      </c>
      <c r="I468" s="7">
        <f>IF('Per Invoice'!$V467="","",'Per Invoice'!N467)</f>
        <v/>
      </c>
      <c r="J468" s="7">
        <f>IF('Per Invoice'!$V467="","",'Per Invoice'!K467)</f>
        <v/>
      </c>
      <c r="K468" s="7">
        <f>IF('Per Invoice'!$V467="","",'Per Invoice'!T467)</f>
        <v/>
      </c>
      <c r="L468" s="7">
        <f>IF('Per Invoice'!$V467="","",'Per Invoice'!S467)</f>
        <v/>
      </c>
    </row>
    <row r="469">
      <c r="A469">
        <f>IF('Per Invoice'!$V468="","",ROWS($A$3:A469))</f>
        <v/>
      </c>
      <c r="B469" s="11">
        <f>IF('Per Invoice'!$V468="","",'Per Invoice'!E468)</f>
        <v/>
      </c>
      <c r="C469">
        <f>IF('Per Invoice'!$V468="","",'Per Invoice'!G468)</f>
        <v/>
      </c>
      <c r="D469">
        <f>IF('Per Invoice'!$V468="","",'Per Invoice'!H468)</f>
        <v/>
      </c>
      <c r="E469">
        <f>IF('Per Invoice'!$V468="","",'Per Invoice'!F468)</f>
        <v/>
      </c>
      <c r="F469" s="7">
        <f>IF('Per Invoice'!$V468="","",'Per Invoice'!P468)</f>
        <v/>
      </c>
      <c r="G469" s="7">
        <f>IF('Per Invoice'!$V468="","",'Per Invoice'!Q468)</f>
        <v/>
      </c>
      <c r="H469" s="7">
        <f>IF('Per Invoice'!$V468="","",'Per Invoice'!M468)</f>
        <v/>
      </c>
      <c r="I469" s="7">
        <f>IF('Per Invoice'!$V468="","",'Per Invoice'!N468)</f>
        <v/>
      </c>
      <c r="J469" s="7">
        <f>IF('Per Invoice'!$V468="","",'Per Invoice'!K468)</f>
        <v/>
      </c>
      <c r="K469" s="7">
        <f>IF('Per Invoice'!$V468="","",'Per Invoice'!T468)</f>
        <v/>
      </c>
      <c r="L469" s="7">
        <f>IF('Per Invoice'!$V468="","",'Per Invoice'!S468)</f>
        <v/>
      </c>
    </row>
    <row r="470">
      <c r="A470">
        <f>IF('Per Invoice'!$V469="","",ROWS($A$3:A470))</f>
        <v/>
      </c>
      <c r="B470" s="11">
        <f>IF('Per Invoice'!$V469="","",'Per Invoice'!E469)</f>
        <v/>
      </c>
      <c r="C470">
        <f>IF('Per Invoice'!$V469="","",'Per Invoice'!G469)</f>
        <v/>
      </c>
      <c r="D470">
        <f>IF('Per Invoice'!$V469="","",'Per Invoice'!H469)</f>
        <v/>
      </c>
      <c r="E470">
        <f>IF('Per Invoice'!$V469="","",'Per Invoice'!F469)</f>
        <v/>
      </c>
      <c r="F470" s="7">
        <f>IF('Per Invoice'!$V469="","",'Per Invoice'!P469)</f>
        <v/>
      </c>
      <c r="G470" s="7">
        <f>IF('Per Invoice'!$V469="","",'Per Invoice'!Q469)</f>
        <v/>
      </c>
      <c r="H470" s="7">
        <f>IF('Per Invoice'!$V469="","",'Per Invoice'!M469)</f>
        <v/>
      </c>
      <c r="I470" s="7">
        <f>IF('Per Invoice'!$V469="","",'Per Invoice'!N469)</f>
        <v/>
      </c>
      <c r="J470" s="7">
        <f>IF('Per Invoice'!$V469="","",'Per Invoice'!K469)</f>
        <v/>
      </c>
      <c r="K470" s="7">
        <f>IF('Per Invoice'!$V469="","",'Per Invoice'!T469)</f>
        <v/>
      </c>
      <c r="L470" s="7">
        <f>IF('Per Invoice'!$V469="","",'Per Invoice'!S469)</f>
        <v/>
      </c>
    </row>
    <row r="471">
      <c r="A471">
        <f>IF('Per Invoice'!$V470="","",ROWS($A$3:A471))</f>
        <v/>
      </c>
      <c r="B471" s="11">
        <f>IF('Per Invoice'!$V470="","",'Per Invoice'!E470)</f>
        <v/>
      </c>
      <c r="C471">
        <f>IF('Per Invoice'!$V470="","",'Per Invoice'!G470)</f>
        <v/>
      </c>
      <c r="D471">
        <f>IF('Per Invoice'!$V470="","",'Per Invoice'!H470)</f>
        <v/>
      </c>
      <c r="E471">
        <f>IF('Per Invoice'!$V470="","",'Per Invoice'!F470)</f>
        <v/>
      </c>
      <c r="F471" s="7">
        <f>IF('Per Invoice'!$V470="","",'Per Invoice'!P470)</f>
        <v/>
      </c>
      <c r="G471" s="7">
        <f>IF('Per Invoice'!$V470="","",'Per Invoice'!Q470)</f>
        <v/>
      </c>
      <c r="H471" s="7">
        <f>IF('Per Invoice'!$V470="","",'Per Invoice'!M470)</f>
        <v/>
      </c>
      <c r="I471" s="7">
        <f>IF('Per Invoice'!$V470="","",'Per Invoice'!N470)</f>
        <v/>
      </c>
      <c r="J471" s="7">
        <f>IF('Per Invoice'!$V470="","",'Per Invoice'!K470)</f>
        <v/>
      </c>
      <c r="K471" s="7">
        <f>IF('Per Invoice'!$V470="","",'Per Invoice'!T470)</f>
        <v/>
      </c>
      <c r="L471" s="7">
        <f>IF('Per Invoice'!$V470="","",'Per Invoice'!S470)</f>
        <v/>
      </c>
    </row>
    <row r="472">
      <c r="A472">
        <f>IF('Per Invoice'!$V471="","",ROWS($A$3:A472))</f>
        <v/>
      </c>
      <c r="B472" s="11">
        <f>IF('Per Invoice'!$V471="","",'Per Invoice'!E471)</f>
        <v/>
      </c>
      <c r="C472">
        <f>IF('Per Invoice'!$V471="","",'Per Invoice'!G471)</f>
        <v/>
      </c>
      <c r="D472">
        <f>IF('Per Invoice'!$V471="","",'Per Invoice'!H471)</f>
        <v/>
      </c>
      <c r="E472">
        <f>IF('Per Invoice'!$V471="","",'Per Invoice'!F471)</f>
        <v/>
      </c>
      <c r="F472" s="7">
        <f>IF('Per Invoice'!$V471="","",'Per Invoice'!P471)</f>
        <v/>
      </c>
      <c r="G472" s="7">
        <f>IF('Per Invoice'!$V471="","",'Per Invoice'!Q471)</f>
        <v/>
      </c>
      <c r="H472" s="7">
        <f>IF('Per Invoice'!$V471="","",'Per Invoice'!M471)</f>
        <v/>
      </c>
      <c r="I472" s="7">
        <f>IF('Per Invoice'!$V471="","",'Per Invoice'!N471)</f>
        <v/>
      </c>
      <c r="J472" s="7">
        <f>IF('Per Invoice'!$V471="","",'Per Invoice'!K471)</f>
        <v/>
      </c>
      <c r="K472" s="7">
        <f>IF('Per Invoice'!$V471="","",'Per Invoice'!T471)</f>
        <v/>
      </c>
      <c r="L472" s="7">
        <f>IF('Per Invoice'!$V471="","",'Per Invoice'!S471)</f>
        <v/>
      </c>
    </row>
    <row r="473">
      <c r="A473">
        <f>IF('Per Invoice'!$V472="","",ROWS($A$3:A473))</f>
        <v/>
      </c>
      <c r="B473" s="11">
        <f>IF('Per Invoice'!$V472="","",'Per Invoice'!E472)</f>
        <v/>
      </c>
      <c r="C473">
        <f>IF('Per Invoice'!$V472="","",'Per Invoice'!G472)</f>
        <v/>
      </c>
      <c r="D473">
        <f>IF('Per Invoice'!$V472="","",'Per Invoice'!H472)</f>
        <v/>
      </c>
      <c r="E473">
        <f>IF('Per Invoice'!$V472="","",'Per Invoice'!F472)</f>
        <v/>
      </c>
      <c r="F473" s="7">
        <f>IF('Per Invoice'!$V472="","",'Per Invoice'!P472)</f>
        <v/>
      </c>
      <c r="G473" s="7">
        <f>IF('Per Invoice'!$V472="","",'Per Invoice'!Q472)</f>
        <v/>
      </c>
      <c r="H473" s="7">
        <f>IF('Per Invoice'!$V472="","",'Per Invoice'!M472)</f>
        <v/>
      </c>
      <c r="I473" s="7">
        <f>IF('Per Invoice'!$V472="","",'Per Invoice'!N472)</f>
        <v/>
      </c>
      <c r="J473" s="7">
        <f>IF('Per Invoice'!$V472="","",'Per Invoice'!K472)</f>
        <v/>
      </c>
      <c r="K473" s="7">
        <f>IF('Per Invoice'!$V472="","",'Per Invoice'!T472)</f>
        <v/>
      </c>
      <c r="L473" s="7">
        <f>IF('Per Invoice'!$V472="","",'Per Invoice'!S472)</f>
        <v/>
      </c>
    </row>
    <row r="474">
      <c r="A474">
        <f>IF('Per Invoice'!$V473="","",ROWS($A$3:A474))</f>
        <v/>
      </c>
      <c r="B474" s="11">
        <f>IF('Per Invoice'!$V473="","",'Per Invoice'!E473)</f>
        <v/>
      </c>
      <c r="C474">
        <f>IF('Per Invoice'!$V473="","",'Per Invoice'!G473)</f>
        <v/>
      </c>
      <c r="D474">
        <f>IF('Per Invoice'!$V473="","",'Per Invoice'!H473)</f>
        <v/>
      </c>
      <c r="E474">
        <f>IF('Per Invoice'!$V473="","",'Per Invoice'!F473)</f>
        <v/>
      </c>
      <c r="F474" s="7">
        <f>IF('Per Invoice'!$V473="","",'Per Invoice'!P473)</f>
        <v/>
      </c>
      <c r="G474" s="7">
        <f>IF('Per Invoice'!$V473="","",'Per Invoice'!Q473)</f>
        <v/>
      </c>
      <c r="H474" s="7">
        <f>IF('Per Invoice'!$V473="","",'Per Invoice'!M473)</f>
        <v/>
      </c>
      <c r="I474" s="7">
        <f>IF('Per Invoice'!$V473="","",'Per Invoice'!N473)</f>
        <v/>
      </c>
      <c r="J474" s="7">
        <f>IF('Per Invoice'!$V473="","",'Per Invoice'!K473)</f>
        <v/>
      </c>
      <c r="K474" s="7">
        <f>IF('Per Invoice'!$V473="","",'Per Invoice'!T473)</f>
        <v/>
      </c>
      <c r="L474" s="7">
        <f>IF('Per Invoice'!$V473="","",'Per Invoice'!S473)</f>
        <v/>
      </c>
    </row>
    <row r="475">
      <c r="A475">
        <f>IF('Per Invoice'!$V474="","",ROWS($A$3:A475))</f>
        <v/>
      </c>
      <c r="B475" s="11">
        <f>IF('Per Invoice'!$V474="","",'Per Invoice'!E474)</f>
        <v/>
      </c>
      <c r="C475">
        <f>IF('Per Invoice'!$V474="","",'Per Invoice'!G474)</f>
        <v/>
      </c>
      <c r="D475">
        <f>IF('Per Invoice'!$V474="","",'Per Invoice'!H474)</f>
        <v/>
      </c>
      <c r="E475">
        <f>IF('Per Invoice'!$V474="","",'Per Invoice'!F474)</f>
        <v/>
      </c>
      <c r="F475" s="7">
        <f>IF('Per Invoice'!$V474="","",'Per Invoice'!P474)</f>
        <v/>
      </c>
      <c r="G475" s="7">
        <f>IF('Per Invoice'!$V474="","",'Per Invoice'!Q474)</f>
        <v/>
      </c>
      <c r="H475" s="7">
        <f>IF('Per Invoice'!$V474="","",'Per Invoice'!M474)</f>
        <v/>
      </c>
      <c r="I475" s="7">
        <f>IF('Per Invoice'!$V474="","",'Per Invoice'!N474)</f>
        <v/>
      </c>
      <c r="J475" s="7">
        <f>IF('Per Invoice'!$V474="","",'Per Invoice'!K474)</f>
        <v/>
      </c>
      <c r="K475" s="7">
        <f>IF('Per Invoice'!$V474="","",'Per Invoice'!T474)</f>
        <v/>
      </c>
      <c r="L475" s="7">
        <f>IF('Per Invoice'!$V474="","",'Per Invoice'!S474)</f>
        <v/>
      </c>
    </row>
    <row r="476">
      <c r="A476">
        <f>IF('Per Invoice'!$V475="","",ROWS($A$3:A476))</f>
        <v/>
      </c>
      <c r="B476" s="11">
        <f>IF('Per Invoice'!$V475="","",'Per Invoice'!E475)</f>
        <v/>
      </c>
      <c r="C476">
        <f>IF('Per Invoice'!$V475="","",'Per Invoice'!G475)</f>
        <v/>
      </c>
      <c r="D476">
        <f>IF('Per Invoice'!$V475="","",'Per Invoice'!H475)</f>
        <v/>
      </c>
      <c r="E476">
        <f>IF('Per Invoice'!$V475="","",'Per Invoice'!F475)</f>
        <v/>
      </c>
      <c r="F476" s="7">
        <f>IF('Per Invoice'!$V475="","",'Per Invoice'!P475)</f>
        <v/>
      </c>
      <c r="G476" s="7">
        <f>IF('Per Invoice'!$V475="","",'Per Invoice'!Q475)</f>
        <v/>
      </c>
      <c r="H476" s="7">
        <f>IF('Per Invoice'!$V475="","",'Per Invoice'!M475)</f>
        <v/>
      </c>
      <c r="I476" s="7">
        <f>IF('Per Invoice'!$V475="","",'Per Invoice'!N475)</f>
        <v/>
      </c>
      <c r="J476" s="7">
        <f>IF('Per Invoice'!$V475="","",'Per Invoice'!K475)</f>
        <v/>
      </c>
      <c r="K476" s="7">
        <f>IF('Per Invoice'!$V475="","",'Per Invoice'!T475)</f>
        <v/>
      </c>
      <c r="L476" s="7">
        <f>IF('Per Invoice'!$V475="","",'Per Invoice'!S475)</f>
        <v/>
      </c>
    </row>
    <row r="477">
      <c r="A477">
        <f>IF('Per Invoice'!$V476="","",ROWS($A$3:A477))</f>
        <v/>
      </c>
      <c r="B477" s="11">
        <f>IF('Per Invoice'!$V476="","",'Per Invoice'!E476)</f>
        <v/>
      </c>
      <c r="C477">
        <f>IF('Per Invoice'!$V476="","",'Per Invoice'!G476)</f>
        <v/>
      </c>
      <c r="D477">
        <f>IF('Per Invoice'!$V476="","",'Per Invoice'!H476)</f>
        <v/>
      </c>
      <c r="E477">
        <f>IF('Per Invoice'!$V476="","",'Per Invoice'!F476)</f>
        <v/>
      </c>
      <c r="F477" s="7">
        <f>IF('Per Invoice'!$V476="","",'Per Invoice'!P476)</f>
        <v/>
      </c>
      <c r="G477" s="7">
        <f>IF('Per Invoice'!$V476="","",'Per Invoice'!Q476)</f>
        <v/>
      </c>
      <c r="H477" s="7">
        <f>IF('Per Invoice'!$V476="","",'Per Invoice'!M476)</f>
        <v/>
      </c>
      <c r="I477" s="7">
        <f>IF('Per Invoice'!$V476="","",'Per Invoice'!N476)</f>
        <v/>
      </c>
      <c r="J477" s="7">
        <f>IF('Per Invoice'!$V476="","",'Per Invoice'!K476)</f>
        <v/>
      </c>
      <c r="K477" s="7">
        <f>IF('Per Invoice'!$V476="","",'Per Invoice'!T476)</f>
        <v/>
      </c>
      <c r="L477" s="7">
        <f>IF('Per Invoice'!$V476="","",'Per Invoice'!S476)</f>
        <v/>
      </c>
    </row>
    <row r="478">
      <c r="A478">
        <f>IF('Per Invoice'!$V477="","",ROWS($A$3:A478))</f>
        <v/>
      </c>
      <c r="B478" s="11">
        <f>IF('Per Invoice'!$V477="","",'Per Invoice'!E477)</f>
        <v/>
      </c>
      <c r="C478">
        <f>IF('Per Invoice'!$V477="","",'Per Invoice'!G477)</f>
        <v/>
      </c>
      <c r="D478">
        <f>IF('Per Invoice'!$V477="","",'Per Invoice'!H477)</f>
        <v/>
      </c>
      <c r="E478">
        <f>IF('Per Invoice'!$V477="","",'Per Invoice'!F477)</f>
        <v/>
      </c>
      <c r="F478" s="7">
        <f>IF('Per Invoice'!$V477="","",'Per Invoice'!P477)</f>
        <v/>
      </c>
      <c r="G478" s="7">
        <f>IF('Per Invoice'!$V477="","",'Per Invoice'!Q477)</f>
        <v/>
      </c>
      <c r="H478" s="7">
        <f>IF('Per Invoice'!$V477="","",'Per Invoice'!M477)</f>
        <v/>
      </c>
      <c r="I478" s="7">
        <f>IF('Per Invoice'!$V477="","",'Per Invoice'!N477)</f>
        <v/>
      </c>
      <c r="J478" s="7">
        <f>IF('Per Invoice'!$V477="","",'Per Invoice'!K477)</f>
        <v/>
      </c>
      <c r="K478" s="7">
        <f>IF('Per Invoice'!$V477="","",'Per Invoice'!T477)</f>
        <v/>
      </c>
      <c r="L478" s="7">
        <f>IF('Per Invoice'!$V477="","",'Per Invoice'!S477)</f>
        <v/>
      </c>
    </row>
    <row r="479">
      <c r="A479">
        <f>IF('Per Invoice'!$V478="","",ROWS($A$3:A479))</f>
        <v/>
      </c>
      <c r="B479" s="11">
        <f>IF('Per Invoice'!$V478="","",'Per Invoice'!E478)</f>
        <v/>
      </c>
      <c r="C479">
        <f>IF('Per Invoice'!$V478="","",'Per Invoice'!G478)</f>
        <v/>
      </c>
      <c r="D479">
        <f>IF('Per Invoice'!$V478="","",'Per Invoice'!H478)</f>
        <v/>
      </c>
      <c r="E479">
        <f>IF('Per Invoice'!$V478="","",'Per Invoice'!F478)</f>
        <v/>
      </c>
      <c r="F479" s="7">
        <f>IF('Per Invoice'!$V478="","",'Per Invoice'!P478)</f>
        <v/>
      </c>
      <c r="G479" s="7">
        <f>IF('Per Invoice'!$V478="","",'Per Invoice'!Q478)</f>
        <v/>
      </c>
      <c r="H479" s="7">
        <f>IF('Per Invoice'!$V478="","",'Per Invoice'!M478)</f>
        <v/>
      </c>
      <c r="I479" s="7">
        <f>IF('Per Invoice'!$V478="","",'Per Invoice'!N478)</f>
        <v/>
      </c>
      <c r="J479" s="7">
        <f>IF('Per Invoice'!$V478="","",'Per Invoice'!K478)</f>
        <v/>
      </c>
      <c r="K479" s="7">
        <f>IF('Per Invoice'!$V478="","",'Per Invoice'!T478)</f>
        <v/>
      </c>
      <c r="L479" s="7">
        <f>IF('Per Invoice'!$V478="","",'Per Invoice'!S478)</f>
        <v/>
      </c>
    </row>
    <row r="480">
      <c r="A480">
        <f>IF('Per Invoice'!$V479="","",ROWS($A$3:A480))</f>
        <v/>
      </c>
      <c r="B480" s="11">
        <f>IF('Per Invoice'!$V479="","",'Per Invoice'!E479)</f>
        <v/>
      </c>
      <c r="C480">
        <f>IF('Per Invoice'!$V479="","",'Per Invoice'!G479)</f>
        <v/>
      </c>
      <c r="D480">
        <f>IF('Per Invoice'!$V479="","",'Per Invoice'!H479)</f>
        <v/>
      </c>
      <c r="E480">
        <f>IF('Per Invoice'!$V479="","",'Per Invoice'!F479)</f>
        <v/>
      </c>
      <c r="F480" s="7">
        <f>IF('Per Invoice'!$V479="","",'Per Invoice'!P479)</f>
        <v/>
      </c>
      <c r="G480" s="7">
        <f>IF('Per Invoice'!$V479="","",'Per Invoice'!Q479)</f>
        <v/>
      </c>
      <c r="H480" s="7">
        <f>IF('Per Invoice'!$V479="","",'Per Invoice'!M479)</f>
        <v/>
      </c>
      <c r="I480" s="7">
        <f>IF('Per Invoice'!$V479="","",'Per Invoice'!N479)</f>
        <v/>
      </c>
      <c r="J480" s="7">
        <f>IF('Per Invoice'!$V479="","",'Per Invoice'!K479)</f>
        <v/>
      </c>
      <c r="K480" s="7">
        <f>IF('Per Invoice'!$V479="","",'Per Invoice'!T479)</f>
        <v/>
      </c>
      <c r="L480" s="7">
        <f>IF('Per Invoice'!$V479="","",'Per Invoice'!S479)</f>
        <v/>
      </c>
    </row>
    <row r="481">
      <c r="A481">
        <f>IF('Per Invoice'!$V480="","",ROWS($A$3:A481))</f>
        <v/>
      </c>
      <c r="B481" s="11">
        <f>IF('Per Invoice'!$V480="","",'Per Invoice'!E480)</f>
        <v/>
      </c>
      <c r="C481">
        <f>IF('Per Invoice'!$V480="","",'Per Invoice'!G480)</f>
        <v/>
      </c>
      <c r="D481">
        <f>IF('Per Invoice'!$V480="","",'Per Invoice'!H480)</f>
        <v/>
      </c>
      <c r="E481">
        <f>IF('Per Invoice'!$V480="","",'Per Invoice'!F480)</f>
        <v/>
      </c>
      <c r="F481" s="7">
        <f>IF('Per Invoice'!$V480="","",'Per Invoice'!P480)</f>
        <v/>
      </c>
      <c r="G481" s="7">
        <f>IF('Per Invoice'!$V480="","",'Per Invoice'!Q480)</f>
        <v/>
      </c>
      <c r="H481" s="7">
        <f>IF('Per Invoice'!$V480="","",'Per Invoice'!M480)</f>
        <v/>
      </c>
      <c r="I481" s="7">
        <f>IF('Per Invoice'!$V480="","",'Per Invoice'!N480)</f>
        <v/>
      </c>
      <c r="J481" s="7">
        <f>IF('Per Invoice'!$V480="","",'Per Invoice'!K480)</f>
        <v/>
      </c>
      <c r="K481" s="7">
        <f>IF('Per Invoice'!$V480="","",'Per Invoice'!T480)</f>
        <v/>
      </c>
      <c r="L481" s="7">
        <f>IF('Per Invoice'!$V480="","",'Per Invoice'!S480)</f>
        <v/>
      </c>
    </row>
    <row r="482">
      <c r="A482">
        <f>IF('Per Invoice'!$V481="","",ROWS($A$3:A482))</f>
        <v/>
      </c>
      <c r="B482" s="11">
        <f>IF('Per Invoice'!$V481="","",'Per Invoice'!E481)</f>
        <v/>
      </c>
      <c r="C482">
        <f>IF('Per Invoice'!$V481="","",'Per Invoice'!G481)</f>
        <v/>
      </c>
      <c r="D482">
        <f>IF('Per Invoice'!$V481="","",'Per Invoice'!H481)</f>
        <v/>
      </c>
      <c r="E482">
        <f>IF('Per Invoice'!$V481="","",'Per Invoice'!F481)</f>
        <v/>
      </c>
      <c r="F482" s="7">
        <f>IF('Per Invoice'!$V481="","",'Per Invoice'!P481)</f>
        <v/>
      </c>
      <c r="G482" s="7">
        <f>IF('Per Invoice'!$V481="","",'Per Invoice'!Q481)</f>
        <v/>
      </c>
      <c r="H482" s="7">
        <f>IF('Per Invoice'!$V481="","",'Per Invoice'!M481)</f>
        <v/>
      </c>
      <c r="I482" s="7">
        <f>IF('Per Invoice'!$V481="","",'Per Invoice'!N481)</f>
        <v/>
      </c>
      <c r="J482" s="7">
        <f>IF('Per Invoice'!$V481="","",'Per Invoice'!K481)</f>
        <v/>
      </c>
      <c r="K482" s="7">
        <f>IF('Per Invoice'!$V481="","",'Per Invoice'!T481)</f>
        <v/>
      </c>
      <c r="L482" s="7">
        <f>IF('Per Invoice'!$V481="","",'Per Invoice'!S481)</f>
        <v/>
      </c>
    </row>
    <row r="483">
      <c r="A483">
        <f>IF('Per Invoice'!$V482="","",ROWS($A$3:A483))</f>
        <v/>
      </c>
      <c r="B483" s="11">
        <f>IF('Per Invoice'!$V482="","",'Per Invoice'!E482)</f>
        <v/>
      </c>
      <c r="C483">
        <f>IF('Per Invoice'!$V482="","",'Per Invoice'!G482)</f>
        <v/>
      </c>
      <c r="D483">
        <f>IF('Per Invoice'!$V482="","",'Per Invoice'!H482)</f>
        <v/>
      </c>
      <c r="E483">
        <f>IF('Per Invoice'!$V482="","",'Per Invoice'!F482)</f>
        <v/>
      </c>
      <c r="F483" s="7">
        <f>IF('Per Invoice'!$V482="","",'Per Invoice'!P482)</f>
        <v/>
      </c>
      <c r="G483" s="7">
        <f>IF('Per Invoice'!$V482="","",'Per Invoice'!Q482)</f>
        <v/>
      </c>
      <c r="H483" s="7">
        <f>IF('Per Invoice'!$V482="","",'Per Invoice'!M482)</f>
        <v/>
      </c>
      <c r="I483" s="7">
        <f>IF('Per Invoice'!$V482="","",'Per Invoice'!N482)</f>
        <v/>
      </c>
      <c r="J483" s="7">
        <f>IF('Per Invoice'!$V482="","",'Per Invoice'!K482)</f>
        <v/>
      </c>
      <c r="K483" s="7">
        <f>IF('Per Invoice'!$V482="","",'Per Invoice'!T482)</f>
        <v/>
      </c>
      <c r="L483" s="7">
        <f>IF('Per Invoice'!$V482="","",'Per Invoice'!S482)</f>
        <v/>
      </c>
    </row>
    <row r="484">
      <c r="A484">
        <f>IF('Per Invoice'!$V483="","",ROWS($A$3:A484))</f>
        <v/>
      </c>
      <c r="B484" s="11">
        <f>IF('Per Invoice'!$V483="","",'Per Invoice'!E483)</f>
        <v/>
      </c>
      <c r="C484">
        <f>IF('Per Invoice'!$V483="","",'Per Invoice'!G483)</f>
        <v/>
      </c>
      <c r="D484">
        <f>IF('Per Invoice'!$V483="","",'Per Invoice'!H483)</f>
        <v/>
      </c>
      <c r="E484">
        <f>IF('Per Invoice'!$V483="","",'Per Invoice'!F483)</f>
        <v/>
      </c>
      <c r="F484" s="7">
        <f>IF('Per Invoice'!$V483="","",'Per Invoice'!P483)</f>
        <v/>
      </c>
      <c r="G484" s="7">
        <f>IF('Per Invoice'!$V483="","",'Per Invoice'!Q483)</f>
        <v/>
      </c>
      <c r="H484" s="7">
        <f>IF('Per Invoice'!$V483="","",'Per Invoice'!M483)</f>
        <v/>
      </c>
      <c r="I484" s="7">
        <f>IF('Per Invoice'!$V483="","",'Per Invoice'!N483)</f>
        <v/>
      </c>
      <c r="J484" s="7">
        <f>IF('Per Invoice'!$V483="","",'Per Invoice'!K483)</f>
        <v/>
      </c>
      <c r="K484" s="7">
        <f>IF('Per Invoice'!$V483="","",'Per Invoice'!T483)</f>
        <v/>
      </c>
      <c r="L484" s="7">
        <f>IF('Per Invoice'!$V483="","",'Per Invoice'!S483)</f>
        <v/>
      </c>
    </row>
    <row r="485">
      <c r="A485">
        <f>IF('Per Invoice'!$V484="","",ROWS($A$3:A485))</f>
        <v/>
      </c>
      <c r="B485" s="11">
        <f>IF('Per Invoice'!$V484="","",'Per Invoice'!E484)</f>
        <v/>
      </c>
      <c r="C485">
        <f>IF('Per Invoice'!$V484="","",'Per Invoice'!G484)</f>
        <v/>
      </c>
      <c r="D485">
        <f>IF('Per Invoice'!$V484="","",'Per Invoice'!H484)</f>
        <v/>
      </c>
      <c r="E485">
        <f>IF('Per Invoice'!$V484="","",'Per Invoice'!F484)</f>
        <v/>
      </c>
      <c r="F485" s="7">
        <f>IF('Per Invoice'!$V484="","",'Per Invoice'!P484)</f>
        <v/>
      </c>
      <c r="G485" s="7">
        <f>IF('Per Invoice'!$V484="","",'Per Invoice'!Q484)</f>
        <v/>
      </c>
      <c r="H485" s="7">
        <f>IF('Per Invoice'!$V484="","",'Per Invoice'!M484)</f>
        <v/>
      </c>
      <c r="I485" s="7">
        <f>IF('Per Invoice'!$V484="","",'Per Invoice'!N484)</f>
        <v/>
      </c>
      <c r="J485" s="7">
        <f>IF('Per Invoice'!$V484="","",'Per Invoice'!K484)</f>
        <v/>
      </c>
      <c r="K485" s="7">
        <f>IF('Per Invoice'!$V484="","",'Per Invoice'!T484)</f>
        <v/>
      </c>
      <c r="L485" s="7">
        <f>IF('Per Invoice'!$V484="","",'Per Invoice'!S484)</f>
        <v/>
      </c>
    </row>
    <row r="486">
      <c r="A486">
        <f>IF('Per Invoice'!$V485="","",ROWS($A$3:A486))</f>
        <v/>
      </c>
      <c r="B486" s="11">
        <f>IF('Per Invoice'!$V485="","",'Per Invoice'!E485)</f>
        <v/>
      </c>
      <c r="C486">
        <f>IF('Per Invoice'!$V485="","",'Per Invoice'!G485)</f>
        <v/>
      </c>
      <c r="D486">
        <f>IF('Per Invoice'!$V485="","",'Per Invoice'!H485)</f>
        <v/>
      </c>
      <c r="E486">
        <f>IF('Per Invoice'!$V485="","",'Per Invoice'!F485)</f>
        <v/>
      </c>
      <c r="F486" s="7">
        <f>IF('Per Invoice'!$V485="","",'Per Invoice'!P485)</f>
        <v/>
      </c>
      <c r="G486" s="7">
        <f>IF('Per Invoice'!$V485="","",'Per Invoice'!Q485)</f>
        <v/>
      </c>
      <c r="H486" s="7">
        <f>IF('Per Invoice'!$V485="","",'Per Invoice'!M485)</f>
        <v/>
      </c>
      <c r="I486" s="7">
        <f>IF('Per Invoice'!$V485="","",'Per Invoice'!N485)</f>
        <v/>
      </c>
      <c r="J486" s="7">
        <f>IF('Per Invoice'!$V485="","",'Per Invoice'!K485)</f>
        <v/>
      </c>
      <c r="K486" s="7">
        <f>IF('Per Invoice'!$V485="","",'Per Invoice'!T485)</f>
        <v/>
      </c>
      <c r="L486" s="7">
        <f>IF('Per Invoice'!$V485="","",'Per Invoice'!S485)</f>
        <v/>
      </c>
    </row>
    <row r="487">
      <c r="A487">
        <f>IF('Per Invoice'!$V486="","",ROWS($A$3:A487))</f>
        <v/>
      </c>
      <c r="B487" s="11">
        <f>IF('Per Invoice'!$V486="","",'Per Invoice'!E486)</f>
        <v/>
      </c>
      <c r="C487">
        <f>IF('Per Invoice'!$V486="","",'Per Invoice'!G486)</f>
        <v/>
      </c>
      <c r="D487">
        <f>IF('Per Invoice'!$V486="","",'Per Invoice'!H486)</f>
        <v/>
      </c>
      <c r="E487">
        <f>IF('Per Invoice'!$V486="","",'Per Invoice'!F486)</f>
        <v/>
      </c>
      <c r="F487" s="7">
        <f>IF('Per Invoice'!$V486="","",'Per Invoice'!P486)</f>
        <v/>
      </c>
      <c r="G487" s="7">
        <f>IF('Per Invoice'!$V486="","",'Per Invoice'!Q486)</f>
        <v/>
      </c>
      <c r="H487" s="7">
        <f>IF('Per Invoice'!$V486="","",'Per Invoice'!M486)</f>
        <v/>
      </c>
      <c r="I487" s="7">
        <f>IF('Per Invoice'!$V486="","",'Per Invoice'!N486)</f>
        <v/>
      </c>
      <c r="J487" s="7">
        <f>IF('Per Invoice'!$V486="","",'Per Invoice'!K486)</f>
        <v/>
      </c>
      <c r="K487" s="7">
        <f>IF('Per Invoice'!$V486="","",'Per Invoice'!T486)</f>
        <v/>
      </c>
      <c r="L487" s="7">
        <f>IF('Per Invoice'!$V486="","",'Per Invoice'!S486)</f>
        <v/>
      </c>
    </row>
    <row r="488">
      <c r="A488">
        <f>IF('Per Invoice'!$V487="","",ROWS($A$3:A488))</f>
        <v/>
      </c>
      <c r="B488" s="11">
        <f>IF('Per Invoice'!$V487="","",'Per Invoice'!E487)</f>
        <v/>
      </c>
      <c r="C488">
        <f>IF('Per Invoice'!$V487="","",'Per Invoice'!G487)</f>
        <v/>
      </c>
      <c r="D488">
        <f>IF('Per Invoice'!$V487="","",'Per Invoice'!H487)</f>
        <v/>
      </c>
      <c r="E488">
        <f>IF('Per Invoice'!$V487="","",'Per Invoice'!F487)</f>
        <v/>
      </c>
      <c r="F488" s="7">
        <f>IF('Per Invoice'!$V487="","",'Per Invoice'!P487)</f>
        <v/>
      </c>
      <c r="G488" s="7">
        <f>IF('Per Invoice'!$V487="","",'Per Invoice'!Q487)</f>
        <v/>
      </c>
      <c r="H488" s="7">
        <f>IF('Per Invoice'!$V487="","",'Per Invoice'!M487)</f>
        <v/>
      </c>
      <c r="I488" s="7">
        <f>IF('Per Invoice'!$V487="","",'Per Invoice'!N487)</f>
        <v/>
      </c>
      <c r="J488" s="7">
        <f>IF('Per Invoice'!$V487="","",'Per Invoice'!K487)</f>
        <v/>
      </c>
      <c r="K488" s="7">
        <f>IF('Per Invoice'!$V487="","",'Per Invoice'!T487)</f>
        <v/>
      </c>
      <c r="L488" s="7">
        <f>IF('Per Invoice'!$V487="","",'Per Invoice'!S487)</f>
        <v/>
      </c>
    </row>
    <row r="489">
      <c r="A489">
        <f>IF('Per Invoice'!$V488="","",ROWS($A$3:A489))</f>
        <v/>
      </c>
      <c r="B489" s="11">
        <f>IF('Per Invoice'!$V488="","",'Per Invoice'!E488)</f>
        <v/>
      </c>
      <c r="C489">
        <f>IF('Per Invoice'!$V488="","",'Per Invoice'!G488)</f>
        <v/>
      </c>
      <c r="D489">
        <f>IF('Per Invoice'!$V488="","",'Per Invoice'!H488)</f>
        <v/>
      </c>
      <c r="E489">
        <f>IF('Per Invoice'!$V488="","",'Per Invoice'!F488)</f>
        <v/>
      </c>
      <c r="F489" s="7">
        <f>IF('Per Invoice'!$V488="","",'Per Invoice'!P488)</f>
        <v/>
      </c>
      <c r="G489" s="7">
        <f>IF('Per Invoice'!$V488="","",'Per Invoice'!Q488)</f>
        <v/>
      </c>
      <c r="H489" s="7">
        <f>IF('Per Invoice'!$V488="","",'Per Invoice'!M488)</f>
        <v/>
      </c>
      <c r="I489" s="7">
        <f>IF('Per Invoice'!$V488="","",'Per Invoice'!N488)</f>
        <v/>
      </c>
      <c r="J489" s="7">
        <f>IF('Per Invoice'!$V488="","",'Per Invoice'!K488)</f>
        <v/>
      </c>
      <c r="K489" s="7">
        <f>IF('Per Invoice'!$V488="","",'Per Invoice'!T488)</f>
        <v/>
      </c>
      <c r="L489" s="7">
        <f>IF('Per Invoice'!$V488="","",'Per Invoice'!S488)</f>
        <v/>
      </c>
    </row>
    <row r="490">
      <c r="A490">
        <f>IF('Per Invoice'!$V489="","",ROWS($A$3:A490))</f>
        <v/>
      </c>
      <c r="B490" s="11">
        <f>IF('Per Invoice'!$V489="","",'Per Invoice'!E489)</f>
        <v/>
      </c>
      <c r="C490">
        <f>IF('Per Invoice'!$V489="","",'Per Invoice'!G489)</f>
        <v/>
      </c>
      <c r="D490">
        <f>IF('Per Invoice'!$V489="","",'Per Invoice'!H489)</f>
        <v/>
      </c>
      <c r="E490">
        <f>IF('Per Invoice'!$V489="","",'Per Invoice'!F489)</f>
        <v/>
      </c>
      <c r="F490" s="7">
        <f>IF('Per Invoice'!$V489="","",'Per Invoice'!P489)</f>
        <v/>
      </c>
      <c r="G490" s="7">
        <f>IF('Per Invoice'!$V489="","",'Per Invoice'!Q489)</f>
        <v/>
      </c>
      <c r="H490" s="7">
        <f>IF('Per Invoice'!$V489="","",'Per Invoice'!M489)</f>
        <v/>
      </c>
      <c r="I490" s="7">
        <f>IF('Per Invoice'!$V489="","",'Per Invoice'!N489)</f>
        <v/>
      </c>
      <c r="J490" s="7">
        <f>IF('Per Invoice'!$V489="","",'Per Invoice'!K489)</f>
        <v/>
      </c>
      <c r="K490" s="7">
        <f>IF('Per Invoice'!$V489="","",'Per Invoice'!T489)</f>
        <v/>
      </c>
      <c r="L490" s="7">
        <f>IF('Per Invoice'!$V489="","",'Per Invoice'!S489)</f>
        <v/>
      </c>
    </row>
    <row r="491">
      <c r="A491">
        <f>IF('Per Invoice'!$V490="","",ROWS($A$3:A491))</f>
        <v/>
      </c>
      <c r="B491" s="11">
        <f>IF('Per Invoice'!$V490="","",'Per Invoice'!E490)</f>
        <v/>
      </c>
      <c r="C491">
        <f>IF('Per Invoice'!$V490="","",'Per Invoice'!G490)</f>
        <v/>
      </c>
      <c r="D491">
        <f>IF('Per Invoice'!$V490="","",'Per Invoice'!H490)</f>
        <v/>
      </c>
      <c r="E491">
        <f>IF('Per Invoice'!$V490="","",'Per Invoice'!F490)</f>
        <v/>
      </c>
      <c r="F491" s="7">
        <f>IF('Per Invoice'!$V490="","",'Per Invoice'!P490)</f>
        <v/>
      </c>
      <c r="G491" s="7">
        <f>IF('Per Invoice'!$V490="","",'Per Invoice'!Q490)</f>
        <v/>
      </c>
      <c r="H491" s="7">
        <f>IF('Per Invoice'!$V490="","",'Per Invoice'!M490)</f>
        <v/>
      </c>
      <c r="I491" s="7">
        <f>IF('Per Invoice'!$V490="","",'Per Invoice'!N490)</f>
        <v/>
      </c>
      <c r="J491" s="7">
        <f>IF('Per Invoice'!$V490="","",'Per Invoice'!K490)</f>
        <v/>
      </c>
      <c r="K491" s="7">
        <f>IF('Per Invoice'!$V490="","",'Per Invoice'!T490)</f>
        <v/>
      </c>
      <c r="L491" s="7">
        <f>IF('Per Invoice'!$V490="","",'Per Invoice'!S490)</f>
        <v/>
      </c>
    </row>
    <row r="492">
      <c r="A492">
        <f>IF('Per Invoice'!$V491="","",ROWS($A$3:A492))</f>
        <v/>
      </c>
      <c r="B492" s="11">
        <f>IF('Per Invoice'!$V491="","",'Per Invoice'!E491)</f>
        <v/>
      </c>
      <c r="C492">
        <f>IF('Per Invoice'!$V491="","",'Per Invoice'!G491)</f>
        <v/>
      </c>
      <c r="D492">
        <f>IF('Per Invoice'!$V491="","",'Per Invoice'!H491)</f>
        <v/>
      </c>
      <c r="E492">
        <f>IF('Per Invoice'!$V491="","",'Per Invoice'!F491)</f>
        <v/>
      </c>
      <c r="F492" s="7">
        <f>IF('Per Invoice'!$V491="","",'Per Invoice'!P491)</f>
        <v/>
      </c>
      <c r="G492" s="7">
        <f>IF('Per Invoice'!$V491="","",'Per Invoice'!Q491)</f>
        <v/>
      </c>
      <c r="H492" s="7">
        <f>IF('Per Invoice'!$V491="","",'Per Invoice'!M491)</f>
        <v/>
      </c>
      <c r="I492" s="7">
        <f>IF('Per Invoice'!$V491="","",'Per Invoice'!N491)</f>
        <v/>
      </c>
      <c r="J492" s="7">
        <f>IF('Per Invoice'!$V491="","",'Per Invoice'!K491)</f>
        <v/>
      </c>
      <c r="K492" s="7">
        <f>IF('Per Invoice'!$V491="","",'Per Invoice'!T491)</f>
        <v/>
      </c>
      <c r="L492" s="7">
        <f>IF('Per Invoice'!$V491="","",'Per Invoice'!S491)</f>
        <v/>
      </c>
    </row>
    <row r="493">
      <c r="A493">
        <f>IF('Per Invoice'!$V492="","",ROWS($A$3:A493))</f>
        <v/>
      </c>
      <c r="B493" s="11">
        <f>IF('Per Invoice'!$V492="","",'Per Invoice'!E492)</f>
        <v/>
      </c>
      <c r="C493">
        <f>IF('Per Invoice'!$V492="","",'Per Invoice'!G492)</f>
        <v/>
      </c>
      <c r="D493">
        <f>IF('Per Invoice'!$V492="","",'Per Invoice'!H492)</f>
        <v/>
      </c>
      <c r="E493">
        <f>IF('Per Invoice'!$V492="","",'Per Invoice'!F492)</f>
        <v/>
      </c>
      <c r="F493" s="7">
        <f>IF('Per Invoice'!$V492="","",'Per Invoice'!P492)</f>
        <v/>
      </c>
      <c r="G493" s="7">
        <f>IF('Per Invoice'!$V492="","",'Per Invoice'!Q492)</f>
        <v/>
      </c>
      <c r="H493" s="7">
        <f>IF('Per Invoice'!$V492="","",'Per Invoice'!M492)</f>
        <v/>
      </c>
      <c r="I493" s="7">
        <f>IF('Per Invoice'!$V492="","",'Per Invoice'!N492)</f>
        <v/>
      </c>
      <c r="J493" s="7">
        <f>IF('Per Invoice'!$V492="","",'Per Invoice'!K492)</f>
        <v/>
      </c>
      <c r="K493" s="7">
        <f>IF('Per Invoice'!$V492="","",'Per Invoice'!T492)</f>
        <v/>
      </c>
      <c r="L493" s="7">
        <f>IF('Per Invoice'!$V492="","",'Per Invoice'!S492)</f>
        <v/>
      </c>
    </row>
    <row r="494">
      <c r="A494">
        <f>IF('Per Invoice'!$V493="","",ROWS($A$3:A494))</f>
        <v/>
      </c>
      <c r="B494" s="11">
        <f>IF('Per Invoice'!$V493="","",'Per Invoice'!E493)</f>
        <v/>
      </c>
      <c r="C494">
        <f>IF('Per Invoice'!$V493="","",'Per Invoice'!G493)</f>
        <v/>
      </c>
      <c r="D494">
        <f>IF('Per Invoice'!$V493="","",'Per Invoice'!H493)</f>
        <v/>
      </c>
      <c r="E494">
        <f>IF('Per Invoice'!$V493="","",'Per Invoice'!F493)</f>
        <v/>
      </c>
      <c r="F494" s="7">
        <f>IF('Per Invoice'!$V493="","",'Per Invoice'!P493)</f>
        <v/>
      </c>
      <c r="G494" s="7">
        <f>IF('Per Invoice'!$V493="","",'Per Invoice'!Q493)</f>
        <v/>
      </c>
      <c r="H494" s="7">
        <f>IF('Per Invoice'!$V493="","",'Per Invoice'!M493)</f>
        <v/>
      </c>
      <c r="I494" s="7">
        <f>IF('Per Invoice'!$V493="","",'Per Invoice'!N493)</f>
        <v/>
      </c>
      <c r="J494" s="7">
        <f>IF('Per Invoice'!$V493="","",'Per Invoice'!K493)</f>
        <v/>
      </c>
      <c r="K494" s="7">
        <f>IF('Per Invoice'!$V493="","",'Per Invoice'!T493)</f>
        <v/>
      </c>
      <c r="L494" s="7">
        <f>IF('Per Invoice'!$V493="","",'Per Invoice'!S493)</f>
        <v/>
      </c>
    </row>
    <row r="495">
      <c r="A495">
        <f>IF('Per Invoice'!$V494="","",ROWS($A$3:A495))</f>
        <v/>
      </c>
      <c r="B495" s="11">
        <f>IF('Per Invoice'!$V494="","",'Per Invoice'!E494)</f>
        <v/>
      </c>
      <c r="C495">
        <f>IF('Per Invoice'!$V494="","",'Per Invoice'!G494)</f>
        <v/>
      </c>
      <c r="D495">
        <f>IF('Per Invoice'!$V494="","",'Per Invoice'!H494)</f>
        <v/>
      </c>
      <c r="E495">
        <f>IF('Per Invoice'!$V494="","",'Per Invoice'!F494)</f>
        <v/>
      </c>
      <c r="F495" s="7">
        <f>IF('Per Invoice'!$V494="","",'Per Invoice'!P494)</f>
        <v/>
      </c>
      <c r="G495" s="7">
        <f>IF('Per Invoice'!$V494="","",'Per Invoice'!Q494)</f>
        <v/>
      </c>
      <c r="H495" s="7">
        <f>IF('Per Invoice'!$V494="","",'Per Invoice'!M494)</f>
        <v/>
      </c>
      <c r="I495" s="7">
        <f>IF('Per Invoice'!$V494="","",'Per Invoice'!N494)</f>
        <v/>
      </c>
      <c r="J495" s="7">
        <f>IF('Per Invoice'!$V494="","",'Per Invoice'!K494)</f>
        <v/>
      </c>
      <c r="K495" s="7">
        <f>IF('Per Invoice'!$V494="","",'Per Invoice'!T494)</f>
        <v/>
      </c>
      <c r="L495" s="7">
        <f>IF('Per Invoice'!$V494="","",'Per Invoice'!S494)</f>
        <v/>
      </c>
    </row>
    <row r="496">
      <c r="A496">
        <f>IF('Per Invoice'!$V495="","",ROWS($A$3:A496))</f>
        <v/>
      </c>
      <c r="B496" s="11">
        <f>IF('Per Invoice'!$V495="","",'Per Invoice'!E495)</f>
        <v/>
      </c>
      <c r="C496">
        <f>IF('Per Invoice'!$V495="","",'Per Invoice'!G495)</f>
        <v/>
      </c>
      <c r="D496">
        <f>IF('Per Invoice'!$V495="","",'Per Invoice'!H495)</f>
        <v/>
      </c>
      <c r="E496">
        <f>IF('Per Invoice'!$V495="","",'Per Invoice'!F495)</f>
        <v/>
      </c>
      <c r="F496" s="7">
        <f>IF('Per Invoice'!$V495="","",'Per Invoice'!P495)</f>
        <v/>
      </c>
      <c r="G496" s="7">
        <f>IF('Per Invoice'!$V495="","",'Per Invoice'!Q495)</f>
        <v/>
      </c>
      <c r="H496" s="7">
        <f>IF('Per Invoice'!$V495="","",'Per Invoice'!M495)</f>
        <v/>
      </c>
      <c r="I496" s="7">
        <f>IF('Per Invoice'!$V495="","",'Per Invoice'!N495)</f>
        <v/>
      </c>
      <c r="J496" s="7">
        <f>IF('Per Invoice'!$V495="","",'Per Invoice'!K495)</f>
        <v/>
      </c>
      <c r="K496" s="7">
        <f>IF('Per Invoice'!$V495="","",'Per Invoice'!T495)</f>
        <v/>
      </c>
      <c r="L496" s="7">
        <f>IF('Per Invoice'!$V495="","",'Per Invoice'!S495)</f>
        <v/>
      </c>
    </row>
    <row r="497">
      <c r="A497">
        <f>IF('Per Invoice'!$V496="","",ROWS($A$3:A497))</f>
        <v/>
      </c>
      <c r="B497" s="11">
        <f>IF('Per Invoice'!$V496="","",'Per Invoice'!E496)</f>
        <v/>
      </c>
      <c r="C497">
        <f>IF('Per Invoice'!$V496="","",'Per Invoice'!G496)</f>
        <v/>
      </c>
      <c r="D497">
        <f>IF('Per Invoice'!$V496="","",'Per Invoice'!H496)</f>
        <v/>
      </c>
      <c r="E497">
        <f>IF('Per Invoice'!$V496="","",'Per Invoice'!F496)</f>
        <v/>
      </c>
      <c r="F497" s="7">
        <f>IF('Per Invoice'!$V496="","",'Per Invoice'!P496)</f>
        <v/>
      </c>
      <c r="G497" s="7">
        <f>IF('Per Invoice'!$V496="","",'Per Invoice'!Q496)</f>
        <v/>
      </c>
      <c r="H497" s="7">
        <f>IF('Per Invoice'!$V496="","",'Per Invoice'!M496)</f>
        <v/>
      </c>
      <c r="I497" s="7">
        <f>IF('Per Invoice'!$V496="","",'Per Invoice'!N496)</f>
        <v/>
      </c>
      <c r="J497" s="7">
        <f>IF('Per Invoice'!$V496="","",'Per Invoice'!K496)</f>
        <v/>
      </c>
      <c r="K497" s="7">
        <f>IF('Per Invoice'!$V496="","",'Per Invoice'!T496)</f>
        <v/>
      </c>
      <c r="L497" s="7">
        <f>IF('Per Invoice'!$V496="","",'Per Invoice'!S496)</f>
        <v/>
      </c>
    </row>
    <row r="498">
      <c r="A498">
        <f>IF('Per Invoice'!$V497="","",ROWS($A$3:A498))</f>
        <v/>
      </c>
      <c r="B498" s="11">
        <f>IF('Per Invoice'!$V497="","",'Per Invoice'!E497)</f>
        <v/>
      </c>
      <c r="C498">
        <f>IF('Per Invoice'!$V497="","",'Per Invoice'!G497)</f>
        <v/>
      </c>
      <c r="D498">
        <f>IF('Per Invoice'!$V497="","",'Per Invoice'!H497)</f>
        <v/>
      </c>
      <c r="E498">
        <f>IF('Per Invoice'!$V497="","",'Per Invoice'!F497)</f>
        <v/>
      </c>
      <c r="F498" s="7">
        <f>IF('Per Invoice'!$V497="","",'Per Invoice'!P497)</f>
        <v/>
      </c>
      <c r="G498" s="7">
        <f>IF('Per Invoice'!$V497="","",'Per Invoice'!Q497)</f>
        <v/>
      </c>
      <c r="H498" s="7">
        <f>IF('Per Invoice'!$V497="","",'Per Invoice'!M497)</f>
        <v/>
      </c>
      <c r="I498" s="7">
        <f>IF('Per Invoice'!$V497="","",'Per Invoice'!N497)</f>
        <v/>
      </c>
      <c r="J498" s="7">
        <f>IF('Per Invoice'!$V497="","",'Per Invoice'!K497)</f>
        <v/>
      </c>
      <c r="K498" s="7">
        <f>IF('Per Invoice'!$V497="","",'Per Invoice'!T497)</f>
        <v/>
      </c>
      <c r="L498" s="7">
        <f>IF('Per Invoice'!$V497="","",'Per Invoice'!S497)</f>
        <v/>
      </c>
    </row>
    <row r="499">
      <c r="A499">
        <f>IF('Per Invoice'!$V498="","",ROWS($A$3:A499))</f>
        <v/>
      </c>
      <c r="B499" s="11">
        <f>IF('Per Invoice'!$V498="","",'Per Invoice'!E498)</f>
        <v/>
      </c>
      <c r="C499">
        <f>IF('Per Invoice'!$V498="","",'Per Invoice'!G498)</f>
        <v/>
      </c>
      <c r="D499">
        <f>IF('Per Invoice'!$V498="","",'Per Invoice'!H498)</f>
        <v/>
      </c>
      <c r="E499">
        <f>IF('Per Invoice'!$V498="","",'Per Invoice'!F498)</f>
        <v/>
      </c>
      <c r="F499" s="7">
        <f>IF('Per Invoice'!$V498="","",'Per Invoice'!P498)</f>
        <v/>
      </c>
      <c r="G499" s="7">
        <f>IF('Per Invoice'!$V498="","",'Per Invoice'!Q498)</f>
        <v/>
      </c>
      <c r="H499" s="7">
        <f>IF('Per Invoice'!$V498="","",'Per Invoice'!M498)</f>
        <v/>
      </c>
      <c r="I499" s="7">
        <f>IF('Per Invoice'!$V498="","",'Per Invoice'!N498)</f>
        <v/>
      </c>
      <c r="J499" s="7">
        <f>IF('Per Invoice'!$V498="","",'Per Invoice'!K498)</f>
        <v/>
      </c>
      <c r="K499" s="7">
        <f>IF('Per Invoice'!$V498="","",'Per Invoice'!T498)</f>
        <v/>
      </c>
      <c r="L499" s="7">
        <f>IF('Per Invoice'!$V498="","",'Per Invoice'!S498)</f>
        <v/>
      </c>
    </row>
    <row r="500">
      <c r="A500">
        <f>IF('Per Invoice'!$V499="","",ROWS($A$3:A500))</f>
        <v/>
      </c>
      <c r="B500" s="11">
        <f>IF('Per Invoice'!$V499="","",'Per Invoice'!E499)</f>
        <v/>
      </c>
      <c r="C500">
        <f>IF('Per Invoice'!$V499="","",'Per Invoice'!G499)</f>
        <v/>
      </c>
      <c r="D500">
        <f>IF('Per Invoice'!$V499="","",'Per Invoice'!H499)</f>
        <v/>
      </c>
      <c r="E500">
        <f>IF('Per Invoice'!$V499="","",'Per Invoice'!F499)</f>
        <v/>
      </c>
      <c r="F500" s="7">
        <f>IF('Per Invoice'!$V499="","",'Per Invoice'!P499)</f>
        <v/>
      </c>
      <c r="G500" s="7">
        <f>IF('Per Invoice'!$V499="","",'Per Invoice'!Q499)</f>
        <v/>
      </c>
      <c r="H500" s="7">
        <f>IF('Per Invoice'!$V499="","",'Per Invoice'!M499)</f>
        <v/>
      </c>
      <c r="I500" s="7">
        <f>IF('Per Invoice'!$V499="","",'Per Invoice'!N499)</f>
        <v/>
      </c>
      <c r="J500" s="7">
        <f>IF('Per Invoice'!$V499="","",'Per Invoice'!K499)</f>
        <v/>
      </c>
      <c r="K500" s="7">
        <f>IF('Per Invoice'!$V499="","",'Per Invoice'!T499)</f>
        <v/>
      </c>
      <c r="L500" s="7">
        <f>IF('Per Invoice'!$V499="","",'Per Invoice'!S499)</f>
        <v/>
      </c>
    </row>
    <row r="501">
      <c r="A501">
        <f>IF('Per Invoice'!$V500="","",ROWS($A$3:A501))</f>
        <v/>
      </c>
      <c r="B501" s="11">
        <f>IF('Per Invoice'!$V500="","",'Per Invoice'!E500)</f>
        <v/>
      </c>
      <c r="C501">
        <f>IF('Per Invoice'!$V500="","",'Per Invoice'!G500)</f>
        <v/>
      </c>
      <c r="D501">
        <f>IF('Per Invoice'!$V500="","",'Per Invoice'!H500)</f>
        <v/>
      </c>
      <c r="E501">
        <f>IF('Per Invoice'!$V500="","",'Per Invoice'!F500)</f>
        <v/>
      </c>
      <c r="F501" s="7">
        <f>IF('Per Invoice'!$V500="","",'Per Invoice'!P500)</f>
        <v/>
      </c>
      <c r="G501" s="7">
        <f>IF('Per Invoice'!$V500="","",'Per Invoice'!Q500)</f>
        <v/>
      </c>
      <c r="H501" s="7">
        <f>IF('Per Invoice'!$V500="","",'Per Invoice'!M500)</f>
        <v/>
      </c>
      <c r="I501" s="7">
        <f>IF('Per Invoice'!$V500="","",'Per Invoice'!N500)</f>
        <v/>
      </c>
      <c r="J501" s="7">
        <f>IF('Per Invoice'!$V500="","",'Per Invoice'!K500)</f>
        <v/>
      </c>
      <c r="K501" s="7">
        <f>IF('Per Invoice'!$V500="","",'Per Invoice'!T500)</f>
        <v/>
      </c>
      <c r="L501" s="7">
        <f>IF('Per Invoice'!$V500="","",'Per Invoice'!S500)</f>
        <v/>
      </c>
    </row>
    <row r="502">
      <c r="A502">
        <f>IF('Per Invoice'!$V501="","",ROWS($A$3:A502))</f>
        <v/>
      </c>
      <c r="B502" s="11">
        <f>IF('Per Invoice'!$V501="","",'Per Invoice'!E501)</f>
        <v/>
      </c>
      <c r="C502">
        <f>IF('Per Invoice'!$V501="","",'Per Invoice'!G501)</f>
        <v/>
      </c>
      <c r="D502">
        <f>IF('Per Invoice'!$V501="","",'Per Invoice'!H501)</f>
        <v/>
      </c>
      <c r="E502">
        <f>IF('Per Invoice'!$V501="","",'Per Invoice'!F501)</f>
        <v/>
      </c>
      <c r="F502" s="7">
        <f>IF('Per Invoice'!$V501="","",'Per Invoice'!P501)</f>
        <v/>
      </c>
      <c r="G502" s="7">
        <f>IF('Per Invoice'!$V501="","",'Per Invoice'!Q501)</f>
        <v/>
      </c>
      <c r="H502" s="7">
        <f>IF('Per Invoice'!$V501="","",'Per Invoice'!M501)</f>
        <v/>
      </c>
      <c r="I502" s="7">
        <f>IF('Per Invoice'!$V501="","",'Per Invoice'!N501)</f>
        <v/>
      </c>
      <c r="J502" s="7">
        <f>IF('Per Invoice'!$V501="","",'Per Invoice'!K501)</f>
        <v/>
      </c>
      <c r="K502" s="7">
        <f>IF('Per Invoice'!$V501="","",'Per Invoice'!T501)</f>
        <v/>
      </c>
      <c r="L502" s="7">
        <f>IF('Per Invoice'!$V501="","",'Per Invoice'!S501)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2026-10-12T10:25:23Z</dcterms:created>
  <dcterms:modified xmlns:dcterms="http://purl.org/dc/terms/" xmlns:xsi="http://www.w3.org/2001/XMLSchema-instance" xsi:type="dcterms:W3CDTF">2026-10-12T10:25:24Z</dcterms:modified>
</cp:coreProperties>
</file>