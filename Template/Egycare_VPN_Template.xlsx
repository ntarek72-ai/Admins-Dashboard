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Line'!$A$1:$AE$501</definedName>
    <definedName name="_xlnm._FilterDatabase" localSheetId="3" hidden="1">'Per Invoice'!$A$1:$W$201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EGYCARE (VPN)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O-U, Y-Z (same order as the system export).</t>
        </is>
      </c>
    </row>
    <row r="6">
      <c r="A6" s="3" t="inlineStr">
        <is>
          <t>3. Green columns (N, V, W, X, AA) and the grey helper columns (AB-AE)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H 'CARD', V 'Comment'.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July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'Item Total Price (EGP)')</t>
        </is>
      </c>
    </row>
    <row r="16">
      <c r="A16" s="3" t="inlineStr">
        <is>
          <t>Rebates per line = Local rate (11%) if Local is TRUE, otherwise Imported rate (4%).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EGYCARE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VPN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0.11</v>
      </c>
      <c r="D6" t="inlineStr">
        <is>
          <t>Source: July sheet (Rebates = 11 when Imported = FALSE).</t>
        </is>
      </c>
    </row>
    <row r="7">
      <c r="B7" t="inlineStr">
        <is>
          <t>Imported (IMP) products rebate %</t>
        </is>
      </c>
      <c r="C7" s="5" t="n">
        <v>0.04</v>
      </c>
      <c r="D7" t="inlineStr">
        <is>
          <t>Source: July sheet (Rebates = 4 when Imported = TRUE).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Line'!$C$2:$C$501)</f>
        <v/>
      </c>
    </row>
    <row r="11">
      <c r="B11" t="inlineStr">
        <is>
          <t>Invoices (unique Order #)</t>
        </is>
      </c>
      <c r="C11">
        <f>MAX('Per Line'!$AC$2:$AC$501)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Line'!$Y$2:$Y$501)</f>
        <v/>
      </c>
    </row>
    <row r="14">
      <c r="B14" t="inlineStr">
        <is>
          <t>Grand Total - Per Invoice</t>
        </is>
      </c>
      <c r="C14" s="7">
        <f>SUM('Per Invoice'!$T$2:$T$201)</f>
        <v/>
      </c>
    </row>
    <row r="15">
      <c r="B15" t="inlineStr">
        <is>
          <t>Discount - Per Line</t>
        </is>
      </c>
      <c r="C15" s="7">
        <f>SUM('Per Line'!$V$2:$V$501)</f>
        <v/>
      </c>
    </row>
    <row r="16">
      <c r="B16" t="inlineStr">
        <is>
          <t>Discount - Per Invoice</t>
        </is>
      </c>
      <c r="C16" s="7">
        <f>SUM('Per Invoice'!$R$2:$R$201)</f>
        <v/>
      </c>
    </row>
    <row r="17">
      <c r="B17" t="inlineStr">
        <is>
          <t>Co val - Per Line</t>
        </is>
      </c>
      <c r="C17" s="7">
        <f>SUM('Per Line'!$N$2:$N$501)</f>
        <v/>
      </c>
    </row>
    <row r="18">
      <c r="B18" t="inlineStr">
        <is>
          <t>Co val - Per Invoice</t>
        </is>
      </c>
      <c r="C18" s="7">
        <f>SUM('Per Invoice'!$J$2:$J$201)</f>
        <v/>
      </c>
    </row>
    <row r="19">
      <c r="B19" t="inlineStr">
        <is>
          <t>Net - Per Line</t>
        </is>
      </c>
      <c r="C19" s="7">
        <f>SUM('Per Line'!$X$2:$X$501)</f>
        <v/>
      </c>
    </row>
    <row r="20">
      <c r="B20" t="inlineStr">
        <is>
          <t>Net - Per Invoice</t>
        </is>
      </c>
      <c r="C20" s="7">
        <f>SUM('Per Invoice'!$U$2:$U$201)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Line'!$C:$C)-1&gt;500,"TOO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1" customWidth="1" min="23" max="23"/>
    <col width="11" customWidth="1" min="24" max="24"/>
    <col width="12" customWidth="1" min="25" max="25"/>
    <col width="12" customWidth="1" min="26" max="26"/>
    <col width="11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32" customHeight="1">
      <c r="A1" s="8" t="inlineStr">
        <is>
          <t>ERX ID</t>
        </is>
      </c>
      <c r="B1" s="8" t="inlineStr">
        <is>
          <t>Mongo Order ID</t>
        </is>
      </c>
      <c r="C1" s="8" t="inlineStr">
        <is>
          <t>Order Number</t>
        </is>
      </c>
      <c r="D1" s="8" t="inlineStr">
        <is>
          <t>Approval Number</t>
        </is>
      </c>
      <c r="E1" s="8" t="inlineStr">
        <is>
          <t>Approval Reference</t>
        </is>
      </c>
      <c r="F1" s="8" t="inlineStr">
        <is>
          <t>Order Status</t>
        </is>
      </c>
      <c r="G1" s="8" t="inlineStr">
        <is>
          <t>Total (EGP)</t>
        </is>
      </c>
      <c r="H1" s="8" t="inlineStr">
        <is>
          <t>By Patient (EGP)</t>
        </is>
      </c>
      <c r="I1" s="8" t="inlineStr">
        <is>
          <t>Order Type</t>
        </is>
      </c>
      <c r="J1" s="8" t="inlineStr">
        <is>
          <t>Original Order Type</t>
        </is>
      </c>
      <c r="K1" s="8" t="inlineStr">
        <is>
          <t>Payer</t>
        </is>
      </c>
      <c r="L1" s="8" t="inlineStr">
        <is>
          <t>Card Holder Name</t>
        </is>
      </c>
      <c r="M1" s="8" t="inlineStr">
        <is>
          <t>Co Payment (%)</t>
        </is>
      </c>
      <c r="N1" s="9" t="inlineStr">
        <is>
          <t>Co val</t>
        </is>
      </c>
      <c r="O1" s="8" t="inlineStr">
        <is>
          <t>Creation Date</t>
        </is>
      </c>
      <c r="P1" s="8" t="inlineStr">
        <is>
          <t>Heisenberg ID</t>
        </is>
      </c>
      <c r="Q1" s="8" t="inlineStr">
        <is>
          <t>Item</t>
        </is>
      </c>
      <c r="R1" s="8" t="inlineStr">
        <is>
          <t>Item Unit</t>
        </is>
      </c>
      <c r="S1" s="8" t="inlineStr">
        <is>
          <t>Item Form</t>
        </is>
      </c>
      <c r="T1" s="8" t="inlineStr">
        <is>
          <t>Item Price (EGP)</t>
        </is>
      </c>
      <c r="U1" s="8" t="inlineStr">
        <is>
          <t>Item Quantity</t>
        </is>
      </c>
      <c r="V1" s="9" t="inlineStr">
        <is>
          <t>Discount</t>
        </is>
      </c>
      <c r="W1" s="9" t="inlineStr">
        <is>
          <t>Subtotal</t>
        </is>
      </c>
      <c r="X1" s="9" t="inlineStr">
        <is>
          <t>Net</t>
        </is>
      </c>
      <c r="Y1" s="8" t="inlineStr">
        <is>
          <t>Item Total Price (EGP)</t>
        </is>
      </c>
      <c r="Z1" s="8" t="inlineStr">
        <is>
          <t>Imported</t>
        </is>
      </c>
      <c r="AA1" s="9" t="inlineStr">
        <is>
          <t>Rebates</t>
        </is>
      </c>
      <c r="AB1" s="10" t="inlineStr">
        <is>
          <t>Order 1st Row (helper)</t>
        </is>
      </c>
      <c r="AC1" s="10" t="inlineStr">
        <is>
          <t>Invoice # (helper)</t>
        </is>
      </c>
      <c r="AD1" s="10" t="inlineStr">
        <is>
          <t>Is Local (helper)</t>
        </is>
      </c>
      <c r="AE1" s="10" t="inlineStr">
        <is>
          <t>Sort Key (helper)</t>
        </is>
      </c>
    </row>
    <row r="2">
      <c r="G2" s="7" t="n"/>
      <c r="H2" s="7" t="n"/>
      <c r="N2" s="7">
        <f>IF($C2="","",M2*Y2/100)</f>
        <v/>
      </c>
      <c r="O2" s="11" t="n"/>
      <c r="T2" s="7" t="n"/>
      <c r="V2" s="7">
        <f>IF($C2="","",Y2*AA2/100)</f>
        <v/>
      </c>
      <c r="W2" s="7">
        <f>IF($C2="","",Y2-V2)</f>
        <v/>
      </c>
      <c r="X2" s="7">
        <f>IF($C2="","",W2-N2)</f>
        <v/>
      </c>
      <c r="Y2" s="7" t="n"/>
      <c r="AA2">
        <f>IF($C2="","",IF($AD2=1,Settings!$C$6,Settings!$C$7)*100)</f>
        <v/>
      </c>
      <c r="AB2">
        <f>IF($C2="","",IF(COUNTIF($C$2:$C2,$C2)=1,1,0))</f>
        <v/>
      </c>
      <c r="AC2">
        <f>IF($AB2=1,SUMPRODUCT(--($AE$2:$AE$501&lt;$AE2))+1,"")</f>
        <v/>
      </c>
      <c r="AD2">
        <f>IF($C2="","",IF(OR($Z2=TRUE(),$Z2="TRUE"),0,1))</f>
        <v/>
      </c>
      <c r="AE2">
        <f>IF($AB2=1,IFERROR(IF(VALUE($C2)&lt;100000000,VALUE($C2),1000000000),IFERROR(IF(VALUE(MID($C2,2,20))&lt;100000000,VALUE(MID($C2,2,20)),1000000000),1000000000))+ROW()/100000,"")</f>
        <v/>
      </c>
    </row>
    <row r="3">
      <c r="G3" s="7" t="n"/>
      <c r="H3" s="7" t="n"/>
      <c r="N3" s="7">
        <f>IF($C3="","",M3*Y3/100)</f>
        <v/>
      </c>
      <c r="O3" s="11" t="n"/>
      <c r="T3" s="7" t="n"/>
      <c r="V3" s="7">
        <f>IF($C3="","",Y3*AA3/100)</f>
        <v/>
      </c>
      <c r="W3" s="7">
        <f>IF($C3="","",Y3-V3)</f>
        <v/>
      </c>
      <c r="X3" s="7">
        <f>IF($C3="","",W3-N3)</f>
        <v/>
      </c>
      <c r="Y3" s="7" t="n"/>
      <c r="AA3">
        <f>IF($C3="","",IF($AD3=1,Settings!$C$6,Settings!$C$7)*100)</f>
        <v/>
      </c>
      <c r="AB3">
        <f>IF($C3="","",IF(COUNTIF($C$2:$C3,$C3)=1,1,0))</f>
        <v/>
      </c>
      <c r="AC3">
        <f>IF($AB3=1,SUMPRODUCT(--($AE$2:$AE$501&lt;$AE3))+1,"")</f>
        <v/>
      </c>
      <c r="AD3">
        <f>IF($C3="","",IF(OR($Z3=TRUE(),$Z3="TRUE"),0,1))</f>
        <v/>
      </c>
      <c r="AE3">
        <f>IF($AB3=1,IFERROR(IF(VALUE($C3)&lt;100000000,VALUE($C3),1000000000),IFERROR(IF(VALUE(MID($C3,2,20))&lt;100000000,VALUE(MID($C3,2,20)),1000000000),1000000000))+ROW()/100000,"")</f>
        <v/>
      </c>
    </row>
    <row r="4">
      <c r="G4" s="7" t="n"/>
      <c r="H4" s="7" t="n"/>
      <c r="N4" s="7">
        <f>IF($C4="","",M4*Y4/100)</f>
        <v/>
      </c>
      <c r="O4" s="11" t="n"/>
      <c r="T4" s="7" t="n"/>
      <c r="V4" s="7">
        <f>IF($C4="","",Y4*AA4/100)</f>
        <v/>
      </c>
      <c r="W4" s="7">
        <f>IF($C4="","",Y4-V4)</f>
        <v/>
      </c>
      <c r="X4" s="7">
        <f>IF($C4="","",W4-N4)</f>
        <v/>
      </c>
      <c r="Y4" s="7" t="n"/>
      <c r="AA4">
        <f>IF($C4="","",IF($AD4=1,Settings!$C$6,Settings!$C$7)*100)</f>
        <v/>
      </c>
      <c r="AB4">
        <f>IF($C4="","",IF(COUNTIF($C$2:$C4,$C4)=1,1,0))</f>
        <v/>
      </c>
      <c r="AC4">
        <f>IF($AB4=1,SUMPRODUCT(--($AE$2:$AE$501&lt;$AE4))+1,"")</f>
        <v/>
      </c>
      <c r="AD4">
        <f>IF($C4="","",IF(OR($Z4=TRUE(),$Z4="TRUE"),0,1))</f>
        <v/>
      </c>
      <c r="AE4">
        <f>IF($AB4=1,IFERROR(IF(VALUE($C4)&lt;100000000,VALUE($C4),1000000000),IFERROR(IF(VALUE(MID($C4,2,20))&lt;100000000,VALUE(MID($C4,2,20)),1000000000),1000000000))+ROW()/100000,"")</f>
        <v/>
      </c>
    </row>
    <row r="5">
      <c r="G5" s="7" t="n"/>
      <c r="H5" s="7" t="n"/>
      <c r="N5" s="7">
        <f>IF($C5="","",M5*Y5/100)</f>
        <v/>
      </c>
      <c r="O5" s="11" t="n"/>
      <c r="T5" s="7" t="n"/>
      <c r="V5" s="7">
        <f>IF($C5="","",Y5*AA5/100)</f>
        <v/>
      </c>
      <c r="W5" s="7">
        <f>IF($C5="","",Y5-V5)</f>
        <v/>
      </c>
      <c r="X5" s="7">
        <f>IF($C5="","",W5-N5)</f>
        <v/>
      </c>
      <c r="Y5" s="7" t="n"/>
      <c r="AA5">
        <f>IF($C5="","",IF($AD5=1,Settings!$C$6,Settings!$C$7)*100)</f>
        <v/>
      </c>
      <c r="AB5">
        <f>IF($C5="","",IF(COUNTIF($C$2:$C5,$C5)=1,1,0))</f>
        <v/>
      </c>
      <c r="AC5">
        <f>IF($AB5=1,SUMPRODUCT(--($AE$2:$AE$501&lt;$AE5))+1,"")</f>
        <v/>
      </c>
      <c r="AD5">
        <f>IF($C5="","",IF(OR($Z5=TRUE(),$Z5="TRUE"),0,1))</f>
        <v/>
      </c>
      <c r="AE5">
        <f>IF($AB5=1,IFERROR(IF(VALUE($C5)&lt;100000000,VALUE($C5),1000000000),IFERROR(IF(VALUE(MID($C5,2,20))&lt;100000000,VALUE(MID($C5,2,20)),1000000000),1000000000))+ROW()/100000,"")</f>
        <v/>
      </c>
    </row>
    <row r="6">
      <c r="G6" s="7" t="n"/>
      <c r="H6" s="7" t="n"/>
      <c r="N6" s="7">
        <f>IF($C6="","",M6*Y6/100)</f>
        <v/>
      </c>
      <c r="O6" s="11" t="n"/>
      <c r="T6" s="7" t="n"/>
      <c r="V6" s="7">
        <f>IF($C6="","",Y6*AA6/100)</f>
        <v/>
      </c>
      <c r="W6" s="7">
        <f>IF($C6="","",Y6-V6)</f>
        <v/>
      </c>
      <c r="X6" s="7">
        <f>IF($C6="","",W6-N6)</f>
        <v/>
      </c>
      <c r="Y6" s="7" t="n"/>
      <c r="AA6">
        <f>IF($C6="","",IF($AD6=1,Settings!$C$6,Settings!$C$7)*100)</f>
        <v/>
      </c>
      <c r="AB6">
        <f>IF($C6="","",IF(COUNTIF($C$2:$C6,$C6)=1,1,0))</f>
        <v/>
      </c>
      <c r="AC6">
        <f>IF($AB6=1,SUMPRODUCT(--($AE$2:$AE$501&lt;$AE6))+1,"")</f>
        <v/>
      </c>
      <c r="AD6">
        <f>IF($C6="","",IF(OR($Z6=TRUE(),$Z6="TRUE"),0,1))</f>
        <v/>
      </c>
      <c r="AE6">
        <f>IF($AB6=1,IFERROR(IF(VALUE($C6)&lt;100000000,VALUE($C6),1000000000),IFERROR(IF(VALUE(MID($C6,2,20))&lt;100000000,VALUE(MID($C6,2,20)),1000000000),1000000000))+ROW()/100000,"")</f>
        <v/>
      </c>
    </row>
    <row r="7">
      <c r="G7" s="7" t="n"/>
      <c r="H7" s="7" t="n"/>
      <c r="N7" s="7">
        <f>IF($C7="","",M7*Y7/100)</f>
        <v/>
      </c>
      <c r="O7" s="11" t="n"/>
      <c r="T7" s="7" t="n"/>
      <c r="V7" s="7">
        <f>IF($C7="","",Y7*AA7/100)</f>
        <v/>
      </c>
      <c r="W7" s="7">
        <f>IF($C7="","",Y7-V7)</f>
        <v/>
      </c>
      <c r="X7" s="7">
        <f>IF($C7="","",W7-N7)</f>
        <v/>
      </c>
      <c r="Y7" s="7" t="n"/>
      <c r="AA7">
        <f>IF($C7="","",IF($AD7=1,Settings!$C$6,Settings!$C$7)*100)</f>
        <v/>
      </c>
      <c r="AB7">
        <f>IF($C7="","",IF(COUNTIF($C$2:$C7,$C7)=1,1,0))</f>
        <v/>
      </c>
      <c r="AC7">
        <f>IF($AB7=1,SUMPRODUCT(--($AE$2:$AE$501&lt;$AE7))+1,"")</f>
        <v/>
      </c>
      <c r="AD7">
        <f>IF($C7="","",IF(OR($Z7=TRUE(),$Z7="TRUE"),0,1))</f>
        <v/>
      </c>
      <c r="AE7">
        <f>IF($AB7=1,IFERROR(IF(VALUE($C7)&lt;100000000,VALUE($C7),1000000000),IFERROR(IF(VALUE(MID($C7,2,20))&lt;100000000,VALUE(MID($C7,2,20)),1000000000),1000000000))+ROW()/100000,"")</f>
        <v/>
      </c>
    </row>
    <row r="8">
      <c r="G8" s="7" t="n"/>
      <c r="H8" s="7" t="n"/>
      <c r="N8" s="7">
        <f>IF($C8="","",M8*Y8/100)</f>
        <v/>
      </c>
      <c r="O8" s="11" t="n"/>
      <c r="T8" s="7" t="n"/>
      <c r="V8" s="7">
        <f>IF($C8="","",Y8*AA8/100)</f>
        <v/>
      </c>
      <c r="W8" s="7">
        <f>IF($C8="","",Y8-V8)</f>
        <v/>
      </c>
      <c r="X8" s="7">
        <f>IF($C8="","",W8-N8)</f>
        <v/>
      </c>
      <c r="Y8" s="7" t="n"/>
      <c r="AA8">
        <f>IF($C8="","",IF($AD8=1,Settings!$C$6,Settings!$C$7)*100)</f>
        <v/>
      </c>
      <c r="AB8">
        <f>IF($C8="","",IF(COUNTIF($C$2:$C8,$C8)=1,1,0))</f>
        <v/>
      </c>
      <c r="AC8">
        <f>IF($AB8=1,SUMPRODUCT(--($AE$2:$AE$501&lt;$AE8))+1,"")</f>
        <v/>
      </c>
      <c r="AD8">
        <f>IF($C8="","",IF(OR($Z8=TRUE(),$Z8="TRUE"),0,1))</f>
        <v/>
      </c>
      <c r="AE8">
        <f>IF($AB8=1,IFERROR(IF(VALUE($C8)&lt;100000000,VALUE($C8),1000000000),IFERROR(IF(VALUE(MID($C8,2,20))&lt;100000000,VALUE(MID($C8,2,20)),1000000000),1000000000))+ROW()/100000,"")</f>
        <v/>
      </c>
    </row>
    <row r="9">
      <c r="G9" s="7" t="n"/>
      <c r="H9" s="7" t="n"/>
      <c r="N9" s="7">
        <f>IF($C9="","",M9*Y9/100)</f>
        <v/>
      </c>
      <c r="O9" s="11" t="n"/>
      <c r="T9" s="7" t="n"/>
      <c r="V9" s="7">
        <f>IF($C9="","",Y9*AA9/100)</f>
        <v/>
      </c>
      <c r="W9" s="7">
        <f>IF($C9="","",Y9-V9)</f>
        <v/>
      </c>
      <c r="X9" s="7">
        <f>IF($C9="","",W9-N9)</f>
        <v/>
      </c>
      <c r="Y9" s="7" t="n"/>
      <c r="AA9">
        <f>IF($C9="","",IF($AD9=1,Settings!$C$6,Settings!$C$7)*100)</f>
        <v/>
      </c>
      <c r="AB9">
        <f>IF($C9="","",IF(COUNTIF($C$2:$C9,$C9)=1,1,0))</f>
        <v/>
      </c>
      <c r="AC9">
        <f>IF($AB9=1,SUMPRODUCT(--($AE$2:$AE$501&lt;$AE9))+1,"")</f>
        <v/>
      </c>
      <c r="AD9">
        <f>IF($C9="","",IF(OR($Z9=TRUE(),$Z9="TRUE"),0,1))</f>
        <v/>
      </c>
      <c r="AE9">
        <f>IF($AB9=1,IFERROR(IF(VALUE($C9)&lt;100000000,VALUE($C9),1000000000),IFERROR(IF(VALUE(MID($C9,2,20))&lt;100000000,VALUE(MID($C9,2,20)),1000000000),1000000000))+ROW()/100000,"")</f>
        <v/>
      </c>
    </row>
    <row r="10">
      <c r="G10" s="7" t="n"/>
      <c r="H10" s="7" t="n"/>
      <c r="N10" s="7">
        <f>IF($C10="","",M10*Y10/100)</f>
        <v/>
      </c>
      <c r="O10" s="11" t="n"/>
      <c r="T10" s="7" t="n"/>
      <c r="V10" s="7">
        <f>IF($C10="","",Y10*AA10/100)</f>
        <v/>
      </c>
      <c r="W10" s="7">
        <f>IF($C10="","",Y10-V10)</f>
        <v/>
      </c>
      <c r="X10" s="7">
        <f>IF($C10="","",W10-N10)</f>
        <v/>
      </c>
      <c r="Y10" s="7" t="n"/>
      <c r="AA10">
        <f>IF($C10="","",IF($AD10=1,Settings!$C$6,Settings!$C$7)*100)</f>
        <v/>
      </c>
      <c r="AB10">
        <f>IF($C10="","",IF(COUNTIF($C$2:$C10,$C10)=1,1,0))</f>
        <v/>
      </c>
      <c r="AC10">
        <f>IF($AB10=1,SUMPRODUCT(--($AE$2:$AE$501&lt;$AE10))+1,"")</f>
        <v/>
      </c>
      <c r="AD10">
        <f>IF($C10="","",IF(OR($Z10=TRUE(),$Z10="TRUE"),0,1))</f>
        <v/>
      </c>
      <c r="AE10">
        <f>IF($AB10=1,IFERROR(IF(VALUE($C10)&lt;100000000,VALUE($C10),1000000000),IFERROR(IF(VALUE(MID($C10,2,20))&lt;100000000,VALUE(MID($C10,2,20)),1000000000),1000000000))+ROW()/100000,"")</f>
        <v/>
      </c>
    </row>
    <row r="11">
      <c r="G11" s="7" t="n"/>
      <c r="H11" s="7" t="n"/>
      <c r="N11" s="7">
        <f>IF($C11="","",M11*Y11/100)</f>
        <v/>
      </c>
      <c r="O11" s="11" t="n"/>
      <c r="T11" s="7" t="n"/>
      <c r="V11" s="7">
        <f>IF($C11="","",Y11*AA11/100)</f>
        <v/>
      </c>
      <c r="W11" s="7">
        <f>IF($C11="","",Y11-V11)</f>
        <v/>
      </c>
      <c r="X11" s="7">
        <f>IF($C11="","",W11-N11)</f>
        <v/>
      </c>
      <c r="Y11" s="7" t="n"/>
      <c r="AA11">
        <f>IF($C11="","",IF($AD11=1,Settings!$C$6,Settings!$C$7)*100)</f>
        <v/>
      </c>
      <c r="AB11">
        <f>IF($C11="","",IF(COUNTIF($C$2:$C11,$C11)=1,1,0))</f>
        <v/>
      </c>
      <c r="AC11">
        <f>IF($AB11=1,SUMPRODUCT(--($AE$2:$AE$501&lt;$AE11))+1,"")</f>
        <v/>
      </c>
      <c r="AD11">
        <f>IF($C11="","",IF(OR($Z11=TRUE(),$Z11="TRUE"),0,1))</f>
        <v/>
      </c>
      <c r="AE11">
        <f>IF($AB11=1,IFERROR(IF(VALUE($C11)&lt;100000000,VALUE($C11),1000000000),IFERROR(IF(VALUE(MID($C11,2,20))&lt;100000000,VALUE(MID($C11,2,20)),1000000000),1000000000))+ROW()/100000,"")</f>
        <v/>
      </c>
    </row>
    <row r="12">
      <c r="G12" s="7" t="n"/>
      <c r="H12" s="7" t="n"/>
      <c r="N12" s="7">
        <f>IF($C12="","",M12*Y12/100)</f>
        <v/>
      </c>
      <c r="O12" s="11" t="n"/>
      <c r="T12" s="7" t="n"/>
      <c r="V12" s="7">
        <f>IF($C12="","",Y12*AA12/100)</f>
        <v/>
      </c>
      <c r="W12" s="7">
        <f>IF($C12="","",Y12-V12)</f>
        <v/>
      </c>
      <c r="X12" s="7">
        <f>IF($C12="","",W12-N12)</f>
        <v/>
      </c>
      <c r="Y12" s="7" t="n"/>
      <c r="AA12">
        <f>IF($C12="","",IF($AD12=1,Settings!$C$6,Settings!$C$7)*100)</f>
        <v/>
      </c>
      <c r="AB12">
        <f>IF($C12="","",IF(COUNTIF($C$2:$C12,$C12)=1,1,0))</f>
        <v/>
      </c>
      <c r="AC12">
        <f>IF($AB12=1,SUMPRODUCT(--($AE$2:$AE$501&lt;$AE12))+1,"")</f>
        <v/>
      </c>
      <c r="AD12">
        <f>IF($C12="","",IF(OR($Z12=TRUE(),$Z12="TRUE"),0,1))</f>
        <v/>
      </c>
      <c r="AE12">
        <f>IF($AB12=1,IFERROR(IF(VALUE($C12)&lt;100000000,VALUE($C12),1000000000),IFERROR(IF(VALUE(MID($C12,2,20))&lt;100000000,VALUE(MID($C12,2,20)),1000000000),1000000000))+ROW()/100000,"")</f>
        <v/>
      </c>
    </row>
    <row r="13">
      <c r="G13" s="7" t="n"/>
      <c r="H13" s="7" t="n"/>
      <c r="N13" s="7">
        <f>IF($C13="","",M13*Y13/100)</f>
        <v/>
      </c>
      <c r="O13" s="11" t="n"/>
      <c r="T13" s="7" t="n"/>
      <c r="V13" s="7">
        <f>IF($C13="","",Y13*AA13/100)</f>
        <v/>
      </c>
      <c r="W13" s="7">
        <f>IF($C13="","",Y13-V13)</f>
        <v/>
      </c>
      <c r="X13" s="7">
        <f>IF($C13="","",W13-N13)</f>
        <v/>
      </c>
      <c r="Y13" s="7" t="n"/>
      <c r="AA13">
        <f>IF($C13="","",IF($AD13=1,Settings!$C$6,Settings!$C$7)*100)</f>
        <v/>
      </c>
      <c r="AB13">
        <f>IF($C13="","",IF(COUNTIF($C$2:$C13,$C13)=1,1,0))</f>
        <v/>
      </c>
      <c r="AC13">
        <f>IF($AB13=1,SUMPRODUCT(--($AE$2:$AE$501&lt;$AE13))+1,"")</f>
        <v/>
      </c>
      <c r="AD13">
        <f>IF($C13="","",IF(OR($Z13=TRUE(),$Z13="TRUE"),0,1))</f>
        <v/>
      </c>
      <c r="AE13">
        <f>IF($AB13=1,IFERROR(IF(VALUE($C13)&lt;100000000,VALUE($C13),1000000000),IFERROR(IF(VALUE(MID($C13,2,20))&lt;100000000,VALUE(MID($C13,2,20)),1000000000),1000000000))+ROW()/100000,"")</f>
        <v/>
      </c>
    </row>
    <row r="14">
      <c r="G14" s="7" t="n"/>
      <c r="H14" s="7" t="n"/>
      <c r="N14" s="7">
        <f>IF($C14="","",M14*Y14/100)</f>
        <v/>
      </c>
      <c r="O14" s="11" t="n"/>
      <c r="T14" s="7" t="n"/>
      <c r="V14" s="7">
        <f>IF($C14="","",Y14*AA14/100)</f>
        <v/>
      </c>
      <c r="W14" s="7">
        <f>IF($C14="","",Y14-V14)</f>
        <v/>
      </c>
      <c r="X14" s="7">
        <f>IF($C14="","",W14-N14)</f>
        <v/>
      </c>
      <c r="Y14" s="7" t="n"/>
      <c r="AA14">
        <f>IF($C14="","",IF($AD14=1,Settings!$C$6,Settings!$C$7)*100)</f>
        <v/>
      </c>
      <c r="AB14">
        <f>IF($C14="","",IF(COUNTIF($C$2:$C14,$C14)=1,1,0))</f>
        <v/>
      </c>
      <c r="AC14">
        <f>IF($AB14=1,SUMPRODUCT(--($AE$2:$AE$501&lt;$AE14))+1,"")</f>
        <v/>
      </c>
      <c r="AD14">
        <f>IF($C14="","",IF(OR($Z14=TRUE(),$Z14="TRUE"),0,1))</f>
        <v/>
      </c>
      <c r="AE14">
        <f>IF($AB14=1,IFERROR(IF(VALUE($C14)&lt;100000000,VALUE($C14),1000000000),IFERROR(IF(VALUE(MID($C14,2,20))&lt;100000000,VALUE(MID($C14,2,20)),1000000000),1000000000))+ROW()/100000,"")</f>
        <v/>
      </c>
    </row>
    <row r="15">
      <c r="G15" s="7" t="n"/>
      <c r="H15" s="7" t="n"/>
      <c r="N15" s="7">
        <f>IF($C15="","",M15*Y15/100)</f>
        <v/>
      </c>
      <c r="O15" s="11" t="n"/>
      <c r="T15" s="7" t="n"/>
      <c r="V15" s="7">
        <f>IF($C15="","",Y15*AA15/100)</f>
        <v/>
      </c>
      <c r="W15" s="7">
        <f>IF($C15="","",Y15-V15)</f>
        <v/>
      </c>
      <c r="X15" s="7">
        <f>IF($C15="","",W15-N15)</f>
        <v/>
      </c>
      <c r="Y15" s="7" t="n"/>
      <c r="AA15">
        <f>IF($C15="","",IF($AD15=1,Settings!$C$6,Settings!$C$7)*100)</f>
        <v/>
      </c>
      <c r="AB15">
        <f>IF($C15="","",IF(COUNTIF($C$2:$C15,$C15)=1,1,0))</f>
        <v/>
      </c>
      <c r="AC15">
        <f>IF($AB15=1,SUMPRODUCT(--($AE$2:$AE$501&lt;$AE15))+1,"")</f>
        <v/>
      </c>
      <c r="AD15">
        <f>IF($C15="","",IF(OR($Z15=TRUE(),$Z15="TRUE"),0,1))</f>
        <v/>
      </c>
      <c r="AE15">
        <f>IF($AB15=1,IFERROR(IF(VALUE($C15)&lt;100000000,VALUE($C15),1000000000),IFERROR(IF(VALUE(MID($C15,2,20))&lt;100000000,VALUE(MID($C15,2,20)),1000000000),1000000000))+ROW()/100000,"")</f>
        <v/>
      </c>
    </row>
    <row r="16">
      <c r="G16" s="7" t="n"/>
      <c r="H16" s="7" t="n"/>
      <c r="N16" s="7">
        <f>IF($C16="","",M16*Y16/100)</f>
        <v/>
      </c>
      <c r="O16" s="11" t="n"/>
      <c r="T16" s="7" t="n"/>
      <c r="V16" s="7">
        <f>IF($C16="","",Y16*AA16/100)</f>
        <v/>
      </c>
      <c r="W16" s="7">
        <f>IF($C16="","",Y16-V16)</f>
        <v/>
      </c>
      <c r="X16" s="7">
        <f>IF($C16="","",W16-N16)</f>
        <v/>
      </c>
      <c r="Y16" s="7" t="n"/>
      <c r="AA16">
        <f>IF($C16="","",IF($AD16=1,Settings!$C$6,Settings!$C$7)*100)</f>
        <v/>
      </c>
      <c r="AB16">
        <f>IF($C16="","",IF(COUNTIF($C$2:$C16,$C16)=1,1,0))</f>
        <v/>
      </c>
      <c r="AC16">
        <f>IF($AB16=1,SUMPRODUCT(--($AE$2:$AE$501&lt;$AE16))+1,"")</f>
        <v/>
      </c>
      <c r="AD16">
        <f>IF($C16="","",IF(OR($Z16=TRUE(),$Z16="TRUE"),0,1))</f>
        <v/>
      </c>
      <c r="AE16">
        <f>IF($AB16=1,IFERROR(IF(VALUE($C16)&lt;100000000,VALUE($C16),1000000000),IFERROR(IF(VALUE(MID($C16,2,20))&lt;100000000,VALUE(MID($C16,2,20)),1000000000),1000000000))+ROW()/100000,"")</f>
        <v/>
      </c>
    </row>
    <row r="17">
      <c r="G17" s="7" t="n"/>
      <c r="H17" s="7" t="n"/>
      <c r="N17" s="7">
        <f>IF($C17="","",M17*Y17/100)</f>
        <v/>
      </c>
      <c r="O17" s="11" t="n"/>
      <c r="T17" s="7" t="n"/>
      <c r="V17" s="7">
        <f>IF($C17="","",Y17*AA17/100)</f>
        <v/>
      </c>
      <c r="W17" s="7">
        <f>IF($C17="","",Y17-V17)</f>
        <v/>
      </c>
      <c r="X17" s="7">
        <f>IF($C17="","",W17-N17)</f>
        <v/>
      </c>
      <c r="Y17" s="7" t="n"/>
      <c r="AA17">
        <f>IF($C17="","",IF($AD17=1,Settings!$C$6,Settings!$C$7)*100)</f>
        <v/>
      </c>
      <c r="AB17">
        <f>IF($C17="","",IF(COUNTIF($C$2:$C17,$C17)=1,1,0))</f>
        <v/>
      </c>
      <c r="AC17">
        <f>IF($AB17=1,SUMPRODUCT(--($AE$2:$AE$501&lt;$AE17))+1,"")</f>
        <v/>
      </c>
      <c r="AD17">
        <f>IF($C17="","",IF(OR($Z17=TRUE(),$Z17="TRUE"),0,1))</f>
        <v/>
      </c>
      <c r="AE17">
        <f>IF($AB17=1,IFERROR(IF(VALUE($C17)&lt;100000000,VALUE($C17),1000000000),IFERROR(IF(VALUE(MID($C17,2,20))&lt;100000000,VALUE(MID($C17,2,20)),1000000000),1000000000))+ROW()/100000,"")</f>
        <v/>
      </c>
    </row>
    <row r="18">
      <c r="G18" s="7" t="n"/>
      <c r="H18" s="7" t="n"/>
      <c r="N18" s="7">
        <f>IF($C18="","",M18*Y18/100)</f>
        <v/>
      </c>
      <c r="O18" s="11" t="n"/>
      <c r="T18" s="7" t="n"/>
      <c r="V18" s="7">
        <f>IF($C18="","",Y18*AA18/100)</f>
        <v/>
      </c>
      <c r="W18" s="7">
        <f>IF($C18="","",Y18-V18)</f>
        <v/>
      </c>
      <c r="X18" s="7">
        <f>IF($C18="","",W18-N18)</f>
        <v/>
      </c>
      <c r="Y18" s="7" t="n"/>
      <c r="AA18">
        <f>IF($C18="","",IF($AD18=1,Settings!$C$6,Settings!$C$7)*100)</f>
        <v/>
      </c>
      <c r="AB18">
        <f>IF($C18="","",IF(COUNTIF($C$2:$C18,$C18)=1,1,0))</f>
        <v/>
      </c>
      <c r="AC18">
        <f>IF($AB18=1,SUMPRODUCT(--($AE$2:$AE$501&lt;$AE18))+1,"")</f>
        <v/>
      </c>
      <c r="AD18">
        <f>IF($C18="","",IF(OR($Z18=TRUE(),$Z18="TRUE"),0,1))</f>
        <v/>
      </c>
      <c r="AE18">
        <f>IF($AB18=1,IFERROR(IF(VALUE($C18)&lt;100000000,VALUE($C18),1000000000),IFERROR(IF(VALUE(MID($C18,2,20))&lt;100000000,VALUE(MID($C18,2,20)),1000000000),1000000000))+ROW()/100000,"")</f>
        <v/>
      </c>
    </row>
    <row r="19">
      <c r="G19" s="7" t="n"/>
      <c r="H19" s="7" t="n"/>
      <c r="N19" s="7">
        <f>IF($C19="","",M19*Y19/100)</f>
        <v/>
      </c>
      <c r="O19" s="11" t="n"/>
      <c r="T19" s="7" t="n"/>
      <c r="V19" s="7">
        <f>IF($C19="","",Y19*AA19/100)</f>
        <v/>
      </c>
      <c r="W19" s="7">
        <f>IF($C19="","",Y19-V19)</f>
        <v/>
      </c>
      <c r="X19" s="7">
        <f>IF($C19="","",W19-N19)</f>
        <v/>
      </c>
      <c r="Y19" s="7" t="n"/>
      <c r="AA19">
        <f>IF($C19="","",IF($AD19=1,Settings!$C$6,Settings!$C$7)*100)</f>
        <v/>
      </c>
      <c r="AB19">
        <f>IF($C19="","",IF(COUNTIF($C$2:$C19,$C19)=1,1,0))</f>
        <v/>
      </c>
      <c r="AC19">
        <f>IF($AB19=1,SUMPRODUCT(--($AE$2:$AE$501&lt;$AE19))+1,"")</f>
        <v/>
      </c>
      <c r="AD19">
        <f>IF($C19="","",IF(OR($Z19=TRUE(),$Z19="TRUE"),0,1))</f>
        <v/>
      </c>
      <c r="AE19">
        <f>IF($AB19=1,IFERROR(IF(VALUE($C19)&lt;100000000,VALUE($C19),1000000000),IFERROR(IF(VALUE(MID($C19,2,20))&lt;100000000,VALUE(MID($C19,2,20)),1000000000),1000000000))+ROW()/100000,"")</f>
        <v/>
      </c>
    </row>
    <row r="20">
      <c r="G20" s="7" t="n"/>
      <c r="H20" s="7" t="n"/>
      <c r="N20" s="7">
        <f>IF($C20="","",M20*Y20/100)</f>
        <v/>
      </c>
      <c r="O20" s="11" t="n"/>
      <c r="T20" s="7" t="n"/>
      <c r="V20" s="7">
        <f>IF($C20="","",Y20*AA20/100)</f>
        <v/>
      </c>
      <c r="W20" s="7">
        <f>IF($C20="","",Y20-V20)</f>
        <v/>
      </c>
      <c r="X20" s="7">
        <f>IF($C20="","",W20-N20)</f>
        <v/>
      </c>
      <c r="Y20" s="7" t="n"/>
      <c r="AA20">
        <f>IF($C20="","",IF($AD20=1,Settings!$C$6,Settings!$C$7)*100)</f>
        <v/>
      </c>
      <c r="AB20">
        <f>IF($C20="","",IF(COUNTIF($C$2:$C20,$C20)=1,1,0))</f>
        <v/>
      </c>
      <c r="AC20">
        <f>IF($AB20=1,SUMPRODUCT(--($AE$2:$AE$501&lt;$AE20))+1,"")</f>
        <v/>
      </c>
      <c r="AD20">
        <f>IF($C20="","",IF(OR($Z20=TRUE(),$Z20="TRUE"),0,1))</f>
        <v/>
      </c>
      <c r="AE20">
        <f>IF($AB20=1,IFERROR(IF(VALUE($C20)&lt;100000000,VALUE($C20),1000000000),IFERROR(IF(VALUE(MID($C20,2,20))&lt;100000000,VALUE(MID($C20,2,20)),1000000000),1000000000))+ROW()/100000,"")</f>
        <v/>
      </c>
    </row>
    <row r="21">
      <c r="G21" s="7" t="n"/>
      <c r="H21" s="7" t="n"/>
      <c r="N21" s="7">
        <f>IF($C21="","",M21*Y21/100)</f>
        <v/>
      </c>
      <c r="O21" s="11" t="n"/>
      <c r="T21" s="7" t="n"/>
      <c r="V21" s="7">
        <f>IF($C21="","",Y21*AA21/100)</f>
        <v/>
      </c>
      <c r="W21" s="7">
        <f>IF($C21="","",Y21-V21)</f>
        <v/>
      </c>
      <c r="X21" s="7">
        <f>IF($C21="","",W21-N21)</f>
        <v/>
      </c>
      <c r="Y21" s="7" t="n"/>
      <c r="AA21">
        <f>IF($C21="","",IF($AD21=1,Settings!$C$6,Settings!$C$7)*100)</f>
        <v/>
      </c>
      <c r="AB21">
        <f>IF($C21="","",IF(COUNTIF($C$2:$C21,$C21)=1,1,0))</f>
        <v/>
      </c>
      <c r="AC21">
        <f>IF($AB21=1,SUMPRODUCT(--($AE$2:$AE$501&lt;$AE21))+1,"")</f>
        <v/>
      </c>
      <c r="AD21">
        <f>IF($C21="","",IF(OR($Z21=TRUE(),$Z21="TRUE"),0,1))</f>
        <v/>
      </c>
      <c r="AE21">
        <f>IF($AB21=1,IFERROR(IF(VALUE($C21)&lt;100000000,VALUE($C21),1000000000),IFERROR(IF(VALUE(MID($C21,2,20))&lt;100000000,VALUE(MID($C21,2,20)),1000000000),1000000000))+ROW()/100000,"")</f>
        <v/>
      </c>
    </row>
    <row r="22">
      <c r="G22" s="7" t="n"/>
      <c r="H22" s="7" t="n"/>
      <c r="N22" s="7">
        <f>IF($C22="","",M22*Y22/100)</f>
        <v/>
      </c>
      <c r="O22" s="11" t="n"/>
      <c r="T22" s="7" t="n"/>
      <c r="V22" s="7">
        <f>IF($C22="","",Y22*AA22/100)</f>
        <v/>
      </c>
      <c r="W22" s="7">
        <f>IF($C22="","",Y22-V22)</f>
        <v/>
      </c>
      <c r="X22" s="7">
        <f>IF($C22="","",W22-N22)</f>
        <v/>
      </c>
      <c r="Y22" s="7" t="n"/>
      <c r="AA22">
        <f>IF($C22="","",IF($AD22=1,Settings!$C$6,Settings!$C$7)*100)</f>
        <v/>
      </c>
      <c r="AB22">
        <f>IF($C22="","",IF(COUNTIF($C$2:$C22,$C22)=1,1,0))</f>
        <v/>
      </c>
      <c r="AC22">
        <f>IF($AB22=1,SUMPRODUCT(--($AE$2:$AE$501&lt;$AE22))+1,"")</f>
        <v/>
      </c>
      <c r="AD22">
        <f>IF($C22="","",IF(OR($Z22=TRUE(),$Z22="TRUE"),0,1))</f>
        <v/>
      </c>
      <c r="AE22">
        <f>IF($AB22=1,IFERROR(IF(VALUE($C22)&lt;100000000,VALUE($C22),1000000000),IFERROR(IF(VALUE(MID($C22,2,20))&lt;100000000,VALUE(MID($C22,2,20)),1000000000),1000000000))+ROW()/100000,"")</f>
        <v/>
      </c>
    </row>
    <row r="23">
      <c r="G23" s="7" t="n"/>
      <c r="H23" s="7" t="n"/>
      <c r="N23" s="7">
        <f>IF($C23="","",M23*Y23/100)</f>
        <v/>
      </c>
      <c r="O23" s="11" t="n"/>
      <c r="T23" s="7" t="n"/>
      <c r="V23" s="7">
        <f>IF($C23="","",Y23*AA23/100)</f>
        <v/>
      </c>
      <c r="W23" s="7">
        <f>IF($C23="","",Y23-V23)</f>
        <v/>
      </c>
      <c r="X23" s="7">
        <f>IF($C23="","",W23-N23)</f>
        <v/>
      </c>
      <c r="Y23" s="7" t="n"/>
      <c r="AA23">
        <f>IF($C23="","",IF($AD23=1,Settings!$C$6,Settings!$C$7)*100)</f>
        <v/>
      </c>
      <c r="AB23">
        <f>IF($C23="","",IF(COUNTIF($C$2:$C23,$C23)=1,1,0))</f>
        <v/>
      </c>
      <c r="AC23">
        <f>IF($AB23=1,SUMPRODUCT(--($AE$2:$AE$501&lt;$AE23))+1,"")</f>
        <v/>
      </c>
      <c r="AD23">
        <f>IF($C23="","",IF(OR($Z23=TRUE(),$Z23="TRUE"),0,1))</f>
        <v/>
      </c>
      <c r="AE23">
        <f>IF($AB23=1,IFERROR(IF(VALUE($C23)&lt;100000000,VALUE($C23),1000000000),IFERROR(IF(VALUE(MID($C23,2,20))&lt;100000000,VALUE(MID($C23,2,20)),1000000000),1000000000))+ROW()/100000,"")</f>
        <v/>
      </c>
    </row>
    <row r="24">
      <c r="G24" s="7" t="n"/>
      <c r="H24" s="7" t="n"/>
      <c r="N24" s="7">
        <f>IF($C24="","",M24*Y24/100)</f>
        <v/>
      </c>
      <c r="O24" s="11" t="n"/>
      <c r="T24" s="7" t="n"/>
      <c r="V24" s="7">
        <f>IF($C24="","",Y24*AA24/100)</f>
        <v/>
      </c>
      <c r="W24" s="7">
        <f>IF($C24="","",Y24-V24)</f>
        <v/>
      </c>
      <c r="X24" s="7">
        <f>IF($C24="","",W24-N24)</f>
        <v/>
      </c>
      <c r="Y24" s="7" t="n"/>
      <c r="AA24">
        <f>IF($C24="","",IF($AD24=1,Settings!$C$6,Settings!$C$7)*100)</f>
        <v/>
      </c>
      <c r="AB24">
        <f>IF($C24="","",IF(COUNTIF($C$2:$C24,$C24)=1,1,0))</f>
        <v/>
      </c>
      <c r="AC24">
        <f>IF($AB24=1,SUMPRODUCT(--($AE$2:$AE$501&lt;$AE24))+1,"")</f>
        <v/>
      </c>
      <c r="AD24">
        <f>IF($C24="","",IF(OR($Z24=TRUE(),$Z24="TRUE"),0,1))</f>
        <v/>
      </c>
      <c r="AE24">
        <f>IF($AB24=1,IFERROR(IF(VALUE($C24)&lt;100000000,VALUE($C24),1000000000),IFERROR(IF(VALUE(MID($C24,2,20))&lt;100000000,VALUE(MID($C24,2,20)),1000000000),1000000000))+ROW()/100000,"")</f>
        <v/>
      </c>
    </row>
    <row r="25">
      <c r="G25" s="7" t="n"/>
      <c r="H25" s="7" t="n"/>
      <c r="N25" s="7">
        <f>IF($C25="","",M25*Y25/100)</f>
        <v/>
      </c>
      <c r="O25" s="11" t="n"/>
      <c r="T25" s="7" t="n"/>
      <c r="V25" s="7">
        <f>IF($C25="","",Y25*AA25/100)</f>
        <v/>
      </c>
      <c r="W25" s="7">
        <f>IF($C25="","",Y25-V25)</f>
        <v/>
      </c>
      <c r="X25" s="7">
        <f>IF($C25="","",W25-N25)</f>
        <v/>
      </c>
      <c r="Y25" s="7" t="n"/>
      <c r="AA25">
        <f>IF($C25="","",IF($AD25=1,Settings!$C$6,Settings!$C$7)*100)</f>
        <v/>
      </c>
      <c r="AB25">
        <f>IF($C25="","",IF(COUNTIF($C$2:$C25,$C25)=1,1,0))</f>
        <v/>
      </c>
      <c r="AC25">
        <f>IF($AB25=1,SUMPRODUCT(--($AE$2:$AE$501&lt;$AE25))+1,"")</f>
        <v/>
      </c>
      <c r="AD25">
        <f>IF($C25="","",IF(OR($Z25=TRUE(),$Z25="TRUE"),0,1))</f>
        <v/>
      </c>
      <c r="AE25">
        <f>IF($AB25=1,IFERROR(IF(VALUE($C25)&lt;100000000,VALUE($C25),1000000000),IFERROR(IF(VALUE(MID($C25,2,20))&lt;100000000,VALUE(MID($C25,2,20)),1000000000),1000000000))+ROW()/100000,"")</f>
        <v/>
      </c>
    </row>
    <row r="26">
      <c r="G26" s="7" t="n"/>
      <c r="H26" s="7" t="n"/>
      <c r="N26" s="7">
        <f>IF($C26="","",M26*Y26/100)</f>
        <v/>
      </c>
      <c r="O26" s="11" t="n"/>
      <c r="T26" s="7" t="n"/>
      <c r="V26" s="7">
        <f>IF($C26="","",Y26*AA26/100)</f>
        <v/>
      </c>
      <c r="W26" s="7">
        <f>IF($C26="","",Y26-V26)</f>
        <v/>
      </c>
      <c r="X26" s="7">
        <f>IF($C26="","",W26-N26)</f>
        <v/>
      </c>
      <c r="Y26" s="7" t="n"/>
      <c r="AA26">
        <f>IF($C26="","",IF($AD26=1,Settings!$C$6,Settings!$C$7)*100)</f>
        <v/>
      </c>
      <c r="AB26">
        <f>IF($C26="","",IF(COUNTIF($C$2:$C26,$C26)=1,1,0))</f>
        <v/>
      </c>
      <c r="AC26">
        <f>IF($AB26=1,SUMPRODUCT(--($AE$2:$AE$501&lt;$AE26))+1,"")</f>
        <v/>
      </c>
      <c r="AD26">
        <f>IF($C26="","",IF(OR($Z26=TRUE(),$Z26="TRUE"),0,1))</f>
        <v/>
      </c>
      <c r="AE26">
        <f>IF($AB26=1,IFERROR(IF(VALUE($C26)&lt;100000000,VALUE($C26),1000000000),IFERROR(IF(VALUE(MID($C26,2,20))&lt;100000000,VALUE(MID($C26,2,20)),1000000000),1000000000))+ROW()/100000,"")</f>
        <v/>
      </c>
    </row>
    <row r="27">
      <c r="G27" s="7" t="n"/>
      <c r="H27" s="7" t="n"/>
      <c r="N27" s="7">
        <f>IF($C27="","",M27*Y27/100)</f>
        <v/>
      </c>
      <c r="O27" s="11" t="n"/>
      <c r="T27" s="7" t="n"/>
      <c r="V27" s="7">
        <f>IF($C27="","",Y27*AA27/100)</f>
        <v/>
      </c>
      <c r="W27" s="7">
        <f>IF($C27="","",Y27-V27)</f>
        <v/>
      </c>
      <c r="X27" s="7">
        <f>IF($C27="","",W27-N27)</f>
        <v/>
      </c>
      <c r="Y27" s="7" t="n"/>
      <c r="AA27">
        <f>IF($C27="","",IF($AD27=1,Settings!$C$6,Settings!$C$7)*100)</f>
        <v/>
      </c>
      <c r="AB27">
        <f>IF($C27="","",IF(COUNTIF($C$2:$C27,$C27)=1,1,0))</f>
        <v/>
      </c>
      <c r="AC27">
        <f>IF($AB27=1,SUMPRODUCT(--($AE$2:$AE$501&lt;$AE27))+1,"")</f>
        <v/>
      </c>
      <c r="AD27">
        <f>IF($C27="","",IF(OR($Z27=TRUE(),$Z27="TRUE"),0,1))</f>
        <v/>
      </c>
      <c r="AE27">
        <f>IF($AB27=1,IFERROR(IF(VALUE($C27)&lt;100000000,VALUE($C27),1000000000),IFERROR(IF(VALUE(MID($C27,2,20))&lt;100000000,VALUE(MID($C27,2,20)),1000000000),1000000000))+ROW()/100000,"")</f>
        <v/>
      </c>
    </row>
    <row r="28">
      <c r="G28" s="7" t="n"/>
      <c r="H28" s="7" t="n"/>
      <c r="N28" s="7">
        <f>IF($C28="","",M28*Y28/100)</f>
        <v/>
      </c>
      <c r="O28" s="11" t="n"/>
      <c r="T28" s="7" t="n"/>
      <c r="V28" s="7">
        <f>IF($C28="","",Y28*AA28/100)</f>
        <v/>
      </c>
      <c r="W28" s="7">
        <f>IF($C28="","",Y28-V28)</f>
        <v/>
      </c>
      <c r="X28" s="7">
        <f>IF($C28="","",W28-N28)</f>
        <v/>
      </c>
      <c r="Y28" s="7" t="n"/>
      <c r="AA28">
        <f>IF($C28="","",IF($AD28=1,Settings!$C$6,Settings!$C$7)*100)</f>
        <v/>
      </c>
      <c r="AB28">
        <f>IF($C28="","",IF(COUNTIF($C$2:$C28,$C28)=1,1,0))</f>
        <v/>
      </c>
      <c r="AC28">
        <f>IF($AB28=1,SUMPRODUCT(--($AE$2:$AE$501&lt;$AE28))+1,"")</f>
        <v/>
      </c>
      <c r="AD28">
        <f>IF($C28="","",IF(OR($Z28=TRUE(),$Z28="TRUE"),0,1))</f>
        <v/>
      </c>
      <c r="AE28">
        <f>IF($AB28=1,IFERROR(IF(VALUE($C28)&lt;100000000,VALUE($C28),1000000000),IFERROR(IF(VALUE(MID($C28,2,20))&lt;100000000,VALUE(MID($C28,2,20)),1000000000),1000000000))+ROW()/100000,"")</f>
        <v/>
      </c>
    </row>
    <row r="29">
      <c r="G29" s="7" t="n"/>
      <c r="H29" s="7" t="n"/>
      <c r="N29" s="7">
        <f>IF($C29="","",M29*Y29/100)</f>
        <v/>
      </c>
      <c r="O29" s="11" t="n"/>
      <c r="T29" s="7" t="n"/>
      <c r="V29" s="7">
        <f>IF($C29="","",Y29*AA29/100)</f>
        <v/>
      </c>
      <c r="W29" s="7">
        <f>IF($C29="","",Y29-V29)</f>
        <v/>
      </c>
      <c r="X29" s="7">
        <f>IF($C29="","",W29-N29)</f>
        <v/>
      </c>
      <c r="Y29" s="7" t="n"/>
      <c r="AA29">
        <f>IF($C29="","",IF($AD29=1,Settings!$C$6,Settings!$C$7)*100)</f>
        <v/>
      </c>
      <c r="AB29">
        <f>IF($C29="","",IF(COUNTIF($C$2:$C29,$C29)=1,1,0))</f>
        <v/>
      </c>
      <c r="AC29">
        <f>IF($AB29=1,SUMPRODUCT(--($AE$2:$AE$501&lt;$AE29))+1,"")</f>
        <v/>
      </c>
      <c r="AD29">
        <f>IF($C29="","",IF(OR($Z29=TRUE(),$Z29="TRUE"),0,1))</f>
        <v/>
      </c>
      <c r="AE29">
        <f>IF($AB29=1,IFERROR(IF(VALUE($C29)&lt;100000000,VALUE($C29),1000000000),IFERROR(IF(VALUE(MID($C29,2,20))&lt;100000000,VALUE(MID($C29,2,20)),1000000000),1000000000))+ROW()/100000,"")</f>
        <v/>
      </c>
    </row>
    <row r="30">
      <c r="G30" s="7" t="n"/>
      <c r="H30" s="7" t="n"/>
      <c r="N30" s="7">
        <f>IF($C30="","",M30*Y30/100)</f>
        <v/>
      </c>
      <c r="O30" s="11" t="n"/>
      <c r="T30" s="7" t="n"/>
      <c r="V30" s="7">
        <f>IF($C30="","",Y30*AA30/100)</f>
        <v/>
      </c>
      <c r="W30" s="7">
        <f>IF($C30="","",Y30-V30)</f>
        <v/>
      </c>
      <c r="X30" s="7">
        <f>IF($C30="","",W30-N30)</f>
        <v/>
      </c>
      <c r="Y30" s="7" t="n"/>
      <c r="AA30">
        <f>IF($C30="","",IF($AD30=1,Settings!$C$6,Settings!$C$7)*100)</f>
        <v/>
      </c>
      <c r="AB30">
        <f>IF($C30="","",IF(COUNTIF($C$2:$C30,$C30)=1,1,0))</f>
        <v/>
      </c>
      <c r="AC30">
        <f>IF($AB30=1,SUMPRODUCT(--($AE$2:$AE$501&lt;$AE30))+1,"")</f>
        <v/>
      </c>
      <c r="AD30">
        <f>IF($C30="","",IF(OR($Z30=TRUE(),$Z30="TRUE"),0,1))</f>
        <v/>
      </c>
      <c r="AE30">
        <f>IF($AB30=1,IFERROR(IF(VALUE($C30)&lt;100000000,VALUE($C30),1000000000),IFERROR(IF(VALUE(MID($C30,2,20))&lt;100000000,VALUE(MID($C30,2,20)),1000000000),1000000000))+ROW()/100000,"")</f>
        <v/>
      </c>
    </row>
    <row r="31">
      <c r="G31" s="7" t="n"/>
      <c r="H31" s="7" t="n"/>
      <c r="N31" s="7">
        <f>IF($C31="","",M31*Y31/100)</f>
        <v/>
      </c>
      <c r="O31" s="11" t="n"/>
      <c r="T31" s="7" t="n"/>
      <c r="V31" s="7">
        <f>IF($C31="","",Y31*AA31/100)</f>
        <v/>
      </c>
      <c r="W31" s="7">
        <f>IF($C31="","",Y31-V31)</f>
        <v/>
      </c>
      <c r="X31" s="7">
        <f>IF($C31="","",W31-N31)</f>
        <v/>
      </c>
      <c r="Y31" s="7" t="n"/>
      <c r="AA31">
        <f>IF($C31="","",IF($AD31=1,Settings!$C$6,Settings!$C$7)*100)</f>
        <v/>
      </c>
      <c r="AB31">
        <f>IF($C31="","",IF(COUNTIF($C$2:$C31,$C31)=1,1,0))</f>
        <v/>
      </c>
      <c r="AC31">
        <f>IF($AB31=1,SUMPRODUCT(--($AE$2:$AE$501&lt;$AE31))+1,"")</f>
        <v/>
      </c>
      <c r="AD31">
        <f>IF($C31="","",IF(OR($Z31=TRUE(),$Z31="TRUE"),0,1))</f>
        <v/>
      </c>
      <c r="AE31">
        <f>IF($AB31=1,IFERROR(IF(VALUE($C31)&lt;100000000,VALUE($C31),1000000000),IFERROR(IF(VALUE(MID($C31,2,20))&lt;100000000,VALUE(MID($C31,2,20)),1000000000),1000000000))+ROW()/100000,"")</f>
        <v/>
      </c>
    </row>
    <row r="32">
      <c r="G32" s="7" t="n"/>
      <c r="H32" s="7" t="n"/>
      <c r="N32" s="7">
        <f>IF($C32="","",M32*Y32/100)</f>
        <v/>
      </c>
      <c r="O32" s="11" t="n"/>
      <c r="T32" s="7" t="n"/>
      <c r="V32" s="7">
        <f>IF($C32="","",Y32*AA32/100)</f>
        <v/>
      </c>
      <c r="W32" s="7">
        <f>IF($C32="","",Y32-V32)</f>
        <v/>
      </c>
      <c r="X32" s="7">
        <f>IF($C32="","",W32-N32)</f>
        <v/>
      </c>
      <c r="Y32" s="7" t="n"/>
      <c r="AA32">
        <f>IF($C32="","",IF($AD32=1,Settings!$C$6,Settings!$C$7)*100)</f>
        <v/>
      </c>
      <c r="AB32">
        <f>IF($C32="","",IF(COUNTIF($C$2:$C32,$C32)=1,1,0))</f>
        <v/>
      </c>
      <c r="AC32">
        <f>IF($AB32=1,SUMPRODUCT(--($AE$2:$AE$501&lt;$AE32))+1,"")</f>
        <v/>
      </c>
      <c r="AD32">
        <f>IF($C32="","",IF(OR($Z32=TRUE(),$Z32="TRUE"),0,1))</f>
        <v/>
      </c>
      <c r="AE32">
        <f>IF($AB32=1,IFERROR(IF(VALUE($C32)&lt;100000000,VALUE($C32),1000000000),IFERROR(IF(VALUE(MID($C32,2,20))&lt;100000000,VALUE(MID($C32,2,20)),1000000000),1000000000))+ROW()/100000,"")</f>
        <v/>
      </c>
    </row>
    <row r="33">
      <c r="G33" s="7" t="n"/>
      <c r="H33" s="7" t="n"/>
      <c r="N33" s="7">
        <f>IF($C33="","",M33*Y33/100)</f>
        <v/>
      </c>
      <c r="O33" s="11" t="n"/>
      <c r="T33" s="7" t="n"/>
      <c r="V33" s="7">
        <f>IF($C33="","",Y33*AA33/100)</f>
        <v/>
      </c>
      <c r="W33" s="7">
        <f>IF($C33="","",Y33-V33)</f>
        <v/>
      </c>
      <c r="X33" s="7">
        <f>IF($C33="","",W33-N33)</f>
        <v/>
      </c>
      <c r="Y33" s="7" t="n"/>
      <c r="AA33">
        <f>IF($C33="","",IF($AD33=1,Settings!$C$6,Settings!$C$7)*100)</f>
        <v/>
      </c>
      <c r="AB33">
        <f>IF($C33="","",IF(COUNTIF($C$2:$C33,$C33)=1,1,0))</f>
        <v/>
      </c>
      <c r="AC33">
        <f>IF($AB33=1,SUMPRODUCT(--($AE$2:$AE$501&lt;$AE33))+1,"")</f>
        <v/>
      </c>
      <c r="AD33">
        <f>IF($C33="","",IF(OR($Z33=TRUE(),$Z33="TRUE"),0,1))</f>
        <v/>
      </c>
      <c r="AE33">
        <f>IF($AB33=1,IFERROR(IF(VALUE($C33)&lt;100000000,VALUE($C33),1000000000),IFERROR(IF(VALUE(MID($C33,2,20))&lt;100000000,VALUE(MID($C33,2,20)),1000000000),1000000000))+ROW()/100000,"")</f>
        <v/>
      </c>
    </row>
    <row r="34">
      <c r="G34" s="7" t="n"/>
      <c r="H34" s="7" t="n"/>
      <c r="N34" s="7">
        <f>IF($C34="","",M34*Y34/100)</f>
        <v/>
      </c>
      <c r="O34" s="11" t="n"/>
      <c r="T34" s="7" t="n"/>
      <c r="V34" s="7">
        <f>IF($C34="","",Y34*AA34/100)</f>
        <v/>
      </c>
      <c r="W34" s="7">
        <f>IF($C34="","",Y34-V34)</f>
        <v/>
      </c>
      <c r="X34" s="7">
        <f>IF($C34="","",W34-N34)</f>
        <v/>
      </c>
      <c r="Y34" s="7" t="n"/>
      <c r="AA34">
        <f>IF($C34="","",IF($AD34=1,Settings!$C$6,Settings!$C$7)*100)</f>
        <v/>
      </c>
      <c r="AB34">
        <f>IF($C34="","",IF(COUNTIF($C$2:$C34,$C34)=1,1,0))</f>
        <v/>
      </c>
      <c r="AC34">
        <f>IF($AB34=1,SUMPRODUCT(--($AE$2:$AE$501&lt;$AE34))+1,"")</f>
        <v/>
      </c>
      <c r="AD34">
        <f>IF($C34="","",IF(OR($Z34=TRUE(),$Z34="TRUE"),0,1))</f>
        <v/>
      </c>
      <c r="AE34">
        <f>IF($AB34=1,IFERROR(IF(VALUE($C34)&lt;100000000,VALUE($C34),1000000000),IFERROR(IF(VALUE(MID($C34,2,20))&lt;100000000,VALUE(MID($C34,2,20)),1000000000),1000000000))+ROW()/100000,"")</f>
        <v/>
      </c>
    </row>
    <row r="35">
      <c r="G35" s="7" t="n"/>
      <c r="H35" s="7" t="n"/>
      <c r="N35" s="7">
        <f>IF($C35="","",M35*Y35/100)</f>
        <v/>
      </c>
      <c r="O35" s="11" t="n"/>
      <c r="T35" s="7" t="n"/>
      <c r="V35" s="7">
        <f>IF($C35="","",Y35*AA35/100)</f>
        <v/>
      </c>
      <c r="W35" s="7">
        <f>IF($C35="","",Y35-V35)</f>
        <v/>
      </c>
      <c r="X35" s="7">
        <f>IF($C35="","",W35-N35)</f>
        <v/>
      </c>
      <c r="Y35" s="7" t="n"/>
      <c r="AA35">
        <f>IF($C35="","",IF($AD35=1,Settings!$C$6,Settings!$C$7)*100)</f>
        <v/>
      </c>
      <c r="AB35">
        <f>IF($C35="","",IF(COUNTIF($C$2:$C35,$C35)=1,1,0))</f>
        <v/>
      </c>
      <c r="AC35">
        <f>IF($AB35=1,SUMPRODUCT(--($AE$2:$AE$501&lt;$AE35))+1,"")</f>
        <v/>
      </c>
      <c r="AD35">
        <f>IF($C35="","",IF(OR($Z35=TRUE(),$Z35="TRUE"),0,1))</f>
        <v/>
      </c>
      <c r="AE35">
        <f>IF($AB35=1,IFERROR(IF(VALUE($C35)&lt;100000000,VALUE($C35),1000000000),IFERROR(IF(VALUE(MID($C35,2,20))&lt;100000000,VALUE(MID($C35,2,20)),1000000000),1000000000))+ROW()/100000,"")</f>
        <v/>
      </c>
    </row>
    <row r="36">
      <c r="G36" s="7" t="n"/>
      <c r="H36" s="7" t="n"/>
      <c r="N36" s="7">
        <f>IF($C36="","",M36*Y36/100)</f>
        <v/>
      </c>
      <c r="O36" s="11" t="n"/>
      <c r="T36" s="7" t="n"/>
      <c r="V36" s="7">
        <f>IF($C36="","",Y36*AA36/100)</f>
        <v/>
      </c>
      <c r="W36" s="7">
        <f>IF($C36="","",Y36-V36)</f>
        <v/>
      </c>
      <c r="X36" s="7">
        <f>IF($C36="","",W36-N36)</f>
        <v/>
      </c>
      <c r="Y36" s="7" t="n"/>
      <c r="AA36">
        <f>IF($C36="","",IF($AD36=1,Settings!$C$6,Settings!$C$7)*100)</f>
        <v/>
      </c>
      <c r="AB36">
        <f>IF($C36="","",IF(COUNTIF($C$2:$C36,$C36)=1,1,0))</f>
        <v/>
      </c>
      <c r="AC36">
        <f>IF($AB36=1,SUMPRODUCT(--($AE$2:$AE$501&lt;$AE36))+1,"")</f>
        <v/>
      </c>
      <c r="AD36">
        <f>IF($C36="","",IF(OR($Z36=TRUE(),$Z36="TRUE"),0,1))</f>
        <v/>
      </c>
      <c r="AE36">
        <f>IF($AB36=1,IFERROR(IF(VALUE($C36)&lt;100000000,VALUE($C36),1000000000),IFERROR(IF(VALUE(MID($C36,2,20))&lt;100000000,VALUE(MID($C36,2,20)),1000000000),1000000000))+ROW()/100000,"")</f>
        <v/>
      </c>
    </row>
    <row r="37">
      <c r="G37" s="7" t="n"/>
      <c r="H37" s="7" t="n"/>
      <c r="N37" s="7">
        <f>IF($C37="","",M37*Y37/100)</f>
        <v/>
      </c>
      <c r="O37" s="11" t="n"/>
      <c r="T37" s="7" t="n"/>
      <c r="V37" s="7">
        <f>IF($C37="","",Y37*AA37/100)</f>
        <v/>
      </c>
      <c r="W37" s="7">
        <f>IF($C37="","",Y37-V37)</f>
        <v/>
      </c>
      <c r="X37" s="7">
        <f>IF($C37="","",W37-N37)</f>
        <v/>
      </c>
      <c r="Y37" s="7" t="n"/>
      <c r="AA37">
        <f>IF($C37="","",IF($AD37=1,Settings!$C$6,Settings!$C$7)*100)</f>
        <v/>
      </c>
      <c r="AB37">
        <f>IF($C37="","",IF(COUNTIF($C$2:$C37,$C37)=1,1,0))</f>
        <v/>
      </c>
      <c r="AC37">
        <f>IF($AB37=1,SUMPRODUCT(--($AE$2:$AE$501&lt;$AE37))+1,"")</f>
        <v/>
      </c>
      <c r="AD37">
        <f>IF($C37="","",IF(OR($Z37=TRUE(),$Z37="TRUE"),0,1))</f>
        <v/>
      </c>
      <c r="AE37">
        <f>IF($AB37=1,IFERROR(IF(VALUE($C37)&lt;100000000,VALUE($C37),1000000000),IFERROR(IF(VALUE(MID($C37,2,20))&lt;100000000,VALUE(MID($C37,2,20)),1000000000),1000000000))+ROW()/100000,"")</f>
        <v/>
      </c>
    </row>
    <row r="38">
      <c r="G38" s="7" t="n"/>
      <c r="H38" s="7" t="n"/>
      <c r="N38" s="7">
        <f>IF($C38="","",M38*Y38/100)</f>
        <v/>
      </c>
      <c r="O38" s="11" t="n"/>
      <c r="T38" s="7" t="n"/>
      <c r="V38" s="7">
        <f>IF($C38="","",Y38*AA38/100)</f>
        <v/>
      </c>
      <c r="W38" s="7">
        <f>IF($C38="","",Y38-V38)</f>
        <v/>
      </c>
      <c r="X38" s="7">
        <f>IF($C38="","",W38-N38)</f>
        <v/>
      </c>
      <c r="Y38" s="7" t="n"/>
      <c r="AA38">
        <f>IF($C38="","",IF($AD38=1,Settings!$C$6,Settings!$C$7)*100)</f>
        <v/>
      </c>
      <c r="AB38">
        <f>IF($C38="","",IF(COUNTIF($C$2:$C38,$C38)=1,1,0))</f>
        <v/>
      </c>
      <c r="AC38">
        <f>IF($AB38=1,SUMPRODUCT(--($AE$2:$AE$501&lt;$AE38))+1,"")</f>
        <v/>
      </c>
      <c r="AD38">
        <f>IF($C38="","",IF(OR($Z38=TRUE(),$Z38="TRUE"),0,1))</f>
        <v/>
      </c>
      <c r="AE38">
        <f>IF($AB38=1,IFERROR(IF(VALUE($C38)&lt;100000000,VALUE($C38),1000000000),IFERROR(IF(VALUE(MID($C38,2,20))&lt;100000000,VALUE(MID($C38,2,20)),1000000000),1000000000))+ROW()/100000,"")</f>
        <v/>
      </c>
    </row>
    <row r="39">
      <c r="G39" s="7" t="n"/>
      <c r="H39" s="7" t="n"/>
      <c r="N39" s="7">
        <f>IF($C39="","",M39*Y39/100)</f>
        <v/>
      </c>
      <c r="O39" s="11" t="n"/>
      <c r="T39" s="7" t="n"/>
      <c r="V39" s="7">
        <f>IF($C39="","",Y39*AA39/100)</f>
        <v/>
      </c>
      <c r="W39" s="7">
        <f>IF($C39="","",Y39-V39)</f>
        <v/>
      </c>
      <c r="X39" s="7">
        <f>IF($C39="","",W39-N39)</f>
        <v/>
      </c>
      <c r="Y39" s="7" t="n"/>
      <c r="AA39">
        <f>IF($C39="","",IF($AD39=1,Settings!$C$6,Settings!$C$7)*100)</f>
        <v/>
      </c>
      <c r="AB39">
        <f>IF($C39="","",IF(COUNTIF($C$2:$C39,$C39)=1,1,0))</f>
        <v/>
      </c>
      <c r="AC39">
        <f>IF($AB39=1,SUMPRODUCT(--($AE$2:$AE$501&lt;$AE39))+1,"")</f>
        <v/>
      </c>
      <c r="AD39">
        <f>IF($C39="","",IF(OR($Z39=TRUE(),$Z39="TRUE"),0,1))</f>
        <v/>
      </c>
      <c r="AE39">
        <f>IF($AB39=1,IFERROR(IF(VALUE($C39)&lt;100000000,VALUE($C39),1000000000),IFERROR(IF(VALUE(MID($C39,2,20))&lt;100000000,VALUE(MID($C39,2,20)),1000000000),1000000000))+ROW()/100000,"")</f>
        <v/>
      </c>
    </row>
    <row r="40">
      <c r="G40" s="7" t="n"/>
      <c r="H40" s="7" t="n"/>
      <c r="N40" s="7">
        <f>IF($C40="","",M40*Y40/100)</f>
        <v/>
      </c>
      <c r="O40" s="11" t="n"/>
      <c r="T40" s="7" t="n"/>
      <c r="V40" s="7">
        <f>IF($C40="","",Y40*AA40/100)</f>
        <v/>
      </c>
      <c r="W40" s="7">
        <f>IF($C40="","",Y40-V40)</f>
        <v/>
      </c>
      <c r="X40" s="7">
        <f>IF($C40="","",W40-N40)</f>
        <v/>
      </c>
      <c r="Y40" s="7" t="n"/>
      <c r="AA40">
        <f>IF($C40="","",IF($AD40=1,Settings!$C$6,Settings!$C$7)*100)</f>
        <v/>
      </c>
      <c r="AB40">
        <f>IF($C40="","",IF(COUNTIF($C$2:$C40,$C40)=1,1,0))</f>
        <v/>
      </c>
      <c r="AC40">
        <f>IF($AB40=1,SUMPRODUCT(--($AE$2:$AE$501&lt;$AE40))+1,"")</f>
        <v/>
      </c>
      <c r="AD40">
        <f>IF($C40="","",IF(OR($Z40=TRUE(),$Z40="TRUE"),0,1))</f>
        <v/>
      </c>
      <c r="AE40">
        <f>IF($AB40=1,IFERROR(IF(VALUE($C40)&lt;100000000,VALUE($C40),1000000000),IFERROR(IF(VALUE(MID($C40,2,20))&lt;100000000,VALUE(MID($C40,2,20)),1000000000),1000000000))+ROW()/100000,"")</f>
        <v/>
      </c>
    </row>
    <row r="41">
      <c r="G41" s="7" t="n"/>
      <c r="H41" s="7" t="n"/>
      <c r="N41" s="7">
        <f>IF($C41="","",M41*Y41/100)</f>
        <v/>
      </c>
      <c r="O41" s="11" t="n"/>
      <c r="T41" s="7" t="n"/>
      <c r="V41" s="7">
        <f>IF($C41="","",Y41*AA41/100)</f>
        <v/>
      </c>
      <c r="W41" s="7">
        <f>IF($C41="","",Y41-V41)</f>
        <v/>
      </c>
      <c r="X41" s="7">
        <f>IF($C41="","",W41-N41)</f>
        <v/>
      </c>
      <c r="Y41" s="7" t="n"/>
      <c r="AA41">
        <f>IF($C41="","",IF($AD41=1,Settings!$C$6,Settings!$C$7)*100)</f>
        <v/>
      </c>
      <c r="AB41">
        <f>IF($C41="","",IF(COUNTIF($C$2:$C41,$C41)=1,1,0))</f>
        <v/>
      </c>
      <c r="AC41">
        <f>IF($AB41=1,SUMPRODUCT(--($AE$2:$AE$501&lt;$AE41))+1,"")</f>
        <v/>
      </c>
      <c r="AD41">
        <f>IF($C41="","",IF(OR($Z41=TRUE(),$Z41="TRUE"),0,1))</f>
        <v/>
      </c>
      <c r="AE41">
        <f>IF($AB41=1,IFERROR(IF(VALUE($C41)&lt;100000000,VALUE($C41),1000000000),IFERROR(IF(VALUE(MID($C41,2,20))&lt;100000000,VALUE(MID($C41,2,20)),1000000000),1000000000))+ROW()/100000,"")</f>
        <v/>
      </c>
    </row>
    <row r="42">
      <c r="G42" s="7" t="n"/>
      <c r="H42" s="7" t="n"/>
      <c r="N42" s="7">
        <f>IF($C42="","",M42*Y42/100)</f>
        <v/>
      </c>
      <c r="O42" s="11" t="n"/>
      <c r="T42" s="7" t="n"/>
      <c r="V42" s="7">
        <f>IF($C42="","",Y42*AA42/100)</f>
        <v/>
      </c>
      <c r="W42" s="7">
        <f>IF($C42="","",Y42-V42)</f>
        <v/>
      </c>
      <c r="X42" s="7">
        <f>IF($C42="","",W42-N42)</f>
        <v/>
      </c>
      <c r="Y42" s="7" t="n"/>
      <c r="AA42">
        <f>IF($C42="","",IF($AD42=1,Settings!$C$6,Settings!$C$7)*100)</f>
        <v/>
      </c>
      <c r="AB42">
        <f>IF($C42="","",IF(COUNTIF($C$2:$C42,$C42)=1,1,0))</f>
        <v/>
      </c>
      <c r="AC42">
        <f>IF($AB42=1,SUMPRODUCT(--($AE$2:$AE$501&lt;$AE42))+1,"")</f>
        <v/>
      </c>
      <c r="AD42">
        <f>IF($C42="","",IF(OR($Z42=TRUE(),$Z42="TRUE"),0,1))</f>
        <v/>
      </c>
      <c r="AE42">
        <f>IF($AB42=1,IFERROR(IF(VALUE($C42)&lt;100000000,VALUE($C42),1000000000),IFERROR(IF(VALUE(MID($C42,2,20))&lt;100000000,VALUE(MID($C42,2,20)),1000000000),1000000000))+ROW()/100000,"")</f>
        <v/>
      </c>
    </row>
    <row r="43">
      <c r="G43" s="7" t="n"/>
      <c r="H43" s="7" t="n"/>
      <c r="N43" s="7">
        <f>IF($C43="","",M43*Y43/100)</f>
        <v/>
      </c>
      <c r="O43" s="11" t="n"/>
      <c r="T43" s="7" t="n"/>
      <c r="V43" s="7">
        <f>IF($C43="","",Y43*AA43/100)</f>
        <v/>
      </c>
      <c r="W43" s="7">
        <f>IF($C43="","",Y43-V43)</f>
        <v/>
      </c>
      <c r="X43" s="7">
        <f>IF($C43="","",W43-N43)</f>
        <v/>
      </c>
      <c r="Y43" s="7" t="n"/>
      <c r="AA43">
        <f>IF($C43="","",IF($AD43=1,Settings!$C$6,Settings!$C$7)*100)</f>
        <v/>
      </c>
      <c r="AB43">
        <f>IF($C43="","",IF(COUNTIF($C$2:$C43,$C43)=1,1,0))</f>
        <v/>
      </c>
      <c r="AC43">
        <f>IF($AB43=1,SUMPRODUCT(--($AE$2:$AE$501&lt;$AE43))+1,"")</f>
        <v/>
      </c>
      <c r="AD43">
        <f>IF($C43="","",IF(OR($Z43=TRUE(),$Z43="TRUE"),0,1))</f>
        <v/>
      </c>
      <c r="AE43">
        <f>IF($AB43=1,IFERROR(IF(VALUE($C43)&lt;100000000,VALUE($C43),1000000000),IFERROR(IF(VALUE(MID($C43,2,20))&lt;100000000,VALUE(MID($C43,2,20)),1000000000),1000000000))+ROW()/100000,"")</f>
        <v/>
      </c>
    </row>
    <row r="44">
      <c r="G44" s="7" t="n"/>
      <c r="H44" s="7" t="n"/>
      <c r="N44" s="7">
        <f>IF($C44="","",M44*Y44/100)</f>
        <v/>
      </c>
      <c r="O44" s="11" t="n"/>
      <c r="T44" s="7" t="n"/>
      <c r="V44" s="7">
        <f>IF($C44="","",Y44*AA44/100)</f>
        <v/>
      </c>
      <c r="W44" s="7">
        <f>IF($C44="","",Y44-V44)</f>
        <v/>
      </c>
      <c r="X44" s="7">
        <f>IF($C44="","",W44-N44)</f>
        <v/>
      </c>
      <c r="Y44" s="7" t="n"/>
      <c r="AA44">
        <f>IF($C44="","",IF($AD44=1,Settings!$C$6,Settings!$C$7)*100)</f>
        <v/>
      </c>
      <c r="AB44">
        <f>IF($C44="","",IF(COUNTIF($C$2:$C44,$C44)=1,1,0))</f>
        <v/>
      </c>
      <c r="AC44">
        <f>IF($AB44=1,SUMPRODUCT(--($AE$2:$AE$501&lt;$AE44))+1,"")</f>
        <v/>
      </c>
      <c r="AD44">
        <f>IF($C44="","",IF(OR($Z44=TRUE(),$Z44="TRUE"),0,1))</f>
        <v/>
      </c>
      <c r="AE44">
        <f>IF($AB44=1,IFERROR(IF(VALUE($C44)&lt;100000000,VALUE($C44),1000000000),IFERROR(IF(VALUE(MID($C44,2,20))&lt;100000000,VALUE(MID($C44,2,20)),1000000000),1000000000))+ROW()/100000,"")</f>
        <v/>
      </c>
    </row>
    <row r="45">
      <c r="G45" s="7" t="n"/>
      <c r="H45" s="7" t="n"/>
      <c r="N45" s="7">
        <f>IF($C45="","",M45*Y45/100)</f>
        <v/>
      </c>
      <c r="O45" s="11" t="n"/>
      <c r="T45" s="7" t="n"/>
      <c r="V45" s="7">
        <f>IF($C45="","",Y45*AA45/100)</f>
        <v/>
      </c>
      <c r="W45" s="7">
        <f>IF($C45="","",Y45-V45)</f>
        <v/>
      </c>
      <c r="X45" s="7">
        <f>IF($C45="","",W45-N45)</f>
        <v/>
      </c>
      <c r="Y45" s="7" t="n"/>
      <c r="AA45">
        <f>IF($C45="","",IF($AD45=1,Settings!$C$6,Settings!$C$7)*100)</f>
        <v/>
      </c>
      <c r="AB45">
        <f>IF($C45="","",IF(COUNTIF($C$2:$C45,$C45)=1,1,0))</f>
        <v/>
      </c>
      <c r="AC45">
        <f>IF($AB45=1,SUMPRODUCT(--($AE$2:$AE$501&lt;$AE45))+1,"")</f>
        <v/>
      </c>
      <c r="AD45">
        <f>IF($C45="","",IF(OR($Z45=TRUE(),$Z45="TRUE"),0,1))</f>
        <v/>
      </c>
      <c r="AE45">
        <f>IF($AB45=1,IFERROR(IF(VALUE($C45)&lt;100000000,VALUE($C45),1000000000),IFERROR(IF(VALUE(MID($C45,2,20))&lt;100000000,VALUE(MID($C45,2,20)),1000000000),1000000000))+ROW()/100000,"")</f>
        <v/>
      </c>
    </row>
    <row r="46">
      <c r="G46" s="7" t="n"/>
      <c r="H46" s="7" t="n"/>
      <c r="N46" s="7">
        <f>IF($C46="","",M46*Y46/100)</f>
        <v/>
      </c>
      <c r="O46" s="11" t="n"/>
      <c r="T46" s="7" t="n"/>
      <c r="V46" s="7">
        <f>IF($C46="","",Y46*AA46/100)</f>
        <v/>
      </c>
      <c r="W46" s="7">
        <f>IF($C46="","",Y46-V46)</f>
        <v/>
      </c>
      <c r="X46" s="7">
        <f>IF($C46="","",W46-N46)</f>
        <v/>
      </c>
      <c r="Y46" s="7" t="n"/>
      <c r="AA46">
        <f>IF($C46="","",IF($AD46=1,Settings!$C$6,Settings!$C$7)*100)</f>
        <v/>
      </c>
      <c r="AB46">
        <f>IF($C46="","",IF(COUNTIF($C$2:$C46,$C46)=1,1,0))</f>
        <v/>
      </c>
      <c r="AC46">
        <f>IF($AB46=1,SUMPRODUCT(--($AE$2:$AE$501&lt;$AE46))+1,"")</f>
        <v/>
      </c>
      <c r="AD46">
        <f>IF($C46="","",IF(OR($Z46=TRUE(),$Z46="TRUE"),0,1))</f>
        <v/>
      </c>
      <c r="AE46">
        <f>IF($AB46=1,IFERROR(IF(VALUE($C46)&lt;100000000,VALUE($C46),1000000000),IFERROR(IF(VALUE(MID($C46,2,20))&lt;100000000,VALUE(MID($C46,2,20)),1000000000),1000000000))+ROW()/100000,"")</f>
        <v/>
      </c>
    </row>
    <row r="47">
      <c r="G47" s="7" t="n"/>
      <c r="H47" s="7" t="n"/>
      <c r="N47" s="7">
        <f>IF($C47="","",M47*Y47/100)</f>
        <v/>
      </c>
      <c r="O47" s="11" t="n"/>
      <c r="T47" s="7" t="n"/>
      <c r="V47" s="7">
        <f>IF($C47="","",Y47*AA47/100)</f>
        <v/>
      </c>
      <c r="W47" s="7">
        <f>IF($C47="","",Y47-V47)</f>
        <v/>
      </c>
      <c r="X47" s="7">
        <f>IF($C47="","",W47-N47)</f>
        <v/>
      </c>
      <c r="Y47" s="7" t="n"/>
      <c r="AA47">
        <f>IF($C47="","",IF($AD47=1,Settings!$C$6,Settings!$C$7)*100)</f>
        <v/>
      </c>
      <c r="AB47">
        <f>IF($C47="","",IF(COUNTIF($C$2:$C47,$C47)=1,1,0))</f>
        <v/>
      </c>
      <c r="AC47">
        <f>IF($AB47=1,SUMPRODUCT(--($AE$2:$AE$501&lt;$AE47))+1,"")</f>
        <v/>
      </c>
      <c r="AD47">
        <f>IF($C47="","",IF(OR($Z47=TRUE(),$Z47="TRUE"),0,1))</f>
        <v/>
      </c>
      <c r="AE47">
        <f>IF($AB47=1,IFERROR(IF(VALUE($C47)&lt;100000000,VALUE($C47),1000000000),IFERROR(IF(VALUE(MID($C47,2,20))&lt;100000000,VALUE(MID($C47,2,20)),1000000000),1000000000))+ROW()/100000,"")</f>
        <v/>
      </c>
    </row>
    <row r="48">
      <c r="G48" s="7" t="n"/>
      <c r="H48" s="7" t="n"/>
      <c r="N48" s="7">
        <f>IF($C48="","",M48*Y48/100)</f>
        <v/>
      </c>
      <c r="O48" s="11" t="n"/>
      <c r="T48" s="7" t="n"/>
      <c r="V48" s="7">
        <f>IF($C48="","",Y48*AA48/100)</f>
        <v/>
      </c>
      <c r="W48" s="7">
        <f>IF($C48="","",Y48-V48)</f>
        <v/>
      </c>
      <c r="X48" s="7">
        <f>IF($C48="","",W48-N48)</f>
        <v/>
      </c>
      <c r="Y48" s="7" t="n"/>
      <c r="AA48">
        <f>IF($C48="","",IF($AD48=1,Settings!$C$6,Settings!$C$7)*100)</f>
        <v/>
      </c>
      <c r="AB48">
        <f>IF($C48="","",IF(COUNTIF($C$2:$C48,$C48)=1,1,0))</f>
        <v/>
      </c>
      <c r="AC48">
        <f>IF($AB48=1,SUMPRODUCT(--($AE$2:$AE$501&lt;$AE48))+1,"")</f>
        <v/>
      </c>
      <c r="AD48">
        <f>IF($C48="","",IF(OR($Z48=TRUE(),$Z48="TRUE"),0,1))</f>
        <v/>
      </c>
      <c r="AE48">
        <f>IF($AB48=1,IFERROR(IF(VALUE($C48)&lt;100000000,VALUE($C48),1000000000),IFERROR(IF(VALUE(MID($C48,2,20))&lt;100000000,VALUE(MID($C48,2,20)),1000000000),1000000000))+ROW()/100000,"")</f>
        <v/>
      </c>
    </row>
    <row r="49">
      <c r="G49" s="7" t="n"/>
      <c r="H49" s="7" t="n"/>
      <c r="N49" s="7">
        <f>IF($C49="","",M49*Y49/100)</f>
        <v/>
      </c>
      <c r="O49" s="11" t="n"/>
      <c r="T49" s="7" t="n"/>
      <c r="V49" s="7">
        <f>IF($C49="","",Y49*AA49/100)</f>
        <v/>
      </c>
      <c r="W49" s="7">
        <f>IF($C49="","",Y49-V49)</f>
        <v/>
      </c>
      <c r="X49" s="7">
        <f>IF($C49="","",W49-N49)</f>
        <v/>
      </c>
      <c r="Y49" s="7" t="n"/>
      <c r="AA49">
        <f>IF($C49="","",IF($AD49=1,Settings!$C$6,Settings!$C$7)*100)</f>
        <v/>
      </c>
      <c r="AB49">
        <f>IF($C49="","",IF(COUNTIF($C$2:$C49,$C49)=1,1,0))</f>
        <v/>
      </c>
      <c r="AC49">
        <f>IF($AB49=1,SUMPRODUCT(--($AE$2:$AE$501&lt;$AE49))+1,"")</f>
        <v/>
      </c>
      <c r="AD49">
        <f>IF($C49="","",IF(OR($Z49=TRUE(),$Z49="TRUE"),0,1))</f>
        <v/>
      </c>
      <c r="AE49">
        <f>IF($AB49=1,IFERROR(IF(VALUE($C49)&lt;100000000,VALUE($C49),1000000000),IFERROR(IF(VALUE(MID($C49,2,20))&lt;100000000,VALUE(MID($C49,2,20)),1000000000),1000000000))+ROW()/100000,"")</f>
        <v/>
      </c>
    </row>
    <row r="50">
      <c r="G50" s="7" t="n"/>
      <c r="H50" s="7" t="n"/>
      <c r="N50" s="7">
        <f>IF($C50="","",M50*Y50/100)</f>
        <v/>
      </c>
      <c r="O50" s="11" t="n"/>
      <c r="T50" s="7" t="n"/>
      <c r="V50" s="7">
        <f>IF($C50="","",Y50*AA50/100)</f>
        <v/>
      </c>
      <c r="W50" s="7">
        <f>IF($C50="","",Y50-V50)</f>
        <v/>
      </c>
      <c r="X50" s="7">
        <f>IF($C50="","",W50-N50)</f>
        <v/>
      </c>
      <c r="Y50" s="7" t="n"/>
      <c r="AA50">
        <f>IF($C50="","",IF($AD50=1,Settings!$C$6,Settings!$C$7)*100)</f>
        <v/>
      </c>
      <c r="AB50">
        <f>IF($C50="","",IF(COUNTIF($C$2:$C50,$C50)=1,1,0))</f>
        <v/>
      </c>
      <c r="AC50">
        <f>IF($AB50=1,SUMPRODUCT(--($AE$2:$AE$501&lt;$AE50))+1,"")</f>
        <v/>
      </c>
      <c r="AD50">
        <f>IF($C50="","",IF(OR($Z50=TRUE(),$Z50="TRUE"),0,1))</f>
        <v/>
      </c>
      <c r="AE50">
        <f>IF($AB50=1,IFERROR(IF(VALUE($C50)&lt;100000000,VALUE($C50),1000000000),IFERROR(IF(VALUE(MID($C50,2,20))&lt;100000000,VALUE(MID($C50,2,20)),1000000000),1000000000))+ROW()/100000,"")</f>
        <v/>
      </c>
    </row>
    <row r="51">
      <c r="G51" s="7" t="n"/>
      <c r="H51" s="7" t="n"/>
      <c r="N51" s="7">
        <f>IF($C51="","",M51*Y51/100)</f>
        <v/>
      </c>
      <c r="O51" s="11" t="n"/>
      <c r="T51" s="7" t="n"/>
      <c r="V51" s="7">
        <f>IF($C51="","",Y51*AA51/100)</f>
        <v/>
      </c>
      <c r="W51" s="7">
        <f>IF($C51="","",Y51-V51)</f>
        <v/>
      </c>
      <c r="X51" s="7">
        <f>IF($C51="","",W51-N51)</f>
        <v/>
      </c>
      <c r="Y51" s="7" t="n"/>
      <c r="AA51">
        <f>IF($C51="","",IF($AD51=1,Settings!$C$6,Settings!$C$7)*100)</f>
        <v/>
      </c>
      <c r="AB51">
        <f>IF($C51="","",IF(COUNTIF($C$2:$C51,$C51)=1,1,0))</f>
        <v/>
      </c>
      <c r="AC51">
        <f>IF($AB51=1,SUMPRODUCT(--($AE$2:$AE$501&lt;$AE51))+1,"")</f>
        <v/>
      </c>
      <c r="AD51">
        <f>IF($C51="","",IF(OR($Z51=TRUE(),$Z51="TRUE"),0,1))</f>
        <v/>
      </c>
      <c r="AE51">
        <f>IF($AB51=1,IFERROR(IF(VALUE($C51)&lt;100000000,VALUE($C51),1000000000),IFERROR(IF(VALUE(MID($C51,2,20))&lt;100000000,VALUE(MID($C51,2,20)),1000000000),1000000000))+ROW()/100000,"")</f>
        <v/>
      </c>
    </row>
    <row r="52">
      <c r="G52" s="7" t="n"/>
      <c r="H52" s="7" t="n"/>
      <c r="N52" s="7">
        <f>IF($C52="","",M52*Y52/100)</f>
        <v/>
      </c>
      <c r="O52" s="11" t="n"/>
      <c r="T52" s="7" t="n"/>
      <c r="V52" s="7">
        <f>IF($C52="","",Y52*AA52/100)</f>
        <v/>
      </c>
      <c r="W52" s="7">
        <f>IF($C52="","",Y52-V52)</f>
        <v/>
      </c>
      <c r="X52" s="7">
        <f>IF($C52="","",W52-N52)</f>
        <v/>
      </c>
      <c r="Y52" s="7" t="n"/>
      <c r="AA52">
        <f>IF($C52="","",IF($AD52=1,Settings!$C$6,Settings!$C$7)*100)</f>
        <v/>
      </c>
      <c r="AB52">
        <f>IF($C52="","",IF(COUNTIF($C$2:$C52,$C52)=1,1,0))</f>
        <v/>
      </c>
      <c r="AC52">
        <f>IF($AB52=1,SUMPRODUCT(--($AE$2:$AE$501&lt;$AE52))+1,"")</f>
        <v/>
      </c>
      <c r="AD52">
        <f>IF($C52="","",IF(OR($Z52=TRUE(),$Z52="TRUE"),0,1))</f>
        <v/>
      </c>
      <c r="AE52">
        <f>IF($AB52=1,IFERROR(IF(VALUE($C52)&lt;100000000,VALUE($C52),1000000000),IFERROR(IF(VALUE(MID($C52,2,20))&lt;100000000,VALUE(MID($C52,2,20)),1000000000),1000000000))+ROW()/100000,"")</f>
        <v/>
      </c>
    </row>
    <row r="53">
      <c r="G53" s="7" t="n"/>
      <c r="H53" s="7" t="n"/>
      <c r="N53" s="7">
        <f>IF($C53="","",M53*Y53/100)</f>
        <v/>
      </c>
      <c r="O53" s="11" t="n"/>
      <c r="T53" s="7" t="n"/>
      <c r="V53" s="7">
        <f>IF($C53="","",Y53*AA53/100)</f>
        <v/>
      </c>
      <c r="W53" s="7">
        <f>IF($C53="","",Y53-V53)</f>
        <v/>
      </c>
      <c r="X53" s="7">
        <f>IF($C53="","",W53-N53)</f>
        <v/>
      </c>
      <c r="Y53" s="7" t="n"/>
      <c r="AA53">
        <f>IF($C53="","",IF($AD53=1,Settings!$C$6,Settings!$C$7)*100)</f>
        <v/>
      </c>
      <c r="AB53">
        <f>IF($C53="","",IF(COUNTIF($C$2:$C53,$C53)=1,1,0))</f>
        <v/>
      </c>
      <c r="AC53">
        <f>IF($AB53=1,SUMPRODUCT(--($AE$2:$AE$501&lt;$AE53))+1,"")</f>
        <v/>
      </c>
      <c r="AD53">
        <f>IF($C53="","",IF(OR($Z53=TRUE(),$Z53="TRUE"),0,1))</f>
        <v/>
      </c>
      <c r="AE53">
        <f>IF($AB53=1,IFERROR(IF(VALUE($C53)&lt;100000000,VALUE($C53),1000000000),IFERROR(IF(VALUE(MID($C53,2,20))&lt;100000000,VALUE(MID($C53,2,20)),1000000000),1000000000))+ROW()/100000,"")</f>
        <v/>
      </c>
    </row>
    <row r="54">
      <c r="G54" s="7" t="n"/>
      <c r="H54" s="7" t="n"/>
      <c r="N54" s="7">
        <f>IF($C54="","",M54*Y54/100)</f>
        <v/>
      </c>
      <c r="O54" s="11" t="n"/>
      <c r="T54" s="7" t="n"/>
      <c r="V54" s="7">
        <f>IF($C54="","",Y54*AA54/100)</f>
        <v/>
      </c>
      <c r="W54" s="7">
        <f>IF($C54="","",Y54-V54)</f>
        <v/>
      </c>
      <c r="X54" s="7">
        <f>IF($C54="","",W54-N54)</f>
        <v/>
      </c>
      <c r="Y54" s="7" t="n"/>
      <c r="AA54">
        <f>IF($C54="","",IF($AD54=1,Settings!$C$6,Settings!$C$7)*100)</f>
        <v/>
      </c>
      <c r="AB54">
        <f>IF($C54="","",IF(COUNTIF($C$2:$C54,$C54)=1,1,0))</f>
        <v/>
      </c>
      <c r="AC54">
        <f>IF($AB54=1,SUMPRODUCT(--($AE$2:$AE$501&lt;$AE54))+1,"")</f>
        <v/>
      </c>
      <c r="AD54">
        <f>IF($C54="","",IF(OR($Z54=TRUE(),$Z54="TRUE"),0,1))</f>
        <v/>
      </c>
      <c r="AE54">
        <f>IF($AB54=1,IFERROR(IF(VALUE($C54)&lt;100000000,VALUE($C54),1000000000),IFERROR(IF(VALUE(MID($C54,2,20))&lt;100000000,VALUE(MID($C54,2,20)),1000000000),1000000000))+ROW()/100000,"")</f>
        <v/>
      </c>
    </row>
    <row r="55">
      <c r="G55" s="7" t="n"/>
      <c r="H55" s="7" t="n"/>
      <c r="N55" s="7">
        <f>IF($C55="","",M55*Y55/100)</f>
        <v/>
      </c>
      <c r="O55" s="11" t="n"/>
      <c r="T55" s="7" t="n"/>
      <c r="V55" s="7">
        <f>IF($C55="","",Y55*AA55/100)</f>
        <v/>
      </c>
      <c r="W55" s="7">
        <f>IF($C55="","",Y55-V55)</f>
        <v/>
      </c>
      <c r="X55" s="7">
        <f>IF($C55="","",W55-N55)</f>
        <v/>
      </c>
      <c r="Y55" s="7" t="n"/>
      <c r="AA55">
        <f>IF($C55="","",IF($AD55=1,Settings!$C$6,Settings!$C$7)*100)</f>
        <v/>
      </c>
      <c r="AB55">
        <f>IF($C55="","",IF(COUNTIF($C$2:$C55,$C55)=1,1,0))</f>
        <v/>
      </c>
      <c r="AC55">
        <f>IF($AB55=1,SUMPRODUCT(--($AE$2:$AE$501&lt;$AE55))+1,"")</f>
        <v/>
      </c>
      <c r="AD55">
        <f>IF($C55="","",IF(OR($Z55=TRUE(),$Z55="TRUE"),0,1))</f>
        <v/>
      </c>
      <c r="AE55">
        <f>IF($AB55=1,IFERROR(IF(VALUE($C55)&lt;100000000,VALUE($C55),1000000000),IFERROR(IF(VALUE(MID($C55,2,20))&lt;100000000,VALUE(MID($C55,2,20)),1000000000),1000000000))+ROW()/100000,"")</f>
        <v/>
      </c>
    </row>
    <row r="56">
      <c r="G56" s="7" t="n"/>
      <c r="H56" s="7" t="n"/>
      <c r="N56" s="7">
        <f>IF($C56="","",M56*Y56/100)</f>
        <v/>
      </c>
      <c r="O56" s="11" t="n"/>
      <c r="T56" s="7" t="n"/>
      <c r="V56" s="7">
        <f>IF($C56="","",Y56*AA56/100)</f>
        <v/>
      </c>
      <c r="W56" s="7">
        <f>IF($C56="","",Y56-V56)</f>
        <v/>
      </c>
      <c r="X56" s="7">
        <f>IF($C56="","",W56-N56)</f>
        <v/>
      </c>
      <c r="Y56" s="7" t="n"/>
      <c r="AA56">
        <f>IF($C56="","",IF($AD56=1,Settings!$C$6,Settings!$C$7)*100)</f>
        <v/>
      </c>
      <c r="AB56">
        <f>IF($C56="","",IF(COUNTIF($C$2:$C56,$C56)=1,1,0))</f>
        <v/>
      </c>
      <c r="AC56">
        <f>IF($AB56=1,SUMPRODUCT(--($AE$2:$AE$501&lt;$AE56))+1,"")</f>
        <v/>
      </c>
      <c r="AD56">
        <f>IF($C56="","",IF(OR($Z56=TRUE(),$Z56="TRUE"),0,1))</f>
        <v/>
      </c>
      <c r="AE56">
        <f>IF($AB56=1,IFERROR(IF(VALUE($C56)&lt;100000000,VALUE($C56),1000000000),IFERROR(IF(VALUE(MID($C56,2,20))&lt;100000000,VALUE(MID($C56,2,20)),1000000000),1000000000))+ROW()/100000,"")</f>
        <v/>
      </c>
    </row>
    <row r="57">
      <c r="G57" s="7" t="n"/>
      <c r="H57" s="7" t="n"/>
      <c r="N57" s="7">
        <f>IF($C57="","",M57*Y57/100)</f>
        <v/>
      </c>
      <c r="O57" s="11" t="n"/>
      <c r="T57" s="7" t="n"/>
      <c r="V57" s="7">
        <f>IF($C57="","",Y57*AA57/100)</f>
        <v/>
      </c>
      <c r="W57" s="7">
        <f>IF($C57="","",Y57-V57)</f>
        <v/>
      </c>
      <c r="X57" s="7">
        <f>IF($C57="","",W57-N57)</f>
        <v/>
      </c>
      <c r="Y57" s="7" t="n"/>
      <c r="AA57">
        <f>IF($C57="","",IF($AD57=1,Settings!$C$6,Settings!$C$7)*100)</f>
        <v/>
      </c>
      <c r="AB57">
        <f>IF($C57="","",IF(COUNTIF($C$2:$C57,$C57)=1,1,0))</f>
        <v/>
      </c>
      <c r="AC57">
        <f>IF($AB57=1,SUMPRODUCT(--($AE$2:$AE$501&lt;$AE57))+1,"")</f>
        <v/>
      </c>
      <c r="AD57">
        <f>IF($C57="","",IF(OR($Z57=TRUE(),$Z57="TRUE"),0,1))</f>
        <v/>
      </c>
      <c r="AE57">
        <f>IF($AB57=1,IFERROR(IF(VALUE($C57)&lt;100000000,VALUE($C57),1000000000),IFERROR(IF(VALUE(MID($C57,2,20))&lt;100000000,VALUE(MID($C57,2,20)),1000000000),1000000000))+ROW()/100000,"")</f>
        <v/>
      </c>
    </row>
    <row r="58">
      <c r="G58" s="7" t="n"/>
      <c r="H58" s="7" t="n"/>
      <c r="N58" s="7">
        <f>IF($C58="","",M58*Y58/100)</f>
        <v/>
      </c>
      <c r="O58" s="11" t="n"/>
      <c r="T58" s="7" t="n"/>
      <c r="V58" s="7">
        <f>IF($C58="","",Y58*AA58/100)</f>
        <v/>
      </c>
      <c r="W58" s="7">
        <f>IF($C58="","",Y58-V58)</f>
        <v/>
      </c>
      <c r="X58" s="7">
        <f>IF($C58="","",W58-N58)</f>
        <v/>
      </c>
      <c r="Y58" s="7" t="n"/>
      <c r="AA58">
        <f>IF($C58="","",IF($AD58=1,Settings!$C$6,Settings!$C$7)*100)</f>
        <v/>
      </c>
      <c r="AB58">
        <f>IF($C58="","",IF(COUNTIF($C$2:$C58,$C58)=1,1,0))</f>
        <v/>
      </c>
      <c r="AC58">
        <f>IF($AB58=1,SUMPRODUCT(--($AE$2:$AE$501&lt;$AE58))+1,"")</f>
        <v/>
      </c>
      <c r="AD58">
        <f>IF($C58="","",IF(OR($Z58=TRUE(),$Z58="TRUE"),0,1))</f>
        <v/>
      </c>
      <c r="AE58">
        <f>IF($AB58=1,IFERROR(IF(VALUE($C58)&lt;100000000,VALUE($C58),1000000000),IFERROR(IF(VALUE(MID($C58,2,20))&lt;100000000,VALUE(MID($C58,2,20)),1000000000),1000000000))+ROW()/100000,"")</f>
        <v/>
      </c>
    </row>
    <row r="59">
      <c r="G59" s="7" t="n"/>
      <c r="H59" s="7" t="n"/>
      <c r="N59" s="7">
        <f>IF($C59="","",M59*Y59/100)</f>
        <v/>
      </c>
      <c r="O59" s="11" t="n"/>
      <c r="T59" s="7" t="n"/>
      <c r="V59" s="7">
        <f>IF($C59="","",Y59*AA59/100)</f>
        <v/>
      </c>
      <c r="W59" s="7">
        <f>IF($C59="","",Y59-V59)</f>
        <v/>
      </c>
      <c r="X59" s="7">
        <f>IF($C59="","",W59-N59)</f>
        <v/>
      </c>
      <c r="Y59" s="7" t="n"/>
      <c r="AA59">
        <f>IF($C59="","",IF($AD59=1,Settings!$C$6,Settings!$C$7)*100)</f>
        <v/>
      </c>
      <c r="AB59">
        <f>IF($C59="","",IF(COUNTIF($C$2:$C59,$C59)=1,1,0))</f>
        <v/>
      </c>
      <c r="AC59">
        <f>IF($AB59=1,SUMPRODUCT(--($AE$2:$AE$501&lt;$AE59))+1,"")</f>
        <v/>
      </c>
      <c r="AD59">
        <f>IF($C59="","",IF(OR($Z59=TRUE(),$Z59="TRUE"),0,1))</f>
        <v/>
      </c>
      <c r="AE59">
        <f>IF($AB59=1,IFERROR(IF(VALUE($C59)&lt;100000000,VALUE($C59),1000000000),IFERROR(IF(VALUE(MID($C59,2,20))&lt;100000000,VALUE(MID($C59,2,20)),1000000000),1000000000))+ROW()/100000,"")</f>
        <v/>
      </c>
    </row>
    <row r="60">
      <c r="G60" s="7" t="n"/>
      <c r="H60" s="7" t="n"/>
      <c r="N60" s="7">
        <f>IF($C60="","",M60*Y60/100)</f>
        <v/>
      </c>
      <c r="O60" s="11" t="n"/>
      <c r="T60" s="7" t="n"/>
      <c r="V60" s="7">
        <f>IF($C60="","",Y60*AA60/100)</f>
        <v/>
      </c>
      <c r="W60" s="7">
        <f>IF($C60="","",Y60-V60)</f>
        <v/>
      </c>
      <c r="X60" s="7">
        <f>IF($C60="","",W60-N60)</f>
        <v/>
      </c>
      <c r="Y60" s="7" t="n"/>
      <c r="AA60">
        <f>IF($C60="","",IF($AD60=1,Settings!$C$6,Settings!$C$7)*100)</f>
        <v/>
      </c>
      <c r="AB60">
        <f>IF($C60="","",IF(COUNTIF($C$2:$C60,$C60)=1,1,0))</f>
        <v/>
      </c>
      <c r="AC60">
        <f>IF($AB60=1,SUMPRODUCT(--($AE$2:$AE$501&lt;$AE60))+1,"")</f>
        <v/>
      </c>
      <c r="AD60">
        <f>IF($C60="","",IF(OR($Z60=TRUE(),$Z60="TRUE"),0,1))</f>
        <v/>
      </c>
      <c r="AE60">
        <f>IF($AB60=1,IFERROR(IF(VALUE($C60)&lt;100000000,VALUE($C60),1000000000),IFERROR(IF(VALUE(MID($C60,2,20))&lt;100000000,VALUE(MID($C60,2,20)),1000000000),1000000000))+ROW()/100000,"")</f>
        <v/>
      </c>
    </row>
    <row r="61">
      <c r="G61" s="7" t="n"/>
      <c r="H61" s="7" t="n"/>
      <c r="N61" s="7">
        <f>IF($C61="","",M61*Y61/100)</f>
        <v/>
      </c>
      <c r="O61" s="11" t="n"/>
      <c r="T61" s="7" t="n"/>
      <c r="V61" s="7">
        <f>IF($C61="","",Y61*AA61/100)</f>
        <v/>
      </c>
      <c r="W61" s="7">
        <f>IF($C61="","",Y61-V61)</f>
        <v/>
      </c>
      <c r="X61" s="7">
        <f>IF($C61="","",W61-N61)</f>
        <v/>
      </c>
      <c r="Y61" s="7" t="n"/>
      <c r="AA61">
        <f>IF($C61="","",IF($AD61=1,Settings!$C$6,Settings!$C$7)*100)</f>
        <v/>
      </c>
      <c r="AB61">
        <f>IF($C61="","",IF(COUNTIF($C$2:$C61,$C61)=1,1,0))</f>
        <v/>
      </c>
      <c r="AC61">
        <f>IF($AB61=1,SUMPRODUCT(--($AE$2:$AE$501&lt;$AE61))+1,"")</f>
        <v/>
      </c>
      <c r="AD61">
        <f>IF($C61="","",IF(OR($Z61=TRUE(),$Z61="TRUE"),0,1))</f>
        <v/>
      </c>
      <c r="AE61">
        <f>IF($AB61=1,IFERROR(IF(VALUE($C61)&lt;100000000,VALUE($C61),1000000000),IFERROR(IF(VALUE(MID($C61,2,20))&lt;100000000,VALUE(MID($C61,2,20)),1000000000),1000000000))+ROW()/100000,"")</f>
        <v/>
      </c>
    </row>
    <row r="62">
      <c r="G62" s="7" t="n"/>
      <c r="H62" s="7" t="n"/>
      <c r="N62" s="7">
        <f>IF($C62="","",M62*Y62/100)</f>
        <v/>
      </c>
      <c r="O62" s="11" t="n"/>
      <c r="T62" s="7" t="n"/>
      <c r="V62" s="7">
        <f>IF($C62="","",Y62*AA62/100)</f>
        <v/>
      </c>
      <c r="W62" s="7">
        <f>IF($C62="","",Y62-V62)</f>
        <v/>
      </c>
      <c r="X62" s="7">
        <f>IF($C62="","",W62-N62)</f>
        <v/>
      </c>
      <c r="Y62" s="7" t="n"/>
      <c r="AA62">
        <f>IF($C62="","",IF($AD62=1,Settings!$C$6,Settings!$C$7)*100)</f>
        <v/>
      </c>
      <c r="AB62">
        <f>IF($C62="","",IF(COUNTIF($C$2:$C62,$C62)=1,1,0))</f>
        <v/>
      </c>
      <c r="AC62">
        <f>IF($AB62=1,SUMPRODUCT(--($AE$2:$AE$501&lt;$AE62))+1,"")</f>
        <v/>
      </c>
      <c r="AD62">
        <f>IF($C62="","",IF(OR($Z62=TRUE(),$Z62="TRUE"),0,1))</f>
        <v/>
      </c>
      <c r="AE62">
        <f>IF($AB62=1,IFERROR(IF(VALUE($C62)&lt;100000000,VALUE($C62),1000000000),IFERROR(IF(VALUE(MID($C62,2,20))&lt;100000000,VALUE(MID($C62,2,20)),1000000000),1000000000))+ROW()/100000,"")</f>
        <v/>
      </c>
    </row>
    <row r="63">
      <c r="G63" s="7" t="n"/>
      <c r="H63" s="7" t="n"/>
      <c r="N63" s="7">
        <f>IF($C63="","",M63*Y63/100)</f>
        <v/>
      </c>
      <c r="O63" s="11" t="n"/>
      <c r="T63" s="7" t="n"/>
      <c r="V63" s="7">
        <f>IF($C63="","",Y63*AA63/100)</f>
        <v/>
      </c>
      <c r="W63" s="7">
        <f>IF($C63="","",Y63-V63)</f>
        <v/>
      </c>
      <c r="X63" s="7">
        <f>IF($C63="","",W63-N63)</f>
        <v/>
      </c>
      <c r="Y63" s="7" t="n"/>
      <c r="AA63">
        <f>IF($C63="","",IF($AD63=1,Settings!$C$6,Settings!$C$7)*100)</f>
        <v/>
      </c>
      <c r="AB63">
        <f>IF($C63="","",IF(COUNTIF($C$2:$C63,$C63)=1,1,0))</f>
        <v/>
      </c>
      <c r="AC63">
        <f>IF($AB63=1,SUMPRODUCT(--($AE$2:$AE$501&lt;$AE63))+1,"")</f>
        <v/>
      </c>
      <c r="AD63">
        <f>IF($C63="","",IF(OR($Z63=TRUE(),$Z63="TRUE"),0,1))</f>
        <v/>
      </c>
      <c r="AE63">
        <f>IF($AB63=1,IFERROR(IF(VALUE($C63)&lt;100000000,VALUE($C63),1000000000),IFERROR(IF(VALUE(MID($C63,2,20))&lt;100000000,VALUE(MID($C63,2,20)),1000000000),1000000000))+ROW()/100000,"")</f>
        <v/>
      </c>
    </row>
    <row r="64">
      <c r="G64" s="7" t="n"/>
      <c r="H64" s="7" t="n"/>
      <c r="N64" s="7">
        <f>IF($C64="","",M64*Y64/100)</f>
        <v/>
      </c>
      <c r="O64" s="11" t="n"/>
      <c r="T64" s="7" t="n"/>
      <c r="V64" s="7">
        <f>IF($C64="","",Y64*AA64/100)</f>
        <v/>
      </c>
      <c r="W64" s="7">
        <f>IF($C64="","",Y64-V64)</f>
        <v/>
      </c>
      <c r="X64" s="7">
        <f>IF($C64="","",W64-N64)</f>
        <v/>
      </c>
      <c r="Y64" s="7" t="n"/>
      <c r="AA64">
        <f>IF($C64="","",IF($AD64=1,Settings!$C$6,Settings!$C$7)*100)</f>
        <v/>
      </c>
      <c r="AB64">
        <f>IF($C64="","",IF(COUNTIF($C$2:$C64,$C64)=1,1,0))</f>
        <v/>
      </c>
      <c r="AC64">
        <f>IF($AB64=1,SUMPRODUCT(--($AE$2:$AE$501&lt;$AE64))+1,"")</f>
        <v/>
      </c>
      <c r="AD64">
        <f>IF($C64="","",IF(OR($Z64=TRUE(),$Z64="TRUE"),0,1))</f>
        <v/>
      </c>
      <c r="AE64">
        <f>IF($AB64=1,IFERROR(IF(VALUE($C64)&lt;100000000,VALUE($C64),1000000000),IFERROR(IF(VALUE(MID($C64,2,20))&lt;100000000,VALUE(MID($C64,2,20)),1000000000),1000000000))+ROW()/100000,"")</f>
        <v/>
      </c>
    </row>
    <row r="65">
      <c r="G65" s="7" t="n"/>
      <c r="H65" s="7" t="n"/>
      <c r="N65" s="7">
        <f>IF($C65="","",M65*Y65/100)</f>
        <v/>
      </c>
      <c r="O65" s="11" t="n"/>
      <c r="T65" s="7" t="n"/>
      <c r="V65" s="7">
        <f>IF($C65="","",Y65*AA65/100)</f>
        <v/>
      </c>
      <c r="W65" s="7">
        <f>IF($C65="","",Y65-V65)</f>
        <v/>
      </c>
      <c r="X65" s="7">
        <f>IF($C65="","",W65-N65)</f>
        <v/>
      </c>
      <c r="Y65" s="7" t="n"/>
      <c r="AA65">
        <f>IF($C65="","",IF($AD65=1,Settings!$C$6,Settings!$C$7)*100)</f>
        <v/>
      </c>
      <c r="AB65">
        <f>IF($C65="","",IF(COUNTIF($C$2:$C65,$C65)=1,1,0))</f>
        <v/>
      </c>
      <c r="AC65">
        <f>IF($AB65=1,SUMPRODUCT(--($AE$2:$AE$501&lt;$AE65))+1,"")</f>
        <v/>
      </c>
      <c r="AD65">
        <f>IF($C65="","",IF(OR($Z65=TRUE(),$Z65="TRUE"),0,1))</f>
        <v/>
      </c>
      <c r="AE65">
        <f>IF($AB65=1,IFERROR(IF(VALUE($C65)&lt;100000000,VALUE($C65),1000000000),IFERROR(IF(VALUE(MID($C65,2,20))&lt;100000000,VALUE(MID($C65,2,20)),1000000000),1000000000))+ROW()/100000,"")</f>
        <v/>
      </c>
    </row>
    <row r="66">
      <c r="G66" s="7" t="n"/>
      <c r="H66" s="7" t="n"/>
      <c r="N66" s="7">
        <f>IF($C66="","",M66*Y66/100)</f>
        <v/>
      </c>
      <c r="O66" s="11" t="n"/>
      <c r="T66" s="7" t="n"/>
      <c r="V66" s="7">
        <f>IF($C66="","",Y66*AA66/100)</f>
        <v/>
      </c>
      <c r="W66" s="7">
        <f>IF($C66="","",Y66-V66)</f>
        <v/>
      </c>
      <c r="X66" s="7">
        <f>IF($C66="","",W66-N66)</f>
        <v/>
      </c>
      <c r="Y66" s="7" t="n"/>
      <c r="AA66">
        <f>IF($C66="","",IF($AD66=1,Settings!$C$6,Settings!$C$7)*100)</f>
        <v/>
      </c>
      <c r="AB66">
        <f>IF($C66="","",IF(COUNTIF($C$2:$C66,$C66)=1,1,0))</f>
        <v/>
      </c>
      <c r="AC66">
        <f>IF($AB66=1,SUMPRODUCT(--($AE$2:$AE$501&lt;$AE66))+1,"")</f>
        <v/>
      </c>
      <c r="AD66">
        <f>IF($C66="","",IF(OR($Z66=TRUE(),$Z66="TRUE"),0,1))</f>
        <v/>
      </c>
      <c r="AE66">
        <f>IF($AB66=1,IFERROR(IF(VALUE($C66)&lt;100000000,VALUE($C66),1000000000),IFERROR(IF(VALUE(MID($C66,2,20))&lt;100000000,VALUE(MID($C66,2,20)),1000000000),1000000000))+ROW()/100000,"")</f>
        <v/>
      </c>
    </row>
    <row r="67">
      <c r="G67" s="7" t="n"/>
      <c r="H67" s="7" t="n"/>
      <c r="N67" s="7">
        <f>IF($C67="","",M67*Y67/100)</f>
        <v/>
      </c>
      <c r="O67" s="11" t="n"/>
      <c r="T67" s="7" t="n"/>
      <c r="V67" s="7">
        <f>IF($C67="","",Y67*AA67/100)</f>
        <v/>
      </c>
      <c r="W67" s="7">
        <f>IF($C67="","",Y67-V67)</f>
        <v/>
      </c>
      <c r="X67" s="7">
        <f>IF($C67="","",W67-N67)</f>
        <v/>
      </c>
      <c r="Y67" s="7" t="n"/>
      <c r="AA67">
        <f>IF($C67="","",IF($AD67=1,Settings!$C$6,Settings!$C$7)*100)</f>
        <v/>
      </c>
      <c r="AB67">
        <f>IF($C67="","",IF(COUNTIF($C$2:$C67,$C67)=1,1,0))</f>
        <v/>
      </c>
      <c r="AC67">
        <f>IF($AB67=1,SUMPRODUCT(--($AE$2:$AE$501&lt;$AE67))+1,"")</f>
        <v/>
      </c>
      <c r="AD67">
        <f>IF($C67="","",IF(OR($Z67=TRUE(),$Z67="TRUE"),0,1))</f>
        <v/>
      </c>
      <c r="AE67">
        <f>IF($AB67=1,IFERROR(IF(VALUE($C67)&lt;100000000,VALUE($C67),1000000000),IFERROR(IF(VALUE(MID($C67,2,20))&lt;100000000,VALUE(MID($C67,2,20)),1000000000),1000000000))+ROW()/100000,"")</f>
        <v/>
      </c>
    </row>
    <row r="68">
      <c r="G68" s="7" t="n"/>
      <c r="H68" s="7" t="n"/>
      <c r="N68" s="7">
        <f>IF($C68="","",M68*Y68/100)</f>
        <v/>
      </c>
      <c r="O68" s="11" t="n"/>
      <c r="T68" s="7" t="n"/>
      <c r="V68" s="7">
        <f>IF($C68="","",Y68*AA68/100)</f>
        <v/>
      </c>
      <c r="W68" s="7">
        <f>IF($C68="","",Y68-V68)</f>
        <v/>
      </c>
      <c r="X68" s="7">
        <f>IF($C68="","",W68-N68)</f>
        <v/>
      </c>
      <c r="Y68" s="7" t="n"/>
      <c r="AA68">
        <f>IF($C68="","",IF($AD68=1,Settings!$C$6,Settings!$C$7)*100)</f>
        <v/>
      </c>
      <c r="AB68">
        <f>IF($C68="","",IF(COUNTIF($C$2:$C68,$C68)=1,1,0))</f>
        <v/>
      </c>
      <c r="AC68">
        <f>IF($AB68=1,SUMPRODUCT(--($AE$2:$AE$501&lt;$AE68))+1,"")</f>
        <v/>
      </c>
      <c r="AD68">
        <f>IF($C68="","",IF(OR($Z68=TRUE(),$Z68="TRUE"),0,1))</f>
        <v/>
      </c>
      <c r="AE68">
        <f>IF($AB68=1,IFERROR(IF(VALUE($C68)&lt;100000000,VALUE($C68),1000000000),IFERROR(IF(VALUE(MID($C68,2,20))&lt;100000000,VALUE(MID($C68,2,20)),1000000000),1000000000))+ROW()/100000,"")</f>
        <v/>
      </c>
    </row>
    <row r="69">
      <c r="G69" s="7" t="n"/>
      <c r="H69" s="7" t="n"/>
      <c r="N69" s="7">
        <f>IF($C69="","",M69*Y69/100)</f>
        <v/>
      </c>
      <c r="O69" s="11" t="n"/>
      <c r="T69" s="7" t="n"/>
      <c r="V69" s="7">
        <f>IF($C69="","",Y69*AA69/100)</f>
        <v/>
      </c>
      <c r="W69" s="7">
        <f>IF($C69="","",Y69-V69)</f>
        <v/>
      </c>
      <c r="X69" s="7">
        <f>IF($C69="","",W69-N69)</f>
        <v/>
      </c>
      <c r="Y69" s="7" t="n"/>
      <c r="AA69">
        <f>IF($C69="","",IF($AD69=1,Settings!$C$6,Settings!$C$7)*100)</f>
        <v/>
      </c>
      <c r="AB69">
        <f>IF($C69="","",IF(COUNTIF($C$2:$C69,$C69)=1,1,0))</f>
        <v/>
      </c>
      <c r="AC69">
        <f>IF($AB69=1,SUMPRODUCT(--($AE$2:$AE$501&lt;$AE69))+1,"")</f>
        <v/>
      </c>
      <c r="AD69">
        <f>IF($C69="","",IF(OR($Z69=TRUE(),$Z69="TRUE"),0,1))</f>
        <v/>
      </c>
      <c r="AE69">
        <f>IF($AB69=1,IFERROR(IF(VALUE($C69)&lt;100000000,VALUE($C69),1000000000),IFERROR(IF(VALUE(MID($C69,2,20))&lt;100000000,VALUE(MID($C69,2,20)),1000000000),1000000000))+ROW()/100000,"")</f>
        <v/>
      </c>
    </row>
    <row r="70">
      <c r="G70" s="7" t="n"/>
      <c r="H70" s="7" t="n"/>
      <c r="N70" s="7">
        <f>IF($C70="","",M70*Y70/100)</f>
        <v/>
      </c>
      <c r="O70" s="11" t="n"/>
      <c r="T70" s="7" t="n"/>
      <c r="V70" s="7">
        <f>IF($C70="","",Y70*AA70/100)</f>
        <v/>
      </c>
      <c r="W70" s="7">
        <f>IF($C70="","",Y70-V70)</f>
        <v/>
      </c>
      <c r="X70" s="7">
        <f>IF($C70="","",W70-N70)</f>
        <v/>
      </c>
      <c r="Y70" s="7" t="n"/>
      <c r="AA70">
        <f>IF($C70="","",IF($AD70=1,Settings!$C$6,Settings!$C$7)*100)</f>
        <v/>
      </c>
      <c r="AB70">
        <f>IF($C70="","",IF(COUNTIF($C$2:$C70,$C70)=1,1,0))</f>
        <v/>
      </c>
      <c r="AC70">
        <f>IF($AB70=1,SUMPRODUCT(--($AE$2:$AE$501&lt;$AE70))+1,"")</f>
        <v/>
      </c>
      <c r="AD70">
        <f>IF($C70="","",IF(OR($Z70=TRUE(),$Z70="TRUE"),0,1))</f>
        <v/>
      </c>
      <c r="AE70">
        <f>IF($AB70=1,IFERROR(IF(VALUE($C70)&lt;100000000,VALUE($C70),1000000000),IFERROR(IF(VALUE(MID($C70,2,20))&lt;100000000,VALUE(MID($C70,2,20)),1000000000),1000000000))+ROW()/100000,"")</f>
        <v/>
      </c>
    </row>
    <row r="71">
      <c r="G71" s="7" t="n"/>
      <c r="H71" s="7" t="n"/>
      <c r="N71" s="7">
        <f>IF($C71="","",M71*Y71/100)</f>
        <v/>
      </c>
      <c r="O71" s="11" t="n"/>
      <c r="T71" s="7" t="n"/>
      <c r="V71" s="7">
        <f>IF($C71="","",Y71*AA71/100)</f>
        <v/>
      </c>
      <c r="W71" s="7">
        <f>IF($C71="","",Y71-V71)</f>
        <v/>
      </c>
      <c r="X71" s="7">
        <f>IF($C71="","",W71-N71)</f>
        <v/>
      </c>
      <c r="Y71" s="7" t="n"/>
      <c r="AA71">
        <f>IF($C71="","",IF($AD71=1,Settings!$C$6,Settings!$C$7)*100)</f>
        <v/>
      </c>
      <c r="AB71">
        <f>IF($C71="","",IF(COUNTIF($C$2:$C71,$C71)=1,1,0))</f>
        <v/>
      </c>
      <c r="AC71">
        <f>IF($AB71=1,SUMPRODUCT(--($AE$2:$AE$501&lt;$AE71))+1,"")</f>
        <v/>
      </c>
      <c r="AD71">
        <f>IF($C71="","",IF(OR($Z71=TRUE(),$Z71="TRUE"),0,1))</f>
        <v/>
      </c>
      <c r="AE71">
        <f>IF($AB71=1,IFERROR(IF(VALUE($C71)&lt;100000000,VALUE($C71),1000000000),IFERROR(IF(VALUE(MID($C71,2,20))&lt;100000000,VALUE(MID($C71,2,20)),1000000000),1000000000))+ROW()/100000,"")</f>
        <v/>
      </c>
    </row>
    <row r="72">
      <c r="G72" s="7" t="n"/>
      <c r="H72" s="7" t="n"/>
      <c r="N72" s="7">
        <f>IF($C72="","",M72*Y72/100)</f>
        <v/>
      </c>
      <c r="O72" s="11" t="n"/>
      <c r="T72" s="7" t="n"/>
      <c r="V72" s="7">
        <f>IF($C72="","",Y72*AA72/100)</f>
        <v/>
      </c>
      <c r="W72" s="7">
        <f>IF($C72="","",Y72-V72)</f>
        <v/>
      </c>
      <c r="X72" s="7">
        <f>IF($C72="","",W72-N72)</f>
        <v/>
      </c>
      <c r="Y72" s="7" t="n"/>
      <c r="AA72">
        <f>IF($C72="","",IF($AD72=1,Settings!$C$6,Settings!$C$7)*100)</f>
        <v/>
      </c>
      <c r="AB72">
        <f>IF($C72="","",IF(COUNTIF($C$2:$C72,$C72)=1,1,0))</f>
        <v/>
      </c>
      <c r="AC72">
        <f>IF($AB72=1,SUMPRODUCT(--($AE$2:$AE$501&lt;$AE72))+1,"")</f>
        <v/>
      </c>
      <c r="AD72">
        <f>IF($C72="","",IF(OR($Z72=TRUE(),$Z72="TRUE"),0,1))</f>
        <v/>
      </c>
      <c r="AE72">
        <f>IF($AB72=1,IFERROR(IF(VALUE($C72)&lt;100000000,VALUE($C72),1000000000),IFERROR(IF(VALUE(MID($C72,2,20))&lt;100000000,VALUE(MID($C72,2,20)),1000000000),1000000000))+ROW()/100000,"")</f>
        <v/>
      </c>
    </row>
    <row r="73">
      <c r="G73" s="7" t="n"/>
      <c r="H73" s="7" t="n"/>
      <c r="N73" s="7">
        <f>IF($C73="","",M73*Y73/100)</f>
        <v/>
      </c>
      <c r="O73" s="11" t="n"/>
      <c r="T73" s="7" t="n"/>
      <c r="V73" s="7">
        <f>IF($C73="","",Y73*AA73/100)</f>
        <v/>
      </c>
      <c r="W73" s="7">
        <f>IF($C73="","",Y73-V73)</f>
        <v/>
      </c>
      <c r="X73" s="7">
        <f>IF($C73="","",W73-N73)</f>
        <v/>
      </c>
      <c r="Y73" s="7" t="n"/>
      <c r="AA73">
        <f>IF($C73="","",IF($AD73=1,Settings!$C$6,Settings!$C$7)*100)</f>
        <v/>
      </c>
      <c r="AB73">
        <f>IF($C73="","",IF(COUNTIF($C$2:$C73,$C73)=1,1,0))</f>
        <v/>
      </c>
      <c r="AC73">
        <f>IF($AB73=1,SUMPRODUCT(--($AE$2:$AE$501&lt;$AE73))+1,"")</f>
        <v/>
      </c>
      <c r="AD73">
        <f>IF($C73="","",IF(OR($Z73=TRUE(),$Z73="TRUE"),0,1))</f>
        <v/>
      </c>
      <c r="AE73">
        <f>IF($AB73=1,IFERROR(IF(VALUE($C73)&lt;100000000,VALUE($C73),1000000000),IFERROR(IF(VALUE(MID($C73,2,20))&lt;100000000,VALUE(MID($C73,2,20)),1000000000),1000000000))+ROW()/100000,"")</f>
        <v/>
      </c>
    </row>
    <row r="74">
      <c r="G74" s="7" t="n"/>
      <c r="H74" s="7" t="n"/>
      <c r="N74" s="7">
        <f>IF($C74="","",M74*Y74/100)</f>
        <v/>
      </c>
      <c r="O74" s="11" t="n"/>
      <c r="T74" s="7" t="n"/>
      <c r="V74" s="7">
        <f>IF($C74="","",Y74*AA74/100)</f>
        <v/>
      </c>
      <c r="W74" s="7">
        <f>IF($C74="","",Y74-V74)</f>
        <v/>
      </c>
      <c r="X74" s="7">
        <f>IF($C74="","",W74-N74)</f>
        <v/>
      </c>
      <c r="Y74" s="7" t="n"/>
      <c r="AA74">
        <f>IF($C74="","",IF($AD74=1,Settings!$C$6,Settings!$C$7)*100)</f>
        <v/>
      </c>
      <c r="AB74">
        <f>IF($C74="","",IF(COUNTIF($C$2:$C74,$C74)=1,1,0))</f>
        <v/>
      </c>
      <c r="AC74">
        <f>IF($AB74=1,SUMPRODUCT(--($AE$2:$AE$501&lt;$AE74))+1,"")</f>
        <v/>
      </c>
      <c r="AD74">
        <f>IF($C74="","",IF(OR($Z74=TRUE(),$Z74="TRUE"),0,1))</f>
        <v/>
      </c>
      <c r="AE74">
        <f>IF($AB74=1,IFERROR(IF(VALUE($C74)&lt;100000000,VALUE($C74),1000000000),IFERROR(IF(VALUE(MID($C74,2,20))&lt;100000000,VALUE(MID($C74,2,20)),1000000000),1000000000))+ROW()/100000,"")</f>
        <v/>
      </c>
    </row>
    <row r="75">
      <c r="G75" s="7" t="n"/>
      <c r="H75" s="7" t="n"/>
      <c r="N75" s="7">
        <f>IF($C75="","",M75*Y75/100)</f>
        <v/>
      </c>
      <c r="O75" s="11" t="n"/>
      <c r="T75" s="7" t="n"/>
      <c r="V75" s="7">
        <f>IF($C75="","",Y75*AA75/100)</f>
        <v/>
      </c>
      <c r="W75" s="7">
        <f>IF($C75="","",Y75-V75)</f>
        <v/>
      </c>
      <c r="X75" s="7">
        <f>IF($C75="","",W75-N75)</f>
        <v/>
      </c>
      <c r="Y75" s="7" t="n"/>
      <c r="AA75">
        <f>IF($C75="","",IF($AD75=1,Settings!$C$6,Settings!$C$7)*100)</f>
        <v/>
      </c>
      <c r="AB75">
        <f>IF($C75="","",IF(COUNTIF($C$2:$C75,$C75)=1,1,0))</f>
        <v/>
      </c>
      <c r="AC75">
        <f>IF($AB75=1,SUMPRODUCT(--($AE$2:$AE$501&lt;$AE75))+1,"")</f>
        <v/>
      </c>
      <c r="AD75">
        <f>IF($C75="","",IF(OR($Z75=TRUE(),$Z75="TRUE"),0,1))</f>
        <v/>
      </c>
      <c r="AE75">
        <f>IF($AB75=1,IFERROR(IF(VALUE($C75)&lt;100000000,VALUE($C75),1000000000),IFERROR(IF(VALUE(MID($C75,2,20))&lt;100000000,VALUE(MID($C75,2,20)),1000000000),1000000000))+ROW()/100000,"")</f>
        <v/>
      </c>
    </row>
    <row r="76">
      <c r="G76" s="7" t="n"/>
      <c r="H76" s="7" t="n"/>
      <c r="N76" s="7">
        <f>IF($C76="","",M76*Y76/100)</f>
        <v/>
      </c>
      <c r="O76" s="11" t="n"/>
      <c r="T76" s="7" t="n"/>
      <c r="V76" s="7">
        <f>IF($C76="","",Y76*AA76/100)</f>
        <v/>
      </c>
      <c r="W76" s="7">
        <f>IF($C76="","",Y76-V76)</f>
        <v/>
      </c>
      <c r="X76" s="7">
        <f>IF($C76="","",W76-N76)</f>
        <v/>
      </c>
      <c r="Y76" s="7" t="n"/>
      <c r="AA76">
        <f>IF($C76="","",IF($AD76=1,Settings!$C$6,Settings!$C$7)*100)</f>
        <v/>
      </c>
      <c r="AB76">
        <f>IF($C76="","",IF(COUNTIF($C$2:$C76,$C76)=1,1,0))</f>
        <v/>
      </c>
      <c r="AC76">
        <f>IF($AB76=1,SUMPRODUCT(--($AE$2:$AE$501&lt;$AE76))+1,"")</f>
        <v/>
      </c>
      <c r="AD76">
        <f>IF($C76="","",IF(OR($Z76=TRUE(),$Z76="TRUE"),0,1))</f>
        <v/>
      </c>
      <c r="AE76">
        <f>IF($AB76=1,IFERROR(IF(VALUE($C76)&lt;100000000,VALUE($C76),1000000000),IFERROR(IF(VALUE(MID($C76,2,20))&lt;100000000,VALUE(MID($C76,2,20)),1000000000),1000000000))+ROW()/100000,"")</f>
        <v/>
      </c>
    </row>
    <row r="77">
      <c r="G77" s="7" t="n"/>
      <c r="H77" s="7" t="n"/>
      <c r="N77" s="7">
        <f>IF($C77="","",M77*Y77/100)</f>
        <v/>
      </c>
      <c r="O77" s="11" t="n"/>
      <c r="T77" s="7" t="n"/>
      <c r="V77" s="7">
        <f>IF($C77="","",Y77*AA77/100)</f>
        <v/>
      </c>
      <c r="W77" s="7">
        <f>IF($C77="","",Y77-V77)</f>
        <v/>
      </c>
      <c r="X77" s="7">
        <f>IF($C77="","",W77-N77)</f>
        <v/>
      </c>
      <c r="Y77" s="7" t="n"/>
      <c r="AA77">
        <f>IF($C77="","",IF($AD77=1,Settings!$C$6,Settings!$C$7)*100)</f>
        <v/>
      </c>
      <c r="AB77">
        <f>IF($C77="","",IF(COUNTIF($C$2:$C77,$C77)=1,1,0))</f>
        <v/>
      </c>
      <c r="AC77">
        <f>IF($AB77=1,SUMPRODUCT(--($AE$2:$AE$501&lt;$AE77))+1,"")</f>
        <v/>
      </c>
      <c r="AD77">
        <f>IF($C77="","",IF(OR($Z77=TRUE(),$Z77="TRUE"),0,1))</f>
        <v/>
      </c>
      <c r="AE77">
        <f>IF($AB77=1,IFERROR(IF(VALUE($C77)&lt;100000000,VALUE($C77),1000000000),IFERROR(IF(VALUE(MID($C77,2,20))&lt;100000000,VALUE(MID($C77,2,20)),1000000000),1000000000))+ROW()/100000,"")</f>
        <v/>
      </c>
    </row>
    <row r="78">
      <c r="G78" s="7" t="n"/>
      <c r="H78" s="7" t="n"/>
      <c r="N78" s="7">
        <f>IF($C78="","",M78*Y78/100)</f>
        <v/>
      </c>
      <c r="O78" s="11" t="n"/>
      <c r="T78" s="7" t="n"/>
      <c r="V78" s="7">
        <f>IF($C78="","",Y78*AA78/100)</f>
        <v/>
      </c>
      <c r="W78" s="7">
        <f>IF($C78="","",Y78-V78)</f>
        <v/>
      </c>
      <c r="X78" s="7">
        <f>IF($C78="","",W78-N78)</f>
        <v/>
      </c>
      <c r="Y78" s="7" t="n"/>
      <c r="AA78">
        <f>IF($C78="","",IF($AD78=1,Settings!$C$6,Settings!$C$7)*100)</f>
        <v/>
      </c>
      <c r="AB78">
        <f>IF($C78="","",IF(COUNTIF($C$2:$C78,$C78)=1,1,0))</f>
        <v/>
      </c>
      <c r="AC78">
        <f>IF($AB78=1,SUMPRODUCT(--($AE$2:$AE$501&lt;$AE78))+1,"")</f>
        <v/>
      </c>
      <c r="AD78">
        <f>IF($C78="","",IF(OR($Z78=TRUE(),$Z78="TRUE"),0,1))</f>
        <v/>
      </c>
      <c r="AE78">
        <f>IF($AB78=1,IFERROR(IF(VALUE($C78)&lt;100000000,VALUE($C78),1000000000),IFERROR(IF(VALUE(MID($C78,2,20))&lt;100000000,VALUE(MID($C78,2,20)),1000000000),1000000000))+ROW()/100000,"")</f>
        <v/>
      </c>
    </row>
    <row r="79">
      <c r="G79" s="7" t="n"/>
      <c r="H79" s="7" t="n"/>
      <c r="N79" s="7">
        <f>IF($C79="","",M79*Y79/100)</f>
        <v/>
      </c>
      <c r="O79" s="11" t="n"/>
      <c r="T79" s="7" t="n"/>
      <c r="V79" s="7">
        <f>IF($C79="","",Y79*AA79/100)</f>
        <v/>
      </c>
      <c r="W79" s="7">
        <f>IF($C79="","",Y79-V79)</f>
        <v/>
      </c>
      <c r="X79" s="7">
        <f>IF($C79="","",W79-N79)</f>
        <v/>
      </c>
      <c r="Y79" s="7" t="n"/>
      <c r="AA79">
        <f>IF($C79="","",IF($AD79=1,Settings!$C$6,Settings!$C$7)*100)</f>
        <v/>
      </c>
      <c r="AB79">
        <f>IF($C79="","",IF(COUNTIF($C$2:$C79,$C79)=1,1,0))</f>
        <v/>
      </c>
      <c r="AC79">
        <f>IF($AB79=1,SUMPRODUCT(--($AE$2:$AE$501&lt;$AE79))+1,"")</f>
        <v/>
      </c>
      <c r="AD79">
        <f>IF($C79="","",IF(OR($Z79=TRUE(),$Z79="TRUE"),0,1))</f>
        <v/>
      </c>
      <c r="AE79">
        <f>IF($AB79=1,IFERROR(IF(VALUE($C79)&lt;100000000,VALUE($C79),1000000000),IFERROR(IF(VALUE(MID($C79,2,20))&lt;100000000,VALUE(MID($C79,2,20)),1000000000),1000000000))+ROW()/100000,"")</f>
        <v/>
      </c>
    </row>
    <row r="80">
      <c r="G80" s="7" t="n"/>
      <c r="H80" s="7" t="n"/>
      <c r="N80" s="7">
        <f>IF($C80="","",M80*Y80/100)</f>
        <v/>
      </c>
      <c r="O80" s="11" t="n"/>
      <c r="T80" s="7" t="n"/>
      <c r="V80" s="7">
        <f>IF($C80="","",Y80*AA80/100)</f>
        <v/>
      </c>
      <c r="W80" s="7">
        <f>IF($C80="","",Y80-V80)</f>
        <v/>
      </c>
      <c r="X80" s="7">
        <f>IF($C80="","",W80-N80)</f>
        <v/>
      </c>
      <c r="Y80" s="7" t="n"/>
      <c r="AA80">
        <f>IF($C80="","",IF($AD80=1,Settings!$C$6,Settings!$C$7)*100)</f>
        <v/>
      </c>
      <c r="AB80">
        <f>IF($C80="","",IF(COUNTIF($C$2:$C80,$C80)=1,1,0))</f>
        <v/>
      </c>
      <c r="AC80">
        <f>IF($AB80=1,SUMPRODUCT(--($AE$2:$AE$501&lt;$AE80))+1,"")</f>
        <v/>
      </c>
      <c r="AD80">
        <f>IF($C80="","",IF(OR($Z80=TRUE(),$Z80="TRUE"),0,1))</f>
        <v/>
      </c>
      <c r="AE80">
        <f>IF($AB80=1,IFERROR(IF(VALUE($C80)&lt;100000000,VALUE($C80),1000000000),IFERROR(IF(VALUE(MID($C80,2,20))&lt;100000000,VALUE(MID($C80,2,20)),1000000000),1000000000))+ROW()/100000,"")</f>
        <v/>
      </c>
    </row>
    <row r="81">
      <c r="G81" s="7" t="n"/>
      <c r="H81" s="7" t="n"/>
      <c r="N81" s="7">
        <f>IF($C81="","",M81*Y81/100)</f>
        <v/>
      </c>
      <c r="O81" s="11" t="n"/>
      <c r="T81" s="7" t="n"/>
      <c r="V81" s="7">
        <f>IF($C81="","",Y81*AA81/100)</f>
        <v/>
      </c>
      <c r="W81" s="7">
        <f>IF($C81="","",Y81-V81)</f>
        <v/>
      </c>
      <c r="X81" s="7">
        <f>IF($C81="","",W81-N81)</f>
        <v/>
      </c>
      <c r="Y81" s="7" t="n"/>
      <c r="AA81">
        <f>IF($C81="","",IF($AD81=1,Settings!$C$6,Settings!$C$7)*100)</f>
        <v/>
      </c>
      <c r="AB81">
        <f>IF($C81="","",IF(COUNTIF($C$2:$C81,$C81)=1,1,0))</f>
        <v/>
      </c>
      <c r="AC81">
        <f>IF($AB81=1,SUMPRODUCT(--($AE$2:$AE$501&lt;$AE81))+1,"")</f>
        <v/>
      </c>
      <c r="AD81">
        <f>IF($C81="","",IF(OR($Z81=TRUE(),$Z81="TRUE"),0,1))</f>
        <v/>
      </c>
      <c r="AE81">
        <f>IF($AB81=1,IFERROR(IF(VALUE($C81)&lt;100000000,VALUE($C81),1000000000),IFERROR(IF(VALUE(MID($C81,2,20))&lt;100000000,VALUE(MID($C81,2,20)),1000000000),1000000000))+ROW()/100000,"")</f>
        <v/>
      </c>
    </row>
    <row r="82">
      <c r="G82" s="7" t="n"/>
      <c r="H82" s="7" t="n"/>
      <c r="N82" s="7">
        <f>IF($C82="","",M82*Y82/100)</f>
        <v/>
      </c>
      <c r="O82" s="11" t="n"/>
      <c r="T82" s="7" t="n"/>
      <c r="V82" s="7">
        <f>IF($C82="","",Y82*AA82/100)</f>
        <v/>
      </c>
      <c r="W82" s="7">
        <f>IF($C82="","",Y82-V82)</f>
        <v/>
      </c>
      <c r="X82" s="7">
        <f>IF($C82="","",W82-N82)</f>
        <v/>
      </c>
      <c r="Y82" s="7" t="n"/>
      <c r="AA82">
        <f>IF($C82="","",IF($AD82=1,Settings!$C$6,Settings!$C$7)*100)</f>
        <v/>
      </c>
      <c r="AB82">
        <f>IF($C82="","",IF(COUNTIF($C$2:$C82,$C82)=1,1,0))</f>
        <v/>
      </c>
      <c r="AC82">
        <f>IF($AB82=1,SUMPRODUCT(--($AE$2:$AE$501&lt;$AE82))+1,"")</f>
        <v/>
      </c>
      <c r="AD82">
        <f>IF($C82="","",IF(OR($Z82=TRUE(),$Z82="TRUE"),0,1))</f>
        <v/>
      </c>
      <c r="AE82">
        <f>IF($AB82=1,IFERROR(IF(VALUE($C82)&lt;100000000,VALUE($C82),1000000000),IFERROR(IF(VALUE(MID($C82,2,20))&lt;100000000,VALUE(MID($C82,2,20)),1000000000),1000000000))+ROW()/100000,"")</f>
        <v/>
      </c>
    </row>
    <row r="83">
      <c r="G83" s="7" t="n"/>
      <c r="H83" s="7" t="n"/>
      <c r="N83" s="7">
        <f>IF($C83="","",M83*Y83/100)</f>
        <v/>
      </c>
      <c r="O83" s="11" t="n"/>
      <c r="T83" s="7" t="n"/>
      <c r="V83" s="7">
        <f>IF($C83="","",Y83*AA83/100)</f>
        <v/>
      </c>
      <c r="W83" s="7">
        <f>IF($C83="","",Y83-V83)</f>
        <v/>
      </c>
      <c r="X83" s="7">
        <f>IF($C83="","",W83-N83)</f>
        <v/>
      </c>
      <c r="Y83" s="7" t="n"/>
      <c r="AA83">
        <f>IF($C83="","",IF($AD83=1,Settings!$C$6,Settings!$C$7)*100)</f>
        <v/>
      </c>
      <c r="AB83">
        <f>IF($C83="","",IF(COUNTIF($C$2:$C83,$C83)=1,1,0))</f>
        <v/>
      </c>
      <c r="AC83">
        <f>IF($AB83=1,SUMPRODUCT(--($AE$2:$AE$501&lt;$AE83))+1,"")</f>
        <v/>
      </c>
      <c r="AD83">
        <f>IF($C83="","",IF(OR($Z83=TRUE(),$Z83="TRUE"),0,1))</f>
        <v/>
      </c>
      <c r="AE83">
        <f>IF($AB83=1,IFERROR(IF(VALUE($C83)&lt;100000000,VALUE($C83),1000000000),IFERROR(IF(VALUE(MID($C83,2,20))&lt;100000000,VALUE(MID($C83,2,20)),1000000000),1000000000))+ROW()/100000,"")</f>
        <v/>
      </c>
    </row>
    <row r="84">
      <c r="G84" s="7" t="n"/>
      <c r="H84" s="7" t="n"/>
      <c r="N84" s="7">
        <f>IF($C84="","",M84*Y84/100)</f>
        <v/>
      </c>
      <c r="O84" s="11" t="n"/>
      <c r="T84" s="7" t="n"/>
      <c r="V84" s="7">
        <f>IF($C84="","",Y84*AA84/100)</f>
        <v/>
      </c>
      <c r="W84" s="7">
        <f>IF($C84="","",Y84-V84)</f>
        <v/>
      </c>
      <c r="X84" s="7">
        <f>IF($C84="","",W84-N84)</f>
        <v/>
      </c>
      <c r="Y84" s="7" t="n"/>
      <c r="AA84">
        <f>IF($C84="","",IF($AD84=1,Settings!$C$6,Settings!$C$7)*100)</f>
        <v/>
      </c>
      <c r="AB84">
        <f>IF($C84="","",IF(COUNTIF($C$2:$C84,$C84)=1,1,0))</f>
        <v/>
      </c>
      <c r="AC84">
        <f>IF($AB84=1,SUMPRODUCT(--($AE$2:$AE$501&lt;$AE84))+1,"")</f>
        <v/>
      </c>
      <c r="AD84">
        <f>IF($C84="","",IF(OR($Z84=TRUE(),$Z84="TRUE"),0,1))</f>
        <v/>
      </c>
      <c r="AE84">
        <f>IF($AB84=1,IFERROR(IF(VALUE($C84)&lt;100000000,VALUE($C84),1000000000),IFERROR(IF(VALUE(MID($C84,2,20))&lt;100000000,VALUE(MID($C84,2,20)),1000000000),1000000000))+ROW()/100000,"")</f>
        <v/>
      </c>
    </row>
    <row r="85">
      <c r="G85" s="7" t="n"/>
      <c r="H85" s="7" t="n"/>
      <c r="N85" s="7">
        <f>IF($C85="","",M85*Y85/100)</f>
        <v/>
      </c>
      <c r="O85" s="11" t="n"/>
      <c r="T85" s="7" t="n"/>
      <c r="V85" s="7">
        <f>IF($C85="","",Y85*AA85/100)</f>
        <v/>
      </c>
      <c r="W85" s="7">
        <f>IF($C85="","",Y85-V85)</f>
        <v/>
      </c>
      <c r="X85" s="7">
        <f>IF($C85="","",W85-N85)</f>
        <v/>
      </c>
      <c r="Y85" s="7" t="n"/>
      <c r="AA85">
        <f>IF($C85="","",IF($AD85=1,Settings!$C$6,Settings!$C$7)*100)</f>
        <v/>
      </c>
      <c r="AB85">
        <f>IF($C85="","",IF(COUNTIF($C$2:$C85,$C85)=1,1,0))</f>
        <v/>
      </c>
      <c r="AC85">
        <f>IF($AB85=1,SUMPRODUCT(--($AE$2:$AE$501&lt;$AE85))+1,"")</f>
        <v/>
      </c>
      <c r="AD85">
        <f>IF($C85="","",IF(OR($Z85=TRUE(),$Z85="TRUE"),0,1))</f>
        <v/>
      </c>
      <c r="AE85">
        <f>IF($AB85=1,IFERROR(IF(VALUE($C85)&lt;100000000,VALUE($C85),1000000000),IFERROR(IF(VALUE(MID($C85,2,20))&lt;100000000,VALUE(MID($C85,2,20)),1000000000),1000000000))+ROW()/100000,"")</f>
        <v/>
      </c>
    </row>
    <row r="86">
      <c r="G86" s="7" t="n"/>
      <c r="H86" s="7" t="n"/>
      <c r="N86" s="7">
        <f>IF($C86="","",M86*Y86/100)</f>
        <v/>
      </c>
      <c r="O86" s="11" t="n"/>
      <c r="T86" s="7" t="n"/>
      <c r="V86" s="7">
        <f>IF($C86="","",Y86*AA86/100)</f>
        <v/>
      </c>
      <c r="W86" s="7">
        <f>IF($C86="","",Y86-V86)</f>
        <v/>
      </c>
      <c r="X86" s="7">
        <f>IF($C86="","",W86-N86)</f>
        <v/>
      </c>
      <c r="Y86" s="7" t="n"/>
      <c r="AA86">
        <f>IF($C86="","",IF($AD86=1,Settings!$C$6,Settings!$C$7)*100)</f>
        <v/>
      </c>
      <c r="AB86">
        <f>IF($C86="","",IF(COUNTIF($C$2:$C86,$C86)=1,1,0))</f>
        <v/>
      </c>
      <c r="AC86">
        <f>IF($AB86=1,SUMPRODUCT(--($AE$2:$AE$501&lt;$AE86))+1,"")</f>
        <v/>
      </c>
      <c r="AD86">
        <f>IF($C86="","",IF(OR($Z86=TRUE(),$Z86="TRUE"),0,1))</f>
        <v/>
      </c>
      <c r="AE86">
        <f>IF($AB86=1,IFERROR(IF(VALUE($C86)&lt;100000000,VALUE($C86),1000000000),IFERROR(IF(VALUE(MID($C86,2,20))&lt;100000000,VALUE(MID($C86,2,20)),1000000000),1000000000))+ROW()/100000,"")</f>
        <v/>
      </c>
    </row>
    <row r="87">
      <c r="G87" s="7" t="n"/>
      <c r="H87" s="7" t="n"/>
      <c r="N87" s="7">
        <f>IF($C87="","",M87*Y87/100)</f>
        <v/>
      </c>
      <c r="O87" s="11" t="n"/>
      <c r="T87" s="7" t="n"/>
      <c r="V87" s="7">
        <f>IF($C87="","",Y87*AA87/100)</f>
        <v/>
      </c>
      <c r="W87" s="7">
        <f>IF($C87="","",Y87-V87)</f>
        <v/>
      </c>
      <c r="X87" s="7">
        <f>IF($C87="","",W87-N87)</f>
        <v/>
      </c>
      <c r="Y87" s="7" t="n"/>
      <c r="AA87">
        <f>IF($C87="","",IF($AD87=1,Settings!$C$6,Settings!$C$7)*100)</f>
        <v/>
      </c>
      <c r="AB87">
        <f>IF($C87="","",IF(COUNTIF($C$2:$C87,$C87)=1,1,0))</f>
        <v/>
      </c>
      <c r="AC87">
        <f>IF($AB87=1,SUMPRODUCT(--($AE$2:$AE$501&lt;$AE87))+1,"")</f>
        <v/>
      </c>
      <c r="AD87">
        <f>IF($C87="","",IF(OR($Z87=TRUE(),$Z87="TRUE"),0,1))</f>
        <v/>
      </c>
      <c r="AE87">
        <f>IF($AB87=1,IFERROR(IF(VALUE($C87)&lt;100000000,VALUE($C87),1000000000),IFERROR(IF(VALUE(MID($C87,2,20))&lt;100000000,VALUE(MID($C87,2,20)),1000000000),1000000000))+ROW()/100000,"")</f>
        <v/>
      </c>
    </row>
    <row r="88">
      <c r="G88" s="7" t="n"/>
      <c r="H88" s="7" t="n"/>
      <c r="N88" s="7">
        <f>IF($C88="","",M88*Y88/100)</f>
        <v/>
      </c>
      <c r="O88" s="11" t="n"/>
      <c r="T88" s="7" t="n"/>
      <c r="V88" s="7">
        <f>IF($C88="","",Y88*AA88/100)</f>
        <v/>
      </c>
      <c r="W88" s="7">
        <f>IF($C88="","",Y88-V88)</f>
        <v/>
      </c>
      <c r="X88" s="7">
        <f>IF($C88="","",W88-N88)</f>
        <v/>
      </c>
      <c r="Y88" s="7" t="n"/>
      <c r="AA88">
        <f>IF($C88="","",IF($AD88=1,Settings!$C$6,Settings!$C$7)*100)</f>
        <v/>
      </c>
      <c r="AB88">
        <f>IF($C88="","",IF(COUNTIF($C$2:$C88,$C88)=1,1,0))</f>
        <v/>
      </c>
      <c r="AC88">
        <f>IF($AB88=1,SUMPRODUCT(--($AE$2:$AE$501&lt;$AE88))+1,"")</f>
        <v/>
      </c>
      <c r="AD88">
        <f>IF($C88="","",IF(OR($Z88=TRUE(),$Z88="TRUE"),0,1))</f>
        <v/>
      </c>
      <c r="AE88">
        <f>IF($AB88=1,IFERROR(IF(VALUE($C88)&lt;100000000,VALUE($C88),1000000000),IFERROR(IF(VALUE(MID($C88,2,20))&lt;100000000,VALUE(MID($C88,2,20)),1000000000),1000000000))+ROW()/100000,"")</f>
        <v/>
      </c>
    </row>
    <row r="89">
      <c r="G89" s="7" t="n"/>
      <c r="H89" s="7" t="n"/>
      <c r="N89" s="7">
        <f>IF($C89="","",M89*Y89/100)</f>
        <v/>
      </c>
      <c r="O89" s="11" t="n"/>
      <c r="T89" s="7" t="n"/>
      <c r="V89" s="7">
        <f>IF($C89="","",Y89*AA89/100)</f>
        <v/>
      </c>
      <c r="W89" s="7">
        <f>IF($C89="","",Y89-V89)</f>
        <v/>
      </c>
      <c r="X89" s="7">
        <f>IF($C89="","",W89-N89)</f>
        <v/>
      </c>
      <c r="Y89" s="7" t="n"/>
      <c r="AA89">
        <f>IF($C89="","",IF($AD89=1,Settings!$C$6,Settings!$C$7)*100)</f>
        <v/>
      </c>
      <c r="AB89">
        <f>IF($C89="","",IF(COUNTIF($C$2:$C89,$C89)=1,1,0))</f>
        <v/>
      </c>
      <c r="AC89">
        <f>IF($AB89=1,SUMPRODUCT(--($AE$2:$AE$501&lt;$AE89))+1,"")</f>
        <v/>
      </c>
      <c r="AD89">
        <f>IF($C89="","",IF(OR($Z89=TRUE(),$Z89="TRUE"),0,1))</f>
        <v/>
      </c>
      <c r="AE89">
        <f>IF($AB89=1,IFERROR(IF(VALUE($C89)&lt;100000000,VALUE($C89),1000000000),IFERROR(IF(VALUE(MID($C89,2,20))&lt;100000000,VALUE(MID($C89,2,20)),1000000000),1000000000))+ROW()/100000,"")</f>
        <v/>
      </c>
    </row>
    <row r="90">
      <c r="G90" s="7" t="n"/>
      <c r="H90" s="7" t="n"/>
      <c r="N90" s="7">
        <f>IF($C90="","",M90*Y90/100)</f>
        <v/>
      </c>
      <c r="O90" s="11" t="n"/>
      <c r="T90" s="7" t="n"/>
      <c r="V90" s="7">
        <f>IF($C90="","",Y90*AA90/100)</f>
        <v/>
      </c>
      <c r="W90" s="7">
        <f>IF($C90="","",Y90-V90)</f>
        <v/>
      </c>
      <c r="X90" s="7">
        <f>IF($C90="","",W90-N90)</f>
        <v/>
      </c>
      <c r="Y90" s="7" t="n"/>
      <c r="AA90">
        <f>IF($C90="","",IF($AD90=1,Settings!$C$6,Settings!$C$7)*100)</f>
        <v/>
      </c>
      <c r="AB90">
        <f>IF($C90="","",IF(COUNTIF($C$2:$C90,$C90)=1,1,0))</f>
        <v/>
      </c>
      <c r="AC90">
        <f>IF($AB90=1,SUMPRODUCT(--($AE$2:$AE$501&lt;$AE90))+1,"")</f>
        <v/>
      </c>
      <c r="AD90">
        <f>IF($C90="","",IF(OR($Z90=TRUE(),$Z90="TRUE"),0,1))</f>
        <v/>
      </c>
      <c r="AE90">
        <f>IF($AB90=1,IFERROR(IF(VALUE($C90)&lt;100000000,VALUE($C90),1000000000),IFERROR(IF(VALUE(MID($C90,2,20))&lt;100000000,VALUE(MID($C90,2,20)),1000000000),1000000000))+ROW()/100000,"")</f>
        <v/>
      </c>
    </row>
    <row r="91">
      <c r="G91" s="7" t="n"/>
      <c r="H91" s="7" t="n"/>
      <c r="N91" s="7">
        <f>IF($C91="","",M91*Y91/100)</f>
        <v/>
      </c>
      <c r="O91" s="11" t="n"/>
      <c r="T91" s="7" t="n"/>
      <c r="V91" s="7">
        <f>IF($C91="","",Y91*AA91/100)</f>
        <v/>
      </c>
      <c r="W91" s="7">
        <f>IF($C91="","",Y91-V91)</f>
        <v/>
      </c>
      <c r="X91" s="7">
        <f>IF($C91="","",W91-N91)</f>
        <v/>
      </c>
      <c r="Y91" s="7" t="n"/>
      <c r="AA91">
        <f>IF($C91="","",IF($AD91=1,Settings!$C$6,Settings!$C$7)*100)</f>
        <v/>
      </c>
      <c r="AB91">
        <f>IF($C91="","",IF(COUNTIF($C$2:$C91,$C91)=1,1,0))</f>
        <v/>
      </c>
      <c r="AC91">
        <f>IF($AB91=1,SUMPRODUCT(--($AE$2:$AE$501&lt;$AE91))+1,"")</f>
        <v/>
      </c>
      <c r="AD91">
        <f>IF($C91="","",IF(OR($Z91=TRUE(),$Z91="TRUE"),0,1))</f>
        <v/>
      </c>
      <c r="AE91">
        <f>IF($AB91=1,IFERROR(IF(VALUE($C91)&lt;100000000,VALUE($C91),1000000000),IFERROR(IF(VALUE(MID($C91,2,20))&lt;100000000,VALUE(MID($C91,2,20)),1000000000),1000000000))+ROW()/100000,"")</f>
        <v/>
      </c>
    </row>
    <row r="92">
      <c r="G92" s="7" t="n"/>
      <c r="H92" s="7" t="n"/>
      <c r="N92" s="7">
        <f>IF($C92="","",M92*Y92/100)</f>
        <v/>
      </c>
      <c r="O92" s="11" t="n"/>
      <c r="T92" s="7" t="n"/>
      <c r="V92" s="7">
        <f>IF($C92="","",Y92*AA92/100)</f>
        <v/>
      </c>
      <c r="W92" s="7">
        <f>IF($C92="","",Y92-V92)</f>
        <v/>
      </c>
      <c r="X92" s="7">
        <f>IF($C92="","",W92-N92)</f>
        <v/>
      </c>
      <c r="Y92" s="7" t="n"/>
      <c r="AA92">
        <f>IF($C92="","",IF($AD92=1,Settings!$C$6,Settings!$C$7)*100)</f>
        <v/>
      </c>
      <c r="AB92">
        <f>IF($C92="","",IF(COUNTIF($C$2:$C92,$C92)=1,1,0))</f>
        <v/>
      </c>
      <c r="AC92">
        <f>IF($AB92=1,SUMPRODUCT(--($AE$2:$AE$501&lt;$AE92))+1,"")</f>
        <v/>
      </c>
      <c r="AD92">
        <f>IF($C92="","",IF(OR($Z92=TRUE(),$Z92="TRUE"),0,1))</f>
        <v/>
      </c>
      <c r="AE92">
        <f>IF($AB92=1,IFERROR(IF(VALUE($C92)&lt;100000000,VALUE($C92),1000000000),IFERROR(IF(VALUE(MID($C92,2,20))&lt;100000000,VALUE(MID($C92,2,20)),1000000000),1000000000))+ROW()/100000,"")</f>
        <v/>
      </c>
    </row>
    <row r="93">
      <c r="G93" s="7" t="n"/>
      <c r="H93" s="7" t="n"/>
      <c r="N93" s="7">
        <f>IF($C93="","",M93*Y93/100)</f>
        <v/>
      </c>
      <c r="O93" s="11" t="n"/>
      <c r="T93" s="7" t="n"/>
      <c r="V93" s="7">
        <f>IF($C93="","",Y93*AA93/100)</f>
        <v/>
      </c>
      <c r="W93" s="7">
        <f>IF($C93="","",Y93-V93)</f>
        <v/>
      </c>
      <c r="X93" s="7">
        <f>IF($C93="","",W93-N93)</f>
        <v/>
      </c>
      <c r="Y93" s="7" t="n"/>
      <c r="AA93">
        <f>IF($C93="","",IF($AD93=1,Settings!$C$6,Settings!$C$7)*100)</f>
        <v/>
      </c>
      <c r="AB93">
        <f>IF($C93="","",IF(COUNTIF($C$2:$C93,$C93)=1,1,0))</f>
        <v/>
      </c>
      <c r="AC93">
        <f>IF($AB93=1,SUMPRODUCT(--($AE$2:$AE$501&lt;$AE93))+1,"")</f>
        <v/>
      </c>
      <c r="AD93">
        <f>IF($C93="","",IF(OR($Z93=TRUE(),$Z93="TRUE"),0,1))</f>
        <v/>
      </c>
      <c r="AE93">
        <f>IF($AB93=1,IFERROR(IF(VALUE($C93)&lt;100000000,VALUE($C93),1000000000),IFERROR(IF(VALUE(MID($C93,2,20))&lt;100000000,VALUE(MID($C93,2,20)),1000000000),1000000000))+ROW()/100000,"")</f>
        <v/>
      </c>
    </row>
    <row r="94">
      <c r="G94" s="7" t="n"/>
      <c r="H94" s="7" t="n"/>
      <c r="N94" s="7">
        <f>IF($C94="","",M94*Y94/100)</f>
        <v/>
      </c>
      <c r="O94" s="11" t="n"/>
      <c r="T94" s="7" t="n"/>
      <c r="V94" s="7">
        <f>IF($C94="","",Y94*AA94/100)</f>
        <v/>
      </c>
      <c r="W94" s="7">
        <f>IF($C94="","",Y94-V94)</f>
        <v/>
      </c>
      <c r="X94" s="7">
        <f>IF($C94="","",W94-N94)</f>
        <v/>
      </c>
      <c r="Y94" s="7" t="n"/>
      <c r="AA94">
        <f>IF($C94="","",IF($AD94=1,Settings!$C$6,Settings!$C$7)*100)</f>
        <v/>
      </c>
      <c r="AB94">
        <f>IF($C94="","",IF(COUNTIF($C$2:$C94,$C94)=1,1,0))</f>
        <v/>
      </c>
      <c r="AC94">
        <f>IF($AB94=1,SUMPRODUCT(--($AE$2:$AE$501&lt;$AE94))+1,"")</f>
        <v/>
      </c>
      <c r="AD94">
        <f>IF($C94="","",IF(OR($Z94=TRUE(),$Z94="TRUE"),0,1))</f>
        <v/>
      </c>
      <c r="AE94">
        <f>IF($AB94=1,IFERROR(IF(VALUE($C94)&lt;100000000,VALUE($C94),1000000000),IFERROR(IF(VALUE(MID($C94,2,20))&lt;100000000,VALUE(MID($C94,2,20)),1000000000),1000000000))+ROW()/100000,"")</f>
        <v/>
      </c>
    </row>
    <row r="95">
      <c r="G95" s="7" t="n"/>
      <c r="H95" s="7" t="n"/>
      <c r="N95" s="7">
        <f>IF($C95="","",M95*Y95/100)</f>
        <v/>
      </c>
      <c r="O95" s="11" t="n"/>
      <c r="T95" s="7" t="n"/>
      <c r="V95" s="7">
        <f>IF($C95="","",Y95*AA95/100)</f>
        <v/>
      </c>
      <c r="W95" s="7">
        <f>IF($C95="","",Y95-V95)</f>
        <v/>
      </c>
      <c r="X95" s="7">
        <f>IF($C95="","",W95-N95)</f>
        <v/>
      </c>
      <c r="Y95" s="7" t="n"/>
      <c r="AA95">
        <f>IF($C95="","",IF($AD95=1,Settings!$C$6,Settings!$C$7)*100)</f>
        <v/>
      </c>
      <c r="AB95">
        <f>IF($C95="","",IF(COUNTIF($C$2:$C95,$C95)=1,1,0))</f>
        <v/>
      </c>
      <c r="AC95">
        <f>IF($AB95=1,SUMPRODUCT(--($AE$2:$AE$501&lt;$AE95))+1,"")</f>
        <v/>
      </c>
      <c r="AD95">
        <f>IF($C95="","",IF(OR($Z95=TRUE(),$Z95="TRUE"),0,1))</f>
        <v/>
      </c>
      <c r="AE95">
        <f>IF($AB95=1,IFERROR(IF(VALUE($C95)&lt;100000000,VALUE($C95),1000000000),IFERROR(IF(VALUE(MID($C95,2,20))&lt;100000000,VALUE(MID($C95,2,20)),1000000000),1000000000))+ROW()/100000,"")</f>
        <v/>
      </c>
    </row>
    <row r="96">
      <c r="G96" s="7" t="n"/>
      <c r="H96" s="7" t="n"/>
      <c r="N96" s="7">
        <f>IF($C96="","",M96*Y96/100)</f>
        <v/>
      </c>
      <c r="O96" s="11" t="n"/>
      <c r="T96" s="7" t="n"/>
      <c r="V96" s="7">
        <f>IF($C96="","",Y96*AA96/100)</f>
        <v/>
      </c>
      <c r="W96" s="7">
        <f>IF($C96="","",Y96-V96)</f>
        <v/>
      </c>
      <c r="X96" s="7">
        <f>IF($C96="","",W96-N96)</f>
        <v/>
      </c>
      <c r="Y96" s="7" t="n"/>
      <c r="AA96">
        <f>IF($C96="","",IF($AD96=1,Settings!$C$6,Settings!$C$7)*100)</f>
        <v/>
      </c>
      <c r="AB96">
        <f>IF($C96="","",IF(COUNTIF($C$2:$C96,$C96)=1,1,0))</f>
        <v/>
      </c>
      <c r="AC96">
        <f>IF($AB96=1,SUMPRODUCT(--($AE$2:$AE$501&lt;$AE96))+1,"")</f>
        <v/>
      </c>
      <c r="AD96">
        <f>IF($C96="","",IF(OR($Z96=TRUE(),$Z96="TRUE"),0,1))</f>
        <v/>
      </c>
      <c r="AE96">
        <f>IF($AB96=1,IFERROR(IF(VALUE($C96)&lt;100000000,VALUE($C96),1000000000),IFERROR(IF(VALUE(MID($C96,2,20))&lt;100000000,VALUE(MID($C96,2,20)),1000000000),1000000000))+ROW()/100000,"")</f>
        <v/>
      </c>
    </row>
    <row r="97">
      <c r="G97" s="7" t="n"/>
      <c r="H97" s="7" t="n"/>
      <c r="N97" s="7">
        <f>IF($C97="","",M97*Y97/100)</f>
        <v/>
      </c>
      <c r="O97" s="11" t="n"/>
      <c r="T97" s="7" t="n"/>
      <c r="V97" s="7">
        <f>IF($C97="","",Y97*AA97/100)</f>
        <v/>
      </c>
      <c r="W97" s="7">
        <f>IF($C97="","",Y97-V97)</f>
        <v/>
      </c>
      <c r="X97" s="7">
        <f>IF($C97="","",W97-N97)</f>
        <v/>
      </c>
      <c r="Y97" s="7" t="n"/>
      <c r="AA97">
        <f>IF($C97="","",IF($AD97=1,Settings!$C$6,Settings!$C$7)*100)</f>
        <v/>
      </c>
      <c r="AB97">
        <f>IF($C97="","",IF(COUNTIF($C$2:$C97,$C97)=1,1,0))</f>
        <v/>
      </c>
      <c r="AC97">
        <f>IF($AB97=1,SUMPRODUCT(--($AE$2:$AE$501&lt;$AE97))+1,"")</f>
        <v/>
      </c>
      <c r="AD97">
        <f>IF($C97="","",IF(OR($Z97=TRUE(),$Z97="TRUE"),0,1))</f>
        <v/>
      </c>
      <c r="AE97">
        <f>IF($AB97=1,IFERROR(IF(VALUE($C97)&lt;100000000,VALUE($C97),1000000000),IFERROR(IF(VALUE(MID($C97,2,20))&lt;100000000,VALUE(MID($C97,2,20)),1000000000),1000000000))+ROW()/100000,"")</f>
        <v/>
      </c>
    </row>
    <row r="98">
      <c r="G98" s="7" t="n"/>
      <c r="H98" s="7" t="n"/>
      <c r="N98" s="7">
        <f>IF($C98="","",M98*Y98/100)</f>
        <v/>
      </c>
      <c r="O98" s="11" t="n"/>
      <c r="T98" s="7" t="n"/>
      <c r="V98" s="7">
        <f>IF($C98="","",Y98*AA98/100)</f>
        <v/>
      </c>
      <c r="W98" s="7">
        <f>IF($C98="","",Y98-V98)</f>
        <v/>
      </c>
      <c r="X98" s="7">
        <f>IF($C98="","",W98-N98)</f>
        <v/>
      </c>
      <c r="Y98" s="7" t="n"/>
      <c r="AA98">
        <f>IF($C98="","",IF($AD98=1,Settings!$C$6,Settings!$C$7)*100)</f>
        <v/>
      </c>
      <c r="AB98">
        <f>IF($C98="","",IF(COUNTIF($C$2:$C98,$C98)=1,1,0))</f>
        <v/>
      </c>
      <c r="AC98">
        <f>IF($AB98=1,SUMPRODUCT(--($AE$2:$AE$501&lt;$AE98))+1,"")</f>
        <v/>
      </c>
      <c r="AD98">
        <f>IF($C98="","",IF(OR($Z98=TRUE(),$Z98="TRUE"),0,1))</f>
        <v/>
      </c>
      <c r="AE98">
        <f>IF($AB98=1,IFERROR(IF(VALUE($C98)&lt;100000000,VALUE($C98),1000000000),IFERROR(IF(VALUE(MID($C98,2,20))&lt;100000000,VALUE(MID($C98,2,20)),1000000000),1000000000))+ROW()/100000,"")</f>
        <v/>
      </c>
    </row>
    <row r="99">
      <c r="G99" s="7" t="n"/>
      <c r="H99" s="7" t="n"/>
      <c r="N99" s="7">
        <f>IF($C99="","",M99*Y99/100)</f>
        <v/>
      </c>
      <c r="O99" s="11" t="n"/>
      <c r="T99" s="7" t="n"/>
      <c r="V99" s="7">
        <f>IF($C99="","",Y99*AA99/100)</f>
        <v/>
      </c>
      <c r="W99" s="7">
        <f>IF($C99="","",Y99-V99)</f>
        <v/>
      </c>
      <c r="X99" s="7">
        <f>IF($C99="","",W99-N99)</f>
        <v/>
      </c>
      <c r="Y99" s="7" t="n"/>
      <c r="AA99">
        <f>IF($C99="","",IF($AD99=1,Settings!$C$6,Settings!$C$7)*100)</f>
        <v/>
      </c>
      <c r="AB99">
        <f>IF($C99="","",IF(COUNTIF($C$2:$C99,$C99)=1,1,0))</f>
        <v/>
      </c>
      <c r="AC99">
        <f>IF($AB99=1,SUMPRODUCT(--($AE$2:$AE$501&lt;$AE99))+1,"")</f>
        <v/>
      </c>
      <c r="AD99">
        <f>IF($C99="","",IF(OR($Z99=TRUE(),$Z99="TRUE"),0,1))</f>
        <v/>
      </c>
      <c r="AE99">
        <f>IF($AB99=1,IFERROR(IF(VALUE($C99)&lt;100000000,VALUE($C99),1000000000),IFERROR(IF(VALUE(MID($C99,2,20))&lt;100000000,VALUE(MID($C99,2,20)),1000000000),1000000000))+ROW()/100000,"")</f>
        <v/>
      </c>
    </row>
    <row r="100">
      <c r="G100" s="7" t="n"/>
      <c r="H100" s="7" t="n"/>
      <c r="N100" s="7">
        <f>IF($C100="","",M100*Y100/100)</f>
        <v/>
      </c>
      <c r="O100" s="11" t="n"/>
      <c r="T100" s="7" t="n"/>
      <c r="V100" s="7">
        <f>IF($C100="","",Y100*AA100/100)</f>
        <v/>
      </c>
      <c r="W100" s="7">
        <f>IF($C100="","",Y100-V100)</f>
        <v/>
      </c>
      <c r="X100" s="7">
        <f>IF($C100="","",W100-N100)</f>
        <v/>
      </c>
      <c r="Y100" s="7" t="n"/>
      <c r="AA100">
        <f>IF($C100="","",IF($AD100=1,Settings!$C$6,Settings!$C$7)*100)</f>
        <v/>
      </c>
      <c r="AB100">
        <f>IF($C100="","",IF(COUNTIF($C$2:$C100,$C100)=1,1,0))</f>
        <v/>
      </c>
      <c r="AC100">
        <f>IF($AB100=1,SUMPRODUCT(--($AE$2:$AE$501&lt;$AE100))+1,"")</f>
        <v/>
      </c>
      <c r="AD100">
        <f>IF($C100="","",IF(OR($Z100=TRUE(),$Z100="TRUE"),0,1))</f>
        <v/>
      </c>
      <c r="AE100">
        <f>IF($AB100=1,IFERROR(IF(VALUE($C100)&lt;100000000,VALUE($C100),1000000000),IFERROR(IF(VALUE(MID($C100,2,20))&lt;100000000,VALUE(MID($C100,2,20)),1000000000),1000000000))+ROW()/100000,"")</f>
        <v/>
      </c>
    </row>
    <row r="101">
      <c r="G101" s="7" t="n"/>
      <c r="H101" s="7" t="n"/>
      <c r="N101" s="7">
        <f>IF($C101="","",M101*Y101/100)</f>
        <v/>
      </c>
      <c r="O101" s="11" t="n"/>
      <c r="T101" s="7" t="n"/>
      <c r="V101" s="7">
        <f>IF($C101="","",Y101*AA101/100)</f>
        <v/>
      </c>
      <c r="W101" s="7">
        <f>IF($C101="","",Y101-V101)</f>
        <v/>
      </c>
      <c r="X101" s="7">
        <f>IF($C101="","",W101-N101)</f>
        <v/>
      </c>
      <c r="Y101" s="7" t="n"/>
      <c r="AA101">
        <f>IF($C101="","",IF($AD101=1,Settings!$C$6,Settings!$C$7)*100)</f>
        <v/>
      </c>
      <c r="AB101">
        <f>IF($C101="","",IF(COUNTIF($C$2:$C101,$C101)=1,1,0))</f>
        <v/>
      </c>
      <c r="AC101">
        <f>IF($AB101=1,SUMPRODUCT(--($AE$2:$AE$501&lt;$AE101))+1,"")</f>
        <v/>
      </c>
      <c r="AD101">
        <f>IF($C101="","",IF(OR($Z101=TRUE(),$Z101="TRUE"),0,1))</f>
        <v/>
      </c>
      <c r="AE101">
        <f>IF($AB101=1,IFERROR(IF(VALUE($C101)&lt;100000000,VALUE($C101),1000000000),IFERROR(IF(VALUE(MID($C101,2,20))&lt;100000000,VALUE(MID($C101,2,20)),1000000000),1000000000))+ROW()/100000,"")</f>
        <v/>
      </c>
    </row>
    <row r="102">
      <c r="G102" s="7" t="n"/>
      <c r="H102" s="7" t="n"/>
      <c r="N102" s="7">
        <f>IF($C102="","",M102*Y102/100)</f>
        <v/>
      </c>
      <c r="O102" s="11" t="n"/>
      <c r="T102" s="7" t="n"/>
      <c r="V102" s="7">
        <f>IF($C102="","",Y102*AA102/100)</f>
        <v/>
      </c>
      <c r="W102" s="7">
        <f>IF($C102="","",Y102-V102)</f>
        <v/>
      </c>
      <c r="X102" s="7">
        <f>IF($C102="","",W102-N102)</f>
        <v/>
      </c>
      <c r="Y102" s="7" t="n"/>
      <c r="AA102">
        <f>IF($C102="","",IF($AD102=1,Settings!$C$6,Settings!$C$7)*100)</f>
        <v/>
      </c>
      <c r="AB102">
        <f>IF($C102="","",IF(COUNTIF($C$2:$C102,$C102)=1,1,0))</f>
        <v/>
      </c>
      <c r="AC102">
        <f>IF($AB102=1,SUMPRODUCT(--($AE$2:$AE$501&lt;$AE102))+1,"")</f>
        <v/>
      </c>
      <c r="AD102">
        <f>IF($C102="","",IF(OR($Z102=TRUE(),$Z102="TRUE"),0,1))</f>
        <v/>
      </c>
      <c r="AE102">
        <f>IF($AB102=1,IFERROR(IF(VALUE($C102)&lt;100000000,VALUE($C102),1000000000),IFERROR(IF(VALUE(MID($C102,2,20))&lt;100000000,VALUE(MID($C102,2,20)),1000000000),1000000000))+ROW()/100000,"")</f>
        <v/>
      </c>
    </row>
    <row r="103">
      <c r="G103" s="7" t="n"/>
      <c r="H103" s="7" t="n"/>
      <c r="N103" s="7">
        <f>IF($C103="","",M103*Y103/100)</f>
        <v/>
      </c>
      <c r="O103" s="11" t="n"/>
      <c r="T103" s="7" t="n"/>
      <c r="V103" s="7">
        <f>IF($C103="","",Y103*AA103/100)</f>
        <v/>
      </c>
      <c r="W103" s="7">
        <f>IF($C103="","",Y103-V103)</f>
        <v/>
      </c>
      <c r="X103" s="7">
        <f>IF($C103="","",W103-N103)</f>
        <v/>
      </c>
      <c r="Y103" s="7" t="n"/>
      <c r="AA103">
        <f>IF($C103="","",IF($AD103=1,Settings!$C$6,Settings!$C$7)*100)</f>
        <v/>
      </c>
      <c r="AB103">
        <f>IF($C103="","",IF(COUNTIF($C$2:$C103,$C103)=1,1,0))</f>
        <v/>
      </c>
      <c r="AC103">
        <f>IF($AB103=1,SUMPRODUCT(--($AE$2:$AE$501&lt;$AE103))+1,"")</f>
        <v/>
      </c>
      <c r="AD103">
        <f>IF($C103="","",IF(OR($Z103=TRUE(),$Z103="TRUE"),0,1))</f>
        <v/>
      </c>
      <c r="AE103">
        <f>IF($AB103=1,IFERROR(IF(VALUE($C103)&lt;100000000,VALUE($C103),1000000000),IFERROR(IF(VALUE(MID($C103,2,20))&lt;100000000,VALUE(MID($C103,2,20)),1000000000),1000000000))+ROW()/100000,"")</f>
        <v/>
      </c>
    </row>
    <row r="104">
      <c r="G104" s="7" t="n"/>
      <c r="H104" s="7" t="n"/>
      <c r="N104" s="7">
        <f>IF($C104="","",M104*Y104/100)</f>
        <v/>
      </c>
      <c r="O104" s="11" t="n"/>
      <c r="T104" s="7" t="n"/>
      <c r="V104" s="7">
        <f>IF($C104="","",Y104*AA104/100)</f>
        <v/>
      </c>
      <c r="W104" s="7">
        <f>IF($C104="","",Y104-V104)</f>
        <v/>
      </c>
      <c r="X104" s="7">
        <f>IF($C104="","",W104-N104)</f>
        <v/>
      </c>
      <c r="Y104" s="7" t="n"/>
      <c r="AA104">
        <f>IF($C104="","",IF($AD104=1,Settings!$C$6,Settings!$C$7)*100)</f>
        <v/>
      </c>
      <c r="AB104">
        <f>IF($C104="","",IF(COUNTIF($C$2:$C104,$C104)=1,1,0))</f>
        <v/>
      </c>
      <c r="AC104">
        <f>IF($AB104=1,SUMPRODUCT(--($AE$2:$AE$501&lt;$AE104))+1,"")</f>
        <v/>
      </c>
      <c r="AD104">
        <f>IF($C104="","",IF(OR($Z104=TRUE(),$Z104="TRUE"),0,1))</f>
        <v/>
      </c>
      <c r="AE104">
        <f>IF($AB104=1,IFERROR(IF(VALUE($C104)&lt;100000000,VALUE($C104),1000000000),IFERROR(IF(VALUE(MID($C104,2,20))&lt;100000000,VALUE(MID($C104,2,20)),1000000000),1000000000))+ROW()/100000,"")</f>
        <v/>
      </c>
    </row>
    <row r="105">
      <c r="G105" s="7" t="n"/>
      <c r="H105" s="7" t="n"/>
      <c r="N105" s="7">
        <f>IF($C105="","",M105*Y105/100)</f>
        <v/>
      </c>
      <c r="O105" s="11" t="n"/>
      <c r="T105" s="7" t="n"/>
      <c r="V105" s="7">
        <f>IF($C105="","",Y105*AA105/100)</f>
        <v/>
      </c>
      <c r="W105" s="7">
        <f>IF($C105="","",Y105-V105)</f>
        <v/>
      </c>
      <c r="X105" s="7">
        <f>IF($C105="","",W105-N105)</f>
        <v/>
      </c>
      <c r="Y105" s="7" t="n"/>
      <c r="AA105">
        <f>IF($C105="","",IF($AD105=1,Settings!$C$6,Settings!$C$7)*100)</f>
        <v/>
      </c>
      <c r="AB105">
        <f>IF($C105="","",IF(COUNTIF($C$2:$C105,$C105)=1,1,0))</f>
        <v/>
      </c>
      <c r="AC105">
        <f>IF($AB105=1,SUMPRODUCT(--($AE$2:$AE$501&lt;$AE105))+1,"")</f>
        <v/>
      </c>
      <c r="AD105">
        <f>IF($C105="","",IF(OR($Z105=TRUE(),$Z105="TRUE"),0,1))</f>
        <v/>
      </c>
      <c r="AE105">
        <f>IF($AB105=1,IFERROR(IF(VALUE($C105)&lt;100000000,VALUE($C105),1000000000),IFERROR(IF(VALUE(MID($C105,2,20))&lt;100000000,VALUE(MID($C105,2,20)),1000000000),1000000000))+ROW()/100000,"")</f>
        <v/>
      </c>
    </row>
    <row r="106">
      <c r="G106" s="7" t="n"/>
      <c r="H106" s="7" t="n"/>
      <c r="N106" s="7">
        <f>IF($C106="","",M106*Y106/100)</f>
        <v/>
      </c>
      <c r="O106" s="11" t="n"/>
      <c r="T106" s="7" t="n"/>
      <c r="V106" s="7">
        <f>IF($C106="","",Y106*AA106/100)</f>
        <v/>
      </c>
      <c r="W106" s="7">
        <f>IF($C106="","",Y106-V106)</f>
        <v/>
      </c>
      <c r="X106" s="7">
        <f>IF($C106="","",W106-N106)</f>
        <v/>
      </c>
      <c r="Y106" s="7" t="n"/>
      <c r="AA106">
        <f>IF($C106="","",IF($AD106=1,Settings!$C$6,Settings!$C$7)*100)</f>
        <v/>
      </c>
      <c r="AB106">
        <f>IF($C106="","",IF(COUNTIF($C$2:$C106,$C106)=1,1,0))</f>
        <v/>
      </c>
      <c r="AC106">
        <f>IF($AB106=1,SUMPRODUCT(--($AE$2:$AE$501&lt;$AE106))+1,"")</f>
        <v/>
      </c>
      <c r="AD106">
        <f>IF($C106="","",IF(OR($Z106=TRUE(),$Z106="TRUE"),0,1))</f>
        <v/>
      </c>
      <c r="AE106">
        <f>IF($AB106=1,IFERROR(IF(VALUE($C106)&lt;100000000,VALUE($C106),1000000000),IFERROR(IF(VALUE(MID($C106,2,20))&lt;100000000,VALUE(MID($C106,2,20)),1000000000),1000000000))+ROW()/100000,"")</f>
        <v/>
      </c>
    </row>
    <row r="107">
      <c r="G107" s="7" t="n"/>
      <c r="H107" s="7" t="n"/>
      <c r="N107" s="7">
        <f>IF($C107="","",M107*Y107/100)</f>
        <v/>
      </c>
      <c r="O107" s="11" t="n"/>
      <c r="T107" s="7" t="n"/>
      <c r="V107" s="7">
        <f>IF($C107="","",Y107*AA107/100)</f>
        <v/>
      </c>
      <c r="W107" s="7">
        <f>IF($C107="","",Y107-V107)</f>
        <v/>
      </c>
      <c r="X107" s="7">
        <f>IF($C107="","",W107-N107)</f>
        <v/>
      </c>
      <c r="Y107" s="7" t="n"/>
      <c r="AA107">
        <f>IF($C107="","",IF($AD107=1,Settings!$C$6,Settings!$C$7)*100)</f>
        <v/>
      </c>
      <c r="AB107">
        <f>IF($C107="","",IF(COUNTIF($C$2:$C107,$C107)=1,1,0))</f>
        <v/>
      </c>
      <c r="AC107">
        <f>IF($AB107=1,SUMPRODUCT(--($AE$2:$AE$501&lt;$AE107))+1,"")</f>
        <v/>
      </c>
      <c r="AD107">
        <f>IF($C107="","",IF(OR($Z107=TRUE(),$Z107="TRUE"),0,1))</f>
        <v/>
      </c>
      <c r="AE107">
        <f>IF($AB107=1,IFERROR(IF(VALUE($C107)&lt;100000000,VALUE($C107),1000000000),IFERROR(IF(VALUE(MID($C107,2,20))&lt;100000000,VALUE(MID($C107,2,20)),1000000000),1000000000))+ROW()/100000,"")</f>
        <v/>
      </c>
    </row>
    <row r="108">
      <c r="G108" s="7" t="n"/>
      <c r="H108" s="7" t="n"/>
      <c r="N108" s="7">
        <f>IF($C108="","",M108*Y108/100)</f>
        <v/>
      </c>
      <c r="O108" s="11" t="n"/>
      <c r="T108" s="7" t="n"/>
      <c r="V108" s="7">
        <f>IF($C108="","",Y108*AA108/100)</f>
        <v/>
      </c>
      <c r="W108" s="7">
        <f>IF($C108="","",Y108-V108)</f>
        <v/>
      </c>
      <c r="X108" s="7">
        <f>IF($C108="","",W108-N108)</f>
        <v/>
      </c>
      <c r="Y108" s="7" t="n"/>
      <c r="AA108">
        <f>IF($C108="","",IF($AD108=1,Settings!$C$6,Settings!$C$7)*100)</f>
        <v/>
      </c>
      <c r="AB108">
        <f>IF($C108="","",IF(COUNTIF($C$2:$C108,$C108)=1,1,0))</f>
        <v/>
      </c>
      <c r="AC108">
        <f>IF($AB108=1,SUMPRODUCT(--($AE$2:$AE$501&lt;$AE108))+1,"")</f>
        <v/>
      </c>
      <c r="AD108">
        <f>IF($C108="","",IF(OR($Z108=TRUE(),$Z108="TRUE"),0,1))</f>
        <v/>
      </c>
      <c r="AE108">
        <f>IF($AB108=1,IFERROR(IF(VALUE($C108)&lt;100000000,VALUE($C108),1000000000),IFERROR(IF(VALUE(MID($C108,2,20))&lt;100000000,VALUE(MID($C108,2,20)),1000000000),1000000000))+ROW()/100000,"")</f>
        <v/>
      </c>
    </row>
    <row r="109">
      <c r="G109" s="7" t="n"/>
      <c r="H109" s="7" t="n"/>
      <c r="N109" s="7">
        <f>IF($C109="","",M109*Y109/100)</f>
        <v/>
      </c>
      <c r="O109" s="11" t="n"/>
      <c r="T109" s="7" t="n"/>
      <c r="V109" s="7">
        <f>IF($C109="","",Y109*AA109/100)</f>
        <v/>
      </c>
      <c r="W109" s="7">
        <f>IF($C109="","",Y109-V109)</f>
        <v/>
      </c>
      <c r="X109" s="7">
        <f>IF($C109="","",W109-N109)</f>
        <v/>
      </c>
      <c r="Y109" s="7" t="n"/>
      <c r="AA109">
        <f>IF($C109="","",IF($AD109=1,Settings!$C$6,Settings!$C$7)*100)</f>
        <v/>
      </c>
      <c r="AB109">
        <f>IF($C109="","",IF(COUNTIF($C$2:$C109,$C109)=1,1,0))</f>
        <v/>
      </c>
      <c r="AC109">
        <f>IF($AB109=1,SUMPRODUCT(--($AE$2:$AE$501&lt;$AE109))+1,"")</f>
        <v/>
      </c>
      <c r="AD109">
        <f>IF($C109="","",IF(OR($Z109=TRUE(),$Z109="TRUE"),0,1))</f>
        <v/>
      </c>
      <c r="AE109">
        <f>IF($AB109=1,IFERROR(IF(VALUE($C109)&lt;100000000,VALUE($C109),1000000000),IFERROR(IF(VALUE(MID($C109,2,20))&lt;100000000,VALUE(MID($C109,2,20)),1000000000),1000000000))+ROW()/100000,"")</f>
        <v/>
      </c>
    </row>
    <row r="110">
      <c r="G110" s="7" t="n"/>
      <c r="H110" s="7" t="n"/>
      <c r="N110" s="7">
        <f>IF($C110="","",M110*Y110/100)</f>
        <v/>
      </c>
      <c r="O110" s="11" t="n"/>
      <c r="T110" s="7" t="n"/>
      <c r="V110" s="7">
        <f>IF($C110="","",Y110*AA110/100)</f>
        <v/>
      </c>
      <c r="W110" s="7">
        <f>IF($C110="","",Y110-V110)</f>
        <v/>
      </c>
      <c r="X110" s="7">
        <f>IF($C110="","",W110-N110)</f>
        <v/>
      </c>
      <c r="Y110" s="7" t="n"/>
      <c r="AA110">
        <f>IF($C110="","",IF($AD110=1,Settings!$C$6,Settings!$C$7)*100)</f>
        <v/>
      </c>
      <c r="AB110">
        <f>IF($C110="","",IF(COUNTIF($C$2:$C110,$C110)=1,1,0))</f>
        <v/>
      </c>
      <c r="AC110">
        <f>IF($AB110=1,SUMPRODUCT(--($AE$2:$AE$501&lt;$AE110))+1,"")</f>
        <v/>
      </c>
      <c r="AD110">
        <f>IF($C110="","",IF(OR($Z110=TRUE(),$Z110="TRUE"),0,1))</f>
        <v/>
      </c>
      <c r="AE110">
        <f>IF($AB110=1,IFERROR(IF(VALUE($C110)&lt;100000000,VALUE($C110),1000000000),IFERROR(IF(VALUE(MID($C110,2,20))&lt;100000000,VALUE(MID($C110,2,20)),1000000000),1000000000))+ROW()/100000,"")</f>
        <v/>
      </c>
    </row>
    <row r="111">
      <c r="G111" s="7" t="n"/>
      <c r="H111" s="7" t="n"/>
      <c r="N111" s="7">
        <f>IF($C111="","",M111*Y111/100)</f>
        <v/>
      </c>
      <c r="O111" s="11" t="n"/>
      <c r="T111" s="7" t="n"/>
      <c r="V111" s="7">
        <f>IF($C111="","",Y111*AA111/100)</f>
        <v/>
      </c>
      <c r="W111" s="7">
        <f>IF($C111="","",Y111-V111)</f>
        <v/>
      </c>
      <c r="X111" s="7">
        <f>IF($C111="","",W111-N111)</f>
        <v/>
      </c>
      <c r="Y111" s="7" t="n"/>
      <c r="AA111">
        <f>IF($C111="","",IF($AD111=1,Settings!$C$6,Settings!$C$7)*100)</f>
        <v/>
      </c>
      <c r="AB111">
        <f>IF($C111="","",IF(COUNTIF($C$2:$C111,$C111)=1,1,0))</f>
        <v/>
      </c>
      <c r="AC111">
        <f>IF($AB111=1,SUMPRODUCT(--($AE$2:$AE$501&lt;$AE111))+1,"")</f>
        <v/>
      </c>
      <c r="AD111">
        <f>IF($C111="","",IF(OR($Z111=TRUE(),$Z111="TRUE"),0,1))</f>
        <v/>
      </c>
      <c r="AE111">
        <f>IF($AB111=1,IFERROR(IF(VALUE($C111)&lt;100000000,VALUE($C111),1000000000),IFERROR(IF(VALUE(MID($C111,2,20))&lt;100000000,VALUE(MID($C111,2,20)),1000000000),1000000000))+ROW()/100000,"")</f>
        <v/>
      </c>
    </row>
    <row r="112">
      <c r="G112" s="7" t="n"/>
      <c r="H112" s="7" t="n"/>
      <c r="N112" s="7">
        <f>IF($C112="","",M112*Y112/100)</f>
        <v/>
      </c>
      <c r="O112" s="11" t="n"/>
      <c r="T112" s="7" t="n"/>
      <c r="V112" s="7">
        <f>IF($C112="","",Y112*AA112/100)</f>
        <v/>
      </c>
      <c r="W112" s="7">
        <f>IF($C112="","",Y112-V112)</f>
        <v/>
      </c>
      <c r="X112" s="7">
        <f>IF($C112="","",W112-N112)</f>
        <v/>
      </c>
      <c r="Y112" s="7" t="n"/>
      <c r="AA112">
        <f>IF($C112="","",IF($AD112=1,Settings!$C$6,Settings!$C$7)*100)</f>
        <v/>
      </c>
      <c r="AB112">
        <f>IF($C112="","",IF(COUNTIF($C$2:$C112,$C112)=1,1,0))</f>
        <v/>
      </c>
      <c r="AC112">
        <f>IF($AB112=1,SUMPRODUCT(--($AE$2:$AE$501&lt;$AE112))+1,"")</f>
        <v/>
      </c>
      <c r="AD112">
        <f>IF($C112="","",IF(OR($Z112=TRUE(),$Z112="TRUE"),0,1))</f>
        <v/>
      </c>
      <c r="AE112">
        <f>IF($AB112=1,IFERROR(IF(VALUE($C112)&lt;100000000,VALUE($C112),1000000000),IFERROR(IF(VALUE(MID($C112,2,20))&lt;100000000,VALUE(MID($C112,2,20)),1000000000),1000000000))+ROW()/100000,"")</f>
        <v/>
      </c>
    </row>
    <row r="113">
      <c r="G113" s="7" t="n"/>
      <c r="H113" s="7" t="n"/>
      <c r="N113" s="7">
        <f>IF($C113="","",M113*Y113/100)</f>
        <v/>
      </c>
      <c r="O113" s="11" t="n"/>
      <c r="T113" s="7" t="n"/>
      <c r="V113" s="7">
        <f>IF($C113="","",Y113*AA113/100)</f>
        <v/>
      </c>
      <c r="W113" s="7">
        <f>IF($C113="","",Y113-V113)</f>
        <v/>
      </c>
      <c r="X113" s="7">
        <f>IF($C113="","",W113-N113)</f>
        <v/>
      </c>
      <c r="Y113" s="7" t="n"/>
      <c r="AA113">
        <f>IF($C113="","",IF($AD113=1,Settings!$C$6,Settings!$C$7)*100)</f>
        <v/>
      </c>
      <c r="AB113">
        <f>IF($C113="","",IF(COUNTIF($C$2:$C113,$C113)=1,1,0))</f>
        <v/>
      </c>
      <c r="AC113">
        <f>IF($AB113=1,SUMPRODUCT(--($AE$2:$AE$501&lt;$AE113))+1,"")</f>
        <v/>
      </c>
      <c r="AD113">
        <f>IF($C113="","",IF(OR($Z113=TRUE(),$Z113="TRUE"),0,1))</f>
        <v/>
      </c>
      <c r="AE113">
        <f>IF($AB113=1,IFERROR(IF(VALUE($C113)&lt;100000000,VALUE($C113),1000000000),IFERROR(IF(VALUE(MID($C113,2,20))&lt;100000000,VALUE(MID($C113,2,20)),1000000000),1000000000))+ROW()/100000,"")</f>
        <v/>
      </c>
    </row>
    <row r="114">
      <c r="G114" s="7" t="n"/>
      <c r="H114" s="7" t="n"/>
      <c r="N114" s="7">
        <f>IF($C114="","",M114*Y114/100)</f>
        <v/>
      </c>
      <c r="O114" s="11" t="n"/>
      <c r="T114" s="7" t="n"/>
      <c r="V114" s="7">
        <f>IF($C114="","",Y114*AA114/100)</f>
        <v/>
      </c>
      <c r="W114" s="7">
        <f>IF($C114="","",Y114-V114)</f>
        <v/>
      </c>
      <c r="X114" s="7">
        <f>IF($C114="","",W114-N114)</f>
        <v/>
      </c>
      <c r="Y114" s="7" t="n"/>
      <c r="AA114">
        <f>IF($C114="","",IF($AD114=1,Settings!$C$6,Settings!$C$7)*100)</f>
        <v/>
      </c>
      <c r="AB114">
        <f>IF($C114="","",IF(COUNTIF($C$2:$C114,$C114)=1,1,0))</f>
        <v/>
      </c>
      <c r="AC114">
        <f>IF($AB114=1,SUMPRODUCT(--($AE$2:$AE$501&lt;$AE114))+1,"")</f>
        <v/>
      </c>
      <c r="AD114">
        <f>IF($C114="","",IF(OR($Z114=TRUE(),$Z114="TRUE"),0,1))</f>
        <v/>
      </c>
      <c r="AE114">
        <f>IF($AB114=1,IFERROR(IF(VALUE($C114)&lt;100000000,VALUE($C114),1000000000),IFERROR(IF(VALUE(MID($C114,2,20))&lt;100000000,VALUE(MID($C114,2,20)),1000000000),1000000000))+ROW()/100000,"")</f>
        <v/>
      </c>
    </row>
    <row r="115">
      <c r="G115" s="7" t="n"/>
      <c r="H115" s="7" t="n"/>
      <c r="N115" s="7">
        <f>IF($C115="","",M115*Y115/100)</f>
        <v/>
      </c>
      <c r="O115" s="11" t="n"/>
      <c r="T115" s="7" t="n"/>
      <c r="V115" s="7">
        <f>IF($C115="","",Y115*AA115/100)</f>
        <v/>
      </c>
      <c r="W115" s="7">
        <f>IF($C115="","",Y115-V115)</f>
        <v/>
      </c>
      <c r="X115" s="7">
        <f>IF($C115="","",W115-N115)</f>
        <v/>
      </c>
      <c r="Y115" s="7" t="n"/>
      <c r="AA115">
        <f>IF($C115="","",IF($AD115=1,Settings!$C$6,Settings!$C$7)*100)</f>
        <v/>
      </c>
      <c r="AB115">
        <f>IF($C115="","",IF(COUNTIF($C$2:$C115,$C115)=1,1,0))</f>
        <v/>
      </c>
      <c r="AC115">
        <f>IF($AB115=1,SUMPRODUCT(--($AE$2:$AE$501&lt;$AE115))+1,"")</f>
        <v/>
      </c>
      <c r="AD115">
        <f>IF($C115="","",IF(OR($Z115=TRUE(),$Z115="TRUE"),0,1))</f>
        <v/>
      </c>
      <c r="AE115">
        <f>IF($AB115=1,IFERROR(IF(VALUE($C115)&lt;100000000,VALUE($C115),1000000000),IFERROR(IF(VALUE(MID($C115,2,20))&lt;100000000,VALUE(MID($C115,2,20)),1000000000),1000000000))+ROW()/100000,"")</f>
        <v/>
      </c>
    </row>
    <row r="116">
      <c r="G116" s="7" t="n"/>
      <c r="H116" s="7" t="n"/>
      <c r="N116" s="7">
        <f>IF($C116="","",M116*Y116/100)</f>
        <v/>
      </c>
      <c r="O116" s="11" t="n"/>
      <c r="T116" s="7" t="n"/>
      <c r="V116" s="7">
        <f>IF($C116="","",Y116*AA116/100)</f>
        <v/>
      </c>
      <c r="W116" s="7">
        <f>IF($C116="","",Y116-V116)</f>
        <v/>
      </c>
      <c r="X116" s="7">
        <f>IF($C116="","",W116-N116)</f>
        <v/>
      </c>
      <c r="Y116" s="7" t="n"/>
      <c r="AA116">
        <f>IF($C116="","",IF($AD116=1,Settings!$C$6,Settings!$C$7)*100)</f>
        <v/>
      </c>
      <c r="AB116">
        <f>IF($C116="","",IF(COUNTIF($C$2:$C116,$C116)=1,1,0))</f>
        <v/>
      </c>
      <c r="AC116">
        <f>IF($AB116=1,SUMPRODUCT(--($AE$2:$AE$501&lt;$AE116))+1,"")</f>
        <v/>
      </c>
      <c r="AD116">
        <f>IF($C116="","",IF(OR($Z116=TRUE(),$Z116="TRUE"),0,1))</f>
        <v/>
      </c>
      <c r="AE116">
        <f>IF($AB116=1,IFERROR(IF(VALUE($C116)&lt;100000000,VALUE($C116),1000000000),IFERROR(IF(VALUE(MID($C116,2,20))&lt;100000000,VALUE(MID($C116,2,20)),1000000000),1000000000))+ROW()/100000,"")</f>
        <v/>
      </c>
    </row>
    <row r="117">
      <c r="G117" s="7" t="n"/>
      <c r="H117" s="7" t="n"/>
      <c r="N117" s="7">
        <f>IF($C117="","",M117*Y117/100)</f>
        <v/>
      </c>
      <c r="O117" s="11" t="n"/>
      <c r="T117" s="7" t="n"/>
      <c r="V117" s="7">
        <f>IF($C117="","",Y117*AA117/100)</f>
        <v/>
      </c>
      <c r="W117" s="7">
        <f>IF($C117="","",Y117-V117)</f>
        <v/>
      </c>
      <c r="X117" s="7">
        <f>IF($C117="","",W117-N117)</f>
        <v/>
      </c>
      <c r="Y117" s="7" t="n"/>
      <c r="AA117">
        <f>IF($C117="","",IF($AD117=1,Settings!$C$6,Settings!$C$7)*100)</f>
        <v/>
      </c>
      <c r="AB117">
        <f>IF($C117="","",IF(COUNTIF($C$2:$C117,$C117)=1,1,0))</f>
        <v/>
      </c>
      <c r="AC117">
        <f>IF($AB117=1,SUMPRODUCT(--($AE$2:$AE$501&lt;$AE117))+1,"")</f>
        <v/>
      </c>
      <c r="AD117">
        <f>IF($C117="","",IF(OR($Z117=TRUE(),$Z117="TRUE"),0,1))</f>
        <v/>
      </c>
      <c r="AE117">
        <f>IF($AB117=1,IFERROR(IF(VALUE($C117)&lt;100000000,VALUE($C117),1000000000),IFERROR(IF(VALUE(MID($C117,2,20))&lt;100000000,VALUE(MID($C117,2,20)),1000000000),1000000000))+ROW()/100000,"")</f>
        <v/>
      </c>
    </row>
    <row r="118">
      <c r="G118" s="7" t="n"/>
      <c r="H118" s="7" t="n"/>
      <c r="N118" s="7">
        <f>IF($C118="","",M118*Y118/100)</f>
        <v/>
      </c>
      <c r="O118" s="11" t="n"/>
      <c r="T118" s="7" t="n"/>
      <c r="V118" s="7">
        <f>IF($C118="","",Y118*AA118/100)</f>
        <v/>
      </c>
      <c r="W118" s="7">
        <f>IF($C118="","",Y118-V118)</f>
        <v/>
      </c>
      <c r="X118" s="7">
        <f>IF($C118="","",W118-N118)</f>
        <v/>
      </c>
      <c r="Y118" s="7" t="n"/>
      <c r="AA118">
        <f>IF($C118="","",IF($AD118=1,Settings!$C$6,Settings!$C$7)*100)</f>
        <v/>
      </c>
      <c r="AB118">
        <f>IF($C118="","",IF(COUNTIF($C$2:$C118,$C118)=1,1,0))</f>
        <v/>
      </c>
      <c r="AC118">
        <f>IF($AB118=1,SUMPRODUCT(--($AE$2:$AE$501&lt;$AE118))+1,"")</f>
        <v/>
      </c>
      <c r="AD118">
        <f>IF($C118="","",IF(OR($Z118=TRUE(),$Z118="TRUE"),0,1))</f>
        <v/>
      </c>
      <c r="AE118">
        <f>IF($AB118=1,IFERROR(IF(VALUE($C118)&lt;100000000,VALUE($C118),1000000000),IFERROR(IF(VALUE(MID($C118,2,20))&lt;100000000,VALUE(MID($C118,2,20)),1000000000),1000000000))+ROW()/100000,"")</f>
        <v/>
      </c>
    </row>
    <row r="119">
      <c r="G119" s="7" t="n"/>
      <c r="H119" s="7" t="n"/>
      <c r="N119" s="7">
        <f>IF($C119="","",M119*Y119/100)</f>
        <v/>
      </c>
      <c r="O119" s="11" t="n"/>
      <c r="T119" s="7" t="n"/>
      <c r="V119" s="7">
        <f>IF($C119="","",Y119*AA119/100)</f>
        <v/>
      </c>
      <c r="W119" s="7">
        <f>IF($C119="","",Y119-V119)</f>
        <v/>
      </c>
      <c r="X119" s="7">
        <f>IF($C119="","",W119-N119)</f>
        <v/>
      </c>
      <c r="Y119" s="7" t="n"/>
      <c r="AA119">
        <f>IF($C119="","",IF($AD119=1,Settings!$C$6,Settings!$C$7)*100)</f>
        <v/>
      </c>
      <c r="AB119">
        <f>IF($C119="","",IF(COUNTIF($C$2:$C119,$C119)=1,1,0))</f>
        <v/>
      </c>
      <c r="AC119">
        <f>IF($AB119=1,SUMPRODUCT(--($AE$2:$AE$501&lt;$AE119))+1,"")</f>
        <v/>
      </c>
      <c r="AD119">
        <f>IF($C119="","",IF(OR($Z119=TRUE(),$Z119="TRUE"),0,1))</f>
        <v/>
      </c>
      <c r="AE119">
        <f>IF($AB119=1,IFERROR(IF(VALUE($C119)&lt;100000000,VALUE($C119),1000000000),IFERROR(IF(VALUE(MID($C119,2,20))&lt;100000000,VALUE(MID($C119,2,20)),1000000000),1000000000))+ROW()/100000,"")</f>
        <v/>
      </c>
    </row>
    <row r="120">
      <c r="G120" s="7" t="n"/>
      <c r="H120" s="7" t="n"/>
      <c r="N120" s="7">
        <f>IF($C120="","",M120*Y120/100)</f>
        <v/>
      </c>
      <c r="O120" s="11" t="n"/>
      <c r="T120" s="7" t="n"/>
      <c r="V120" s="7">
        <f>IF($C120="","",Y120*AA120/100)</f>
        <v/>
      </c>
      <c r="W120" s="7">
        <f>IF($C120="","",Y120-V120)</f>
        <v/>
      </c>
      <c r="X120" s="7">
        <f>IF($C120="","",W120-N120)</f>
        <v/>
      </c>
      <c r="Y120" s="7" t="n"/>
      <c r="AA120">
        <f>IF($C120="","",IF($AD120=1,Settings!$C$6,Settings!$C$7)*100)</f>
        <v/>
      </c>
      <c r="AB120">
        <f>IF($C120="","",IF(COUNTIF($C$2:$C120,$C120)=1,1,0))</f>
        <v/>
      </c>
      <c r="AC120">
        <f>IF($AB120=1,SUMPRODUCT(--($AE$2:$AE$501&lt;$AE120))+1,"")</f>
        <v/>
      </c>
      <c r="AD120">
        <f>IF($C120="","",IF(OR($Z120=TRUE(),$Z120="TRUE"),0,1))</f>
        <v/>
      </c>
      <c r="AE120">
        <f>IF($AB120=1,IFERROR(IF(VALUE($C120)&lt;100000000,VALUE($C120),1000000000),IFERROR(IF(VALUE(MID($C120,2,20))&lt;100000000,VALUE(MID($C120,2,20)),1000000000),1000000000))+ROW()/100000,"")</f>
        <v/>
      </c>
    </row>
    <row r="121">
      <c r="G121" s="7" t="n"/>
      <c r="H121" s="7" t="n"/>
      <c r="N121" s="7">
        <f>IF($C121="","",M121*Y121/100)</f>
        <v/>
      </c>
      <c r="O121" s="11" t="n"/>
      <c r="T121" s="7" t="n"/>
      <c r="V121" s="7">
        <f>IF($C121="","",Y121*AA121/100)</f>
        <v/>
      </c>
      <c r="W121" s="7">
        <f>IF($C121="","",Y121-V121)</f>
        <v/>
      </c>
      <c r="X121" s="7">
        <f>IF($C121="","",W121-N121)</f>
        <v/>
      </c>
      <c r="Y121" s="7" t="n"/>
      <c r="AA121">
        <f>IF($C121="","",IF($AD121=1,Settings!$C$6,Settings!$C$7)*100)</f>
        <v/>
      </c>
      <c r="AB121">
        <f>IF($C121="","",IF(COUNTIF($C$2:$C121,$C121)=1,1,0))</f>
        <v/>
      </c>
      <c r="AC121">
        <f>IF($AB121=1,SUMPRODUCT(--($AE$2:$AE$501&lt;$AE121))+1,"")</f>
        <v/>
      </c>
      <c r="AD121">
        <f>IF($C121="","",IF(OR($Z121=TRUE(),$Z121="TRUE"),0,1))</f>
        <v/>
      </c>
      <c r="AE121">
        <f>IF($AB121=1,IFERROR(IF(VALUE($C121)&lt;100000000,VALUE($C121),1000000000),IFERROR(IF(VALUE(MID($C121,2,20))&lt;100000000,VALUE(MID($C121,2,20)),1000000000),1000000000))+ROW()/100000,"")</f>
        <v/>
      </c>
    </row>
    <row r="122">
      <c r="G122" s="7" t="n"/>
      <c r="H122" s="7" t="n"/>
      <c r="N122" s="7">
        <f>IF($C122="","",M122*Y122/100)</f>
        <v/>
      </c>
      <c r="O122" s="11" t="n"/>
      <c r="T122" s="7" t="n"/>
      <c r="V122" s="7">
        <f>IF($C122="","",Y122*AA122/100)</f>
        <v/>
      </c>
      <c r="W122" s="7">
        <f>IF($C122="","",Y122-V122)</f>
        <v/>
      </c>
      <c r="X122" s="7">
        <f>IF($C122="","",W122-N122)</f>
        <v/>
      </c>
      <c r="Y122" s="7" t="n"/>
      <c r="AA122">
        <f>IF($C122="","",IF($AD122=1,Settings!$C$6,Settings!$C$7)*100)</f>
        <v/>
      </c>
      <c r="AB122">
        <f>IF($C122="","",IF(COUNTIF($C$2:$C122,$C122)=1,1,0))</f>
        <v/>
      </c>
      <c r="AC122">
        <f>IF($AB122=1,SUMPRODUCT(--($AE$2:$AE$501&lt;$AE122))+1,"")</f>
        <v/>
      </c>
      <c r="AD122">
        <f>IF($C122="","",IF(OR($Z122=TRUE(),$Z122="TRUE"),0,1))</f>
        <v/>
      </c>
      <c r="AE122">
        <f>IF($AB122=1,IFERROR(IF(VALUE($C122)&lt;100000000,VALUE($C122),1000000000),IFERROR(IF(VALUE(MID($C122,2,20))&lt;100000000,VALUE(MID($C122,2,20)),1000000000),1000000000))+ROW()/100000,"")</f>
        <v/>
      </c>
    </row>
    <row r="123">
      <c r="G123" s="7" t="n"/>
      <c r="H123" s="7" t="n"/>
      <c r="N123" s="7">
        <f>IF($C123="","",M123*Y123/100)</f>
        <v/>
      </c>
      <c r="O123" s="11" t="n"/>
      <c r="T123" s="7" t="n"/>
      <c r="V123" s="7">
        <f>IF($C123="","",Y123*AA123/100)</f>
        <v/>
      </c>
      <c r="W123" s="7">
        <f>IF($C123="","",Y123-V123)</f>
        <v/>
      </c>
      <c r="X123" s="7">
        <f>IF($C123="","",W123-N123)</f>
        <v/>
      </c>
      <c r="Y123" s="7" t="n"/>
      <c r="AA123">
        <f>IF($C123="","",IF($AD123=1,Settings!$C$6,Settings!$C$7)*100)</f>
        <v/>
      </c>
      <c r="AB123">
        <f>IF($C123="","",IF(COUNTIF($C$2:$C123,$C123)=1,1,0))</f>
        <v/>
      </c>
      <c r="AC123">
        <f>IF($AB123=1,SUMPRODUCT(--($AE$2:$AE$501&lt;$AE123))+1,"")</f>
        <v/>
      </c>
      <c r="AD123">
        <f>IF($C123="","",IF(OR($Z123=TRUE(),$Z123="TRUE"),0,1))</f>
        <v/>
      </c>
      <c r="AE123">
        <f>IF($AB123=1,IFERROR(IF(VALUE($C123)&lt;100000000,VALUE($C123),1000000000),IFERROR(IF(VALUE(MID($C123,2,20))&lt;100000000,VALUE(MID($C123,2,20)),1000000000),1000000000))+ROW()/100000,"")</f>
        <v/>
      </c>
    </row>
    <row r="124">
      <c r="G124" s="7" t="n"/>
      <c r="H124" s="7" t="n"/>
      <c r="N124" s="7">
        <f>IF($C124="","",M124*Y124/100)</f>
        <v/>
      </c>
      <c r="O124" s="11" t="n"/>
      <c r="T124" s="7" t="n"/>
      <c r="V124" s="7">
        <f>IF($C124="","",Y124*AA124/100)</f>
        <v/>
      </c>
      <c r="W124" s="7">
        <f>IF($C124="","",Y124-V124)</f>
        <v/>
      </c>
      <c r="X124" s="7">
        <f>IF($C124="","",W124-N124)</f>
        <v/>
      </c>
      <c r="Y124" s="7" t="n"/>
      <c r="AA124">
        <f>IF($C124="","",IF($AD124=1,Settings!$C$6,Settings!$C$7)*100)</f>
        <v/>
      </c>
      <c r="AB124">
        <f>IF($C124="","",IF(COUNTIF($C$2:$C124,$C124)=1,1,0))</f>
        <v/>
      </c>
      <c r="AC124">
        <f>IF($AB124=1,SUMPRODUCT(--($AE$2:$AE$501&lt;$AE124))+1,"")</f>
        <v/>
      </c>
      <c r="AD124">
        <f>IF($C124="","",IF(OR($Z124=TRUE(),$Z124="TRUE"),0,1))</f>
        <v/>
      </c>
      <c r="AE124">
        <f>IF($AB124=1,IFERROR(IF(VALUE($C124)&lt;100000000,VALUE($C124),1000000000),IFERROR(IF(VALUE(MID($C124,2,20))&lt;100000000,VALUE(MID($C124,2,20)),1000000000),1000000000))+ROW()/100000,"")</f>
        <v/>
      </c>
    </row>
    <row r="125">
      <c r="G125" s="7" t="n"/>
      <c r="H125" s="7" t="n"/>
      <c r="N125" s="7">
        <f>IF($C125="","",M125*Y125/100)</f>
        <v/>
      </c>
      <c r="O125" s="11" t="n"/>
      <c r="T125" s="7" t="n"/>
      <c r="V125" s="7">
        <f>IF($C125="","",Y125*AA125/100)</f>
        <v/>
      </c>
      <c r="W125" s="7">
        <f>IF($C125="","",Y125-V125)</f>
        <v/>
      </c>
      <c r="X125" s="7">
        <f>IF($C125="","",W125-N125)</f>
        <v/>
      </c>
      <c r="Y125" s="7" t="n"/>
      <c r="AA125">
        <f>IF($C125="","",IF($AD125=1,Settings!$C$6,Settings!$C$7)*100)</f>
        <v/>
      </c>
      <c r="AB125">
        <f>IF($C125="","",IF(COUNTIF($C$2:$C125,$C125)=1,1,0))</f>
        <v/>
      </c>
      <c r="AC125">
        <f>IF($AB125=1,SUMPRODUCT(--($AE$2:$AE$501&lt;$AE125))+1,"")</f>
        <v/>
      </c>
      <c r="AD125">
        <f>IF($C125="","",IF(OR($Z125=TRUE(),$Z125="TRUE"),0,1))</f>
        <v/>
      </c>
      <c r="AE125">
        <f>IF($AB125=1,IFERROR(IF(VALUE($C125)&lt;100000000,VALUE($C125),1000000000),IFERROR(IF(VALUE(MID($C125,2,20))&lt;100000000,VALUE(MID($C125,2,20)),1000000000),1000000000))+ROW()/100000,"")</f>
        <v/>
      </c>
    </row>
    <row r="126">
      <c r="G126" s="7" t="n"/>
      <c r="H126" s="7" t="n"/>
      <c r="N126" s="7">
        <f>IF($C126="","",M126*Y126/100)</f>
        <v/>
      </c>
      <c r="O126" s="11" t="n"/>
      <c r="T126" s="7" t="n"/>
      <c r="V126" s="7">
        <f>IF($C126="","",Y126*AA126/100)</f>
        <v/>
      </c>
      <c r="W126" s="7">
        <f>IF($C126="","",Y126-V126)</f>
        <v/>
      </c>
      <c r="X126" s="7">
        <f>IF($C126="","",W126-N126)</f>
        <v/>
      </c>
      <c r="Y126" s="7" t="n"/>
      <c r="AA126">
        <f>IF($C126="","",IF($AD126=1,Settings!$C$6,Settings!$C$7)*100)</f>
        <v/>
      </c>
      <c r="AB126">
        <f>IF($C126="","",IF(COUNTIF($C$2:$C126,$C126)=1,1,0))</f>
        <v/>
      </c>
      <c r="AC126">
        <f>IF($AB126=1,SUMPRODUCT(--($AE$2:$AE$501&lt;$AE126))+1,"")</f>
        <v/>
      </c>
      <c r="AD126">
        <f>IF($C126="","",IF(OR($Z126=TRUE(),$Z126="TRUE"),0,1))</f>
        <v/>
      </c>
      <c r="AE126">
        <f>IF($AB126=1,IFERROR(IF(VALUE($C126)&lt;100000000,VALUE($C126),1000000000),IFERROR(IF(VALUE(MID($C126,2,20))&lt;100000000,VALUE(MID($C126,2,20)),1000000000),1000000000))+ROW()/100000,"")</f>
        <v/>
      </c>
    </row>
    <row r="127">
      <c r="G127" s="7" t="n"/>
      <c r="H127" s="7" t="n"/>
      <c r="N127" s="7">
        <f>IF($C127="","",M127*Y127/100)</f>
        <v/>
      </c>
      <c r="O127" s="11" t="n"/>
      <c r="T127" s="7" t="n"/>
      <c r="V127" s="7">
        <f>IF($C127="","",Y127*AA127/100)</f>
        <v/>
      </c>
      <c r="W127" s="7">
        <f>IF($C127="","",Y127-V127)</f>
        <v/>
      </c>
      <c r="X127" s="7">
        <f>IF($C127="","",W127-N127)</f>
        <v/>
      </c>
      <c r="Y127" s="7" t="n"/>
      <c r="AA127">
        <f>IF($C127="","",IF($AD127=1,Settings!$C$6,Settings!$C$7)*100)</f>
        <v/>
      </c>
      <c r="AB127">
        <f>IF($C127="","",IF(COUNTIF($C$2:$C127,$C127)=1,1,0))</f>
        <v/>
      </c>
      <c r="AC127">
        <f>IF($AB127=1,SUMPRODUCT(--($AE$2:$AE$501&lt;$AE127))+1,"")</f>
        <v/>
      </c>
      <c r="AD127">
        <f>IF($C127="","",IF(OR($Z127=TRUE(),$Z127="TRUE"),0,1))</f>
        <v/>
      </c>
      <c r="AE127">
        <f>IF($AB127=1,IFERROR(IF(VALUE($C127)&lt;100000000,VALUE($C127),1000000000),IFERROR(IF(VALUE(MID($C127,2,20))&lt;100000000,VALUE(MID($C127,2,20)),1000000000),1000000000))+ROW()/100000,"")</f>
        <v/>
      </c>
    </row>
    <row r="128">
      <c r="G128" s="7" t="n"/>
      <c r="H128" s="7" t="n"/>
      <c r="N128" s="7">
        <f>IF($C128="","",M128*Y128/100)</f>
        <v/>
      </c>
      <c r="O128" s="11" t="n"/>
      <c r="T128" s="7" t="n"/>
      <c r="V128" s="7">
        <f>IF($C128="","",Y128*AA128/100)</f>
        <v/>
      </c>
      <c r="W128" s="7">
        <f>IF($C128="","",Y128-V128)</f>
        <v/>
      </c>
      <c r="X128" s="7">
        <f>IF($C128="","",W128-N128)</f>
        <v/>
      </c>
      <c r="Y128" s="7" t="n"/>
      <c r="AA128">
        <f>IF($C128="","",IF($AD128=1,Settings!$C$6,Settings!$C$7)*100)</f>
        <v/>
      </c>
      <c r="AB128">
        <f>IF($C128="","",IF(COUNTIF($C$2:$C128,$C128)=1,1,0))</f>
        <v/>
      </c>
      <c r="AC128">
        <f>IF($AB128=1,SUMPRODUCT(--($AE$2:$AE$501&lt;$AE128))+1,"")</f>
        <v/>
      </c>
      <c r="AD128">
        <f>IF($C128="","",IF(OR($Z128=TRUE(),$Z128="TRUE"),0,1))</f>
        <v/>
      </c>
      <c r="AE128">
        <f>IF($AB128=1,IFERROR(IF(VALUE($C128)&lt;100000000,VALUE($C128),1000000000),IFERROR(IF(VALUE(MID($C128,2,20))&lt;100000000,VALUE(MID($C128,2,20)),1000000000),1000000000))+ROW()/100000,"")</f>
        <v/>
      </c>
    </row>
    <row r="129">
      <c r="G129" s="7" t="n"/>
      <c r="H129" s="7" t="n"/>
      <c r="N129" s="7">
        <f>IF($C129="","",M129*Y129/100)</f>
        <v/>
      </c>
      <c r="O129" s="11" t="n"/>
      <c r="T129" s="7" t="n"/>
      <c r="V129" s="7">
        <f>IF($C129="","",Y129*AA129/100)</f>
        <v/>
      </c>
      <c r="W129" s="7">
        <f>IF($C129="","",Y129-V129)</f>
        <v/>
      </c>
      <c r="X129" s="7">
        <f>IF($C129="","",W129-N129)</f>
        <v/>
      </c>
      <c r="Y129" s="7" t="n"/>
      <c r="AA129">
        <f>IF($C129="","",IF($AD129=1,Settings!$C$6,Settings!$C$7)*100)</f>
        <v/>
      </c>
      <c r="AB129">
        <f>IF($C129="","",IF(COUNTIF($C$2:$C129,$C129)=1,1,0))</f>
        <v/>
      </c>
      <c r="AC129">
        <f>IF($AB129=1,SUMPRODUCT(--($AE$2:$AE$501&lt;$AE129))+1,"")</f>
        <v/>
      </c>
      <c r="AD129">
        <f>IF($C129="","",IF(OR($Z129=TRUE(),$Z129="TRUE"),0,1))</f>
        <v/>
      </c>
      <c r="AE129">
        <f>IF($AB129=1,IFERROR(IF(VALUE($C129)&lt;100000000,VALUE($C129),1000000000),IFERROR(IF(VALUE(MID($C129,2,20))&lt;100000000,VALUE(MID($C129,2,20)),1000000000),1000000000))+ROW()/100000,"")</f>
        <v/>
      </c>
    </row>
    <row r="130">
      <c r="G130" s="7" t="n"/>
      <c r="H130" s="7" t="n"/>
      <c r="N130" s="7">
        <f>IF($C130="","",M130*Y130/100)</f>
        <v/>
      </c>
      <c r="O130" s="11" t="n"/>
      <c r="T130" s="7" t="n"/>
      <c r="V130" s="7">
        <f>IF($C130="","",Y130*AA130/100)</f>
        <v/>
      </c>
      <c r="W130" s="7">
        <f>IF($C130="","",Y130-V130)</f>
        <v/>
      </c>
      <c r="X130" s="7">
        <f>IF($C130="","",W130-N130)</f>
        <v/>
      </c>
      <c r="Y130" s="7" t="n"/>
      <c r="AA130">
        <f>IF($C130="","",IF($AD130=1,Settings!$C$6,Settings!$C$7)*100)</f>
        <v/>
      </c>
      <c r="AB130">
        <f>IF($C130="","",IF(COUNTIF($C$2:$C130,$C130)=1,1,0))</f>
        <v/>
      </c>
      <c r="AC130">
        <f>IF($AB130=1,SUMPRODUCT(--($AE$2:$AE$501&lt;$AE130))+1,"")</f>
        <v/>
      </c>
      <c r="AD130">
        <f>IF($C130="","",IF(OR($Z130=TRUE(),$Z130="TRUE"),0,1))</f>
        <v/>
      </c>
      <c r="AE130">
        <f>IF($AB130=1,IFERROR(IF(VALUE($C130)&lt;100000000,VALUE($C130),1000000000),IFERROR(IF(VALUE(MID($C130,2,20))&lt;100000000,VALUE(MID($C130,2,20)),1000000000),1000000000))+ROW()/100000,"")</f>
        <v/>
      </c>
    </row>
    <row r="131">
      <c r="G131" s="7" t="n"/>
      <c r="H131" s="7" t="n"/>
      <c r="N131" s="7">
        <f>IF($C131="","",M131*Y131/100)</f>
        <v/>
      </c>
      <c r="O131" s="11" t="n"/>
      <c r="T131" s="7" t="n"/>
      <c r="V131" s="7">
        <f>IF($C131="","",Y131*AA131/100)</f>
        <v/>
      </c>
      <c r="W131" s="7">
        <f>IF($C131="","",Y131-V131)</f>
        <v/>
      </c>
      <c r="X131" s="7">
        <f>IF($C131="","",W131-N131)</f>
        <v/>
      </c>
      <c r="Y131" s="7" t="n"/>
      <c r="AA131">
        <f>IF($C131="","",IF($AD131=1,Settings!$C$6,Settings!$C$7)*100)</f>
        <v/>
      </c>
      <c r="AB131">
        <f>IF($C131="","",IF(COUNTIF($C$2:$C131,$C131)=1,1,0))</f>
        <v/>
      </c>
      <c r="AC131">
        <f>IF($AB131=1,SUMPRODUCT(--($AE$2:$AE$501&lt;$AE131))+1,"")</f>
        <v/>
      </c>
      <c r="AD131">
        <f>IF($C131="","",IF(OR($Z131=TRUE(),$Z131="TRUE"),0,1))</f>
        <v/>
      </c>
      <c r="AE131">
        <f>IF($AB131=1,IFERROR(IF(VALUE($C131)&lt;100000000,VALUE($C131),1000000000),IFERROR(IF(VALUE(MID($C131,2,20))&lt;100000000,VALUE(MID($C131,2,20)),1000000000),1000000000))+ROW()/100000,"")</f>
        <v/>
      </c>
    </row>
    <row r="132">
      <c r="G132" s="7" t="n"/>
      <c r="H132" s="7" t="n"/>
      <c r="N132" s="7">
        <f>IF($C132="","",M132*Y132/100)</f>
        <v/>
      </c>
      <c r="O132" s="11" t="n"/>
      <c r="T132" s="7" t="n"/>
      <c r="V132" s="7">
        <f>IF($C132="","",Y132*AA132/100)</f>
        <v/>
      </c>
      <c r="W132" s="7">
        <f>IF($C132="","",Y132-V132)</f>
        <v/>
      </c>
      <c r="X132" s="7">
        <f>IF($C132="","",W132-N132)</f>
        <v/>
      </c>
      <c r="Y132" s="7" t="n"/>
      <c r="AA132">
        <f>IF($C132="","",IF($AD132=1,Settings!$C$6,Settings!$C$7)*100)</f>
        <v/>
      </c>
      <c r="AB132">
        <f>IF($C132="","",IF(COUNTIF($C$2:$C132,$C132)=1,1,0))</f>
        <v/>
      </c>
      <c r="AC132">
        <f>IF($AB132=1,SUMPRODUCT(--($AE$2:$AE$501&lt;$AE132))+1,"")</f>
        <v/>
      </c>
      <c r="AD132">
        <f>IF($C132="","",IF(OR($Z132=TRUE(),$Z132="TRUE"),0,1))</f>
        <v/>
      </c>
      <c r="AE132">
        <f>IF($AB132=1,IFERROR(IF(VALUE($C132)&lt;100000000,VALUE($C132),1000000000),IFERROR(IF(VALUE(MID($C132,2,20))&lt;100000000,VALUE(MID($C132,2,20)),1000000000),1000000000))+ROW()/100000,"")</f>
        <v/>
      </c>
    </row>
    <row r="133">
      <c r="G133" s="7" t="n"/>
      <c r="H133" s="7" t="n"/>
      <c r="N133" s="7">
        <f>IF($C133="","",M133*Y133/100)</f>
        <v/>
      </c>
      <c r="O133" s="11" t="n"/>
      <c r="T133" s="7" t="n"/>
      <c r="V133" s="7">
        <f>IF($C133="","",Y133*AA133/100)</f>
        <v/>
      </c>
      <c r="W133" s="7">
        <f>IF($C133="","",Y133-V133)</f>
        <v/>
      </c>
      <c r="X133" s="7">
        <f>IF($C133="","",W133-N133)</f>
        <v/>
      </c>
      <c r="Y133" s="7" t="n"/>
      <c r="AA133">
        <f>IF($C133="","",IF($AD133=1,Settings!$C$6,Settings!$C$7)*100)</f>
        <v/>
      </c>
      <c r="AB133">
        <f>IF($C133="","",IF(COUNTIF($C$2:$C133,$C133)=1,1,0))</f>
        <v/>
      </c>
      <c r="AC133">
        <f>IF($AB133=1,SUMPRODUCT(--($AE$2:$AE$501&lt;$AE133))+1,"")</f>
        <v/>
      </c>
      <c r="AD133">
        <f>IF($C133="","",IF(OR($Z133=TRUE(),$Z133="TRUE"),0,1))</f>
        <v/>
      </c>
      <c r="AE133">
        <f>IF($AB133=1,IFERROR(IF(VALUE($C133)&lt;100000000,VALUE($C133),1000000000),IFERROR(IF(VALUE(MID($C133,2,20))&lt;100000000,VALUE(MID($C133,2,20)),1000000000),1000000000))+ROW()/100000,"")</f>
        <v/>
      </c>
    </row>
    <row r="134">
      <c r="G134" s="7" t="n"/>
      <c r="H134" s="7" t="n"/>
      <c r="N134" s="7">
        <f>IF($C134="","",M134*Y134/100)</f>
        <v/>
      </c>
      <c r="O134" s="11" t="n"/>
      <c r="T134" s="7" t="n"/>
      <c r="V134" s="7">
        <f>IF($C134="","",Y134*AA134/100)</f>
        <v/>
      </c>
      <c r="W134" s="7">
        <f>IF($C134="","",Y134-V134)</f>
        <v/>
      </c>
      <c r="X134" s="7">
        <f>IF($C134="","",W134-N134)</f>
        <v/>
      </c>
      <c r="Y134" s="7" t="n"/>
      <c r="AA134">
        <f>IF($C134="","",IF($AD134=1,Settings!$C$6,Settings!$C$7)*100)</f>
        <v/>
      </c>
      <c r="AB134">
        <f>IF($C134="","",IF(COUNTIF($C$2:$C134,$C134)=1,1,0))</f>
        <v/>
      </c>
      <c r="AC134">
        <f>IF($AB134=1,SUMPRODUCT(--($AE$2:$AE$501&lt;$AE134))+1,"")</f>
        <v/>
      </c>
      <c r="AD134">
        <f>IF($C134="","",IF(OR($Z134=TRUE(),$Z134="TRUE"),0,1))</f>
        <v/>
      </c>
      <c r="AE134">
        <f>IF($AB134=1,IFERROR(IF(VALUE($C134)&lt;100000000,VALUE($C134),1000000000),IFERROR(IF(VALUE(MID($C134,2,20))&lt;100000000,VALUE(MID($C134,2,20)),1000000000),1000000000))+ROW()/100000,"")</f>
        <v/>
      </c>
    </row>
    <row r="135">
      <c r="G135" s="7" t="n"/>
      <c r="H135" s="7" t="n"/>
      <c r="N135" s="7">
        <f>IF($C135="","",M135*Y135/100)</f>
        <v/>
      </c>
      <c r="O135" s="11" t="n"/>
      <c r="T135" s="7" t="n"/>
      <c r="V135" s="7">
        <f>IF($C135="","",Y135*AA135/100)</f>
        <v/>
      </c>
      <c r="W135" s="7">
        <f>IF($C135="","",Y135-V135)</f>
        <v/>
      </c>
      <c r="X135" s="7">
        <f>IF($C135="","",W135-N135)</f>
        <v/>
      </c>
      <c r="Y135" s="7" t="n"/>
      <c r="AA135">
        <f>IF($C135="","",IF($AD135=1,Settings!$C$6,Settings!$C$7)*100)</f>
        <v/>
      </c>
      <c r="AB135">
        <f>IF($C135="","",IF(COUNTIF($C$2:$C135,$C135)=1,1,0))</f>
        <v/>
      </c>
      <c r="AC135">
        <f>IF($AB135=1,SUMPRODUCT(--($AE$2:$AE$501&lt;$AE135))+1,"")</f>
        <v/>
      </c>
      <c r="AD135">
        <f>IF($C135="","",IF(OR($Z135=TRUE(),$Z135="TRUE"),0,1))</f>
        <v/>
      </c>
      <c r="AE135">
        <f>IF($AB135=1,IFERROR(IF(VALUE($C135)&lt;100000000,VALUE($C135),1000000000),IFERROR(IF(VALUE(MID($C135,2,20))&lt;100000000,VALUE(MID($C135,2,20)),1000000000),1000000000))+ROW()/100000,"")</f>
        <v/>
      </c>
    </row>
    <row r="136">
      <c r="G136" s="7" t="n"/>
      <c r="H136" s="7" t="n"/>
      <c r="N136" s="7">
        <f>IF($C136="","",M136*Y136/100)</f>
        <v/>
      </c>
      <c r="O136" s="11" t="n"/>
      <c r="T136" s="7" t="n"/>
      <c r="V136" s="7">
        <f>IF($C136="","",Y136*AA136/100)</f>
        <v/>
      </c>
      <c r="W136" s="7">
        <f>IF($C136="","",Y136-V136)</f>
        <v/>
      </c>
      <c r="X136" s="7">
        <f>IF($C136="","",W136-N136)</f>
        <v/>
      </c>
      <c r="Y136" s="7" t="n"/>
      <c r="AA136">
        <f>IF($C136="","",IF($AD136=1,Settings!$C$6,Settings!$C$7)*100)</f>
        <v/>
      </c>
      <c r="AB136">
        <f>IF($C136="","",IF(COUNTIF($C$2:$C136,$C136)=1,1,0))</f>
        <v/>
      </c>
      <c r="AC136">
        <f>IF($AB136=1,SUMPRODUCT(--($AE$2:$AE$501&lt;$AE136))+1,"")</f>
        <v/>
      </c>
      <c r="AD136">
        <f>IF($C136="","",IF(OR($Z136=TRUE(),$Z136="TRUE"),0,1))</f>
        <v/>
      </c>
      <c r="AE136">
        <f>IF($AB136=1,IFERROR(IF(VALUE($C136)&lt;100000000,VALUE($C136),1000000000),IFERROR(IF(VALUE(MID($C136,2,20))&lt;100000000,VALUE(MID($C136,2,20)),1000000000),1000000000))+ROW()/100000,"")</f>
        <v/>
      </c>
    </row>
    <row r="137">
      <c r="G137" s="7" t="n"/>
      <c r="H137" s="7" t="n"/>
      <c r="N137" s="7">
        <f>IF($C137="","",M137*Y137/100)</f>
        <v/>
      </c>
      <c r="O137" s="11" t="n"/>
      <c r="T137" s="7" t="n"/>
      <c r="V137" s="7">
        <f>IF($C137="","",Y137*AA137/100)</f>
        <v/>
      </c>
      <c r="W137" s="7">
        <f>IF($C137="","",Y137-V137)</f>
        <v/>
      </c>
      <c r="X137" s="7">
        <f>IF($C137="","",W137-N137)</f>
        <v/>
      </c>
      <c r="Y137" s="7" t="n"/>
      <c r="AA137">
        <f>IF($C137="","",IF($AD137=1,Settings!$C$6,Settings!$C$7)*100)</f>
        <v/>
      </c>
      <c r="AB137">
        <f>IF($C137="","",IF(COUNTIF($C$2:$C137,$C137)=1,1,0))</f>
        <v/>
      </c>
      <c r="AC137">
        <f>IF($AB137=1,SUMPRODUCT(--($AE$2:$AE$501&lt;$AE137))+1,"")</f>
        <v/>
      </c>
      <c r="AD137">
        <f>IF($C137="","",IF(OR($Z137=TRUE(),$Z137="TRUE"),0,1))</f>
        <v/>
      </c>
      <c r="AE137">
        <f>IF($AB137=1,IFERROR(IF(VALUE($C137)&lt;100000000,VALUE($C137),1000000000),IFERROR(IF(VALUE(MID($C137,2,20))&lt;100000000,VALUE(MID($C137,2,20)),1000000000),1000000000))+ROW()/100000,"")</f>
        <v/>
      </c>
    </row>
    <row r="138">
      <c r="G138" s="7" t="n"/>
      <c r="H138" s="7" t="n"/>
      <c r="N138" s="7">
        <f>IF($C138="","",M138*Y138/100)</f>
        <v/>
      </c>
      <c r="O138" s="11" t="n"/>
      <c r="T138" s="7" t="n"/>
      <c r="V138" s="7">
        <f>IF($C138="","",Y138*AA138/100)</f>
        <v/>
      </c>
      <c r="W138" s="7">
        <f>IF($C138="","",Y138-V138)</f>
        <v/>
      </c>
      <c r="X138" s="7">
        <f>IF($C138="","",W138-N138)</f>
        <v/>
      </c>
      <c r="Y138" s="7" t="n"/>
      <c r="AA138">
        <f>IF($C138="","",IF($AD138=1,Settings!$C$6,Settings!$C$7)*100)</f>
        <v/>
      </c>
      <c r="AB138">
        <f>IF($C138="","",IF(COUNTIF($C$2:$C138,$C138)=1,1,0))</f>
        <v/>
      </c>
      <c r="AC138">
        <f>IF($AB138=1,SUMPRODUCT(--($AE$2:$AE$501&lt;$AE138))+1,"")</f>
        <v/>
      </c>
      <c r="AD138">
        <f>IF($C138="","",IF(OR($Z138=TRUE(),$Z138="TRUE"),0,1))</f>
        <v/>
      </c>
      <c r="AE138">
        <f>IF($AB138=1,IFERROR(IF(VALUE($C138)&lt;100000000,VALUE($C138),1000000000),IFERROR(IF(VALUE(MID($C138,2,20))&lt;100000000,VALUE(MID($C138,2,20)),1000000000),1000000000))+ROW()/100000,"")</f>
        <v/>
      </c>
    </row>
    <row r="139">
      <c r="G139" s="7" t="n"/>
      <c r="H139" s="7" t="n"/>
      <c r="N139" s="7">
        <f>IF($C139="","",M139*Y139/100)</f>
        <v/>
      </c>
      <c r="O139" s="11" t="n"/>
      <c r="T139" s="7" t="n"/>
      <c r="V139" s="7">
        <f>IF($C139="","",Y139*AA139/100)</f>
        <v/>
      </c>
      <c r="W139" s="7">
        <f>IF($C139="","",Y139-V139)</f>
        <v/>
      </c>
      <c r="X139" s="7">
        <f>IF($C139="","",W139-N139)</f>
        <v/>
      </c>
      <c r="Y139" s="7" t="n"/>
      <c r="AA139">
        <f>IF($C139="","",IF($AD139=1,Settings!$C$6,Settings!$C$7)*100)</f>
        <v/>
      </c>
      <c r="AB139">
        <f>IF($C139="","",IF(COUNTIF($C$2:$C139,$C139)=1,1,0))</f>
        <v/>
      </c>
      <c r="AC139">
        <f>IF($AB139=1,SUMPRODUCT(--($AE$2:$AE$501&lt;$AE139))+1,"")</f>
        <v/>
      </c>
      <c r="AD139">
        <f>IF($C139="","",IF(OR($Z139=TRUE(),$Z139="TRUE"),0,1))</f>
        <v/>
      </c>
      <c r="AE139">
        <f>IF($AB139=1,IFERROR(IF(VALUE($C139)&lt;100000000,VALUE($C139),1000000000),IFERROR(IF(VALUE(MID($C139,2,20))&lt;100000000,VALUE(MID($C139,2,20)),1000000000),1000000000))+ROW()/100000,"")</f>
        <v/>
      </c>
    </row>
    <row r="140">
      <c r="G140" s="7" t="n"/>
      <c r="H140" s="7" t="n"/>
      <c r="N140" s="7">
        <f>IF($C140="","",M140*Y140/100)</f>
        <v/>
      </c>
      <c r="O140" s="11" t="n"/>
      <c r="T140" s="7" t="n"/>
      <c r="V140" s="7">
        <f>IF($C140="","",Y140*AA140/100)</f>
        <v/>
      </c>
      <c r="W140" s="7">
        <f>IF($C140="","",Y140-V140)</f>
        <v/>
      </c>
      <c r="X140" s="7">
        <f>IF($C140="","",W140-N140)</f>
        <v/>
      </c>
      <c r="Y140" s="7" t="n"/>
      <c r="AA140">
        <f>IF($C140="","",IF($AD140=1,Settings!$C$6,Settings!$C$7)*100)</f>
        <v/>
      </c>
      <c r="AB140">
        <f>IF($C140="","",IF(COUNTIF($C$2:$C140,$C140)=1,1,0))</f>
        <v/>
      </c>
      <c r="AC140">
        <f>IF($AB140=1,SUMPRODUCT(--($AE$2:$AE$501&lt;$AE140))+1,"")</f>
        <v/>
      </c>
      <c r="AD140">
        <f>IF($C140="","",IF(OR($Z140=TRUE(),$Z140="TRUE"),0,1))</f>
        <v/>
      </c>
      <c r="AE140">
        <f>IF($AB140=1,IFERROR(IF(VALUE($C140)&lt;100000000,VALUE($C140),1000000000),IFERROR(IF(VALUE(MID($C140,2,20))&lt;100000000,VALUE(MID($C140,2,20)),1000000000),1000000000))+ROW()/100000,"")</f>
        <v/>
      </c>
    </row>
    <row r="141">
      <c r="G141" s="7" t="n"/>
      <c r="H141" s="7" t="n"/>
      <c r="N141" s="7">
        <f>IF($C141="","",M141*Y141/100)</f>
        <v/>
      </c>
      <c r="O141" s="11" t="n"/>
      <c r="T141" s="7" t="n"/>
      <c r="V141" s="7">
        <f>IF($C141="","",Y141*AA141/100)</f>
        <v/>
      </c>
      <c r="W141" s="7">
        <f>IF($C141="","",Y141-V141)</f>
        <v/>
      </c>
      <c r="X141" s="7">
        <f>IF($C141="","",W141-N141)</f>
        <v/>
      </c>
      <c r="Y141" s="7" t="n"/>
      <c r="AA141">
        <f>IF($C141="","",IF($AD141=1,Settings!$C$6,Settings!$C$7)*100)</f>
        <v/>
      </c>
      <c r="AB141">
        <f>IF($C141="","",IF(COUNTIF($C$2:$C141,$C141)=1,1,0))</f>
        <v/>
      </c>
      <c r="AC141">
        <f>IF($AB141=1,SUMPRODUCT(--($AE$2:$AE$501&lt;$AE141))+1,"")</f>
        <v/>
      </c>
      <c r="AD141">
        <f>IF($C141="","",IF(OR($Z141=TRUE(),$Z141="TRUE"),0,1))</f>
        <v/>
      </c>
      <c r="AE141">
        <f>IF($AB141=1,IFERROR(IF(VALUE($C141)&lt;100000000,VALUE($C141),1000000000),IFERROR(IF(VALUE(MID($C141,2,20))&lt;100000000,VALUE(MID($C141,2,20)),1000000000),1000000000))+ROW()/100000,"")</f>
        <v/>
      </c>
    </row>
    <row r="142">
      <c r="G142" s="7" t="n"/>
      <c r="H142" s="7" t="n"/>
      <c r="N142" s="7">
        <f>IF($C142="","",M142*Y142/100)</f>
        <v/>
      </c>
      <c r="O142" s="11" t="n"/>
      <c r="T142" s="7" t="n"/>
      <c r="V142" s="7">
        <f>IF($C142="","",Y142*AA142/100)</f>
        <v/>
      </c>
      <c r="W142" s="7">
        <f>IF($C142="","",Y142-V142)</f>
        <v/>
      </c>
      <c r="X142" s="7">
        <f>IF($C142="","",W142-N142)</f>
        <v/>
      </c>
      <c r="Y142" s="7" t="n"/>
      <c r="AA142">
        <f>IF($C142="","",IF($AD142=1,Settings!$C$6,Settings!$C$7)*100)</f>
        <v/>
      </c>
      <c r="AB142">
        <f>IF($C142="","",IF(COUNTIF($C$2:$C142,$C142)=1,1,0))</f>
        <v/>
      </c>
      <c r="AC142">
        <f>IF($AB142=1,SUMPRODUCT(--($AE$2:$AE$501&lt;$AE142))+1,"")</f>
        <v/>
      </c>
      <c r="AD142">
        <f>IF($C142="","",IF(OR($Z142=TRUE(),$Z142="TRUE"),0,1))</f>
        <v/>
      </c>
      <c r="AE142">
        <f>IF($AB142=1,IFERROR(IF(VALUE($C142)&lt;100000000,VALUE($C142),1000000000),IFERROR(IF(VALUE(MID($C142,2,20))&lt;100000000,VALUE(MID($C142,2,20)),1000000000),1000000000))+ROW()/100000,"")</f>
        <v/>
      </c>
    </row>
    <row r="143">
      <c r="G143" s="7" t="n"/>
      <c r="H143" s="7" t="n"/>
      <c r="N143" s="7">
        <f>IF($C143="","",M143*Y143/100)</f>
        <v/>
      </c>
      <c r="O143" s="11" t="n"/>
      <c r="T143" s="7" t="n"/>
      <c r="V143" s="7">
        <f>IF($C143="","",Y143*AA143/100)</f>
        <v/>
      </c>
      <c r="W143" s="7">
        <f>IF($C143="","",Y143-V143)</f>
        <v/>
      </c>
      <c r="X143" s="7">
        <f>IF($C143="","",W143-N143)</f>
        <v/>
      </c>
      <c r="Y143" s="7" t="n"/>
      <c r="AA143">
        <f>IF($C143="","",IF($AD143=1,Settings!$C$6,Settings!$C$7)*100)</f>
        <v/>
      </c>
      <c r="AB143">
        <f>IF($C143="","",IF(COUNTIF($C$2:$C143,$C143)=1,1,0))</f>
        <v/>
      </c>
      <c r="AC143">
        <f>IF($AB143=1,SUMPRODUCT(--($AE$2:$AE$501&lt;$AE143))+1,"")</f>
        <v/>
      </c>
      <c r="AD143">
        <f>IF($C143="","",IF(OR($Z143=TRUE(),$Z143="TRUE"),0,1))</f>
        <v/>
      </c>
      <c r="AE143">
        <f>IF($AB143=1,IFERROR(IF(VALUE($C143)&lt;100000000,VALUE($C143),1000000000),IFERROR(IF(VALUE(MID($C143,2,20))&lt;100000000,VALUE(MID($C143,2,20)),1000000000),1000000000))+ROW()/100000,"")</f>
        <v/>
      </c>
    </row>
    <row r="144">
      <c r="G144" s="7" t="n"/>
      <c r="H144" s="7" t="n"/>
      <c r="N144" s="7">
        <f>IF($C144="","",M144*Y144/100)</f>
        <v/>
      </c>
      <c r="O144" s="11" t="n"/>
      <c r="T144" s="7" t="n"/>
      <c r="V144" s="7">
        <f>IF($C144="","",Y144*AA144/100)</f>
        <v/>
      </c>
      <c r="W144" s="7">
        <f>IF($C144="","",Y144-V144)</f>
        <v/>
      </c>
      <c r="X144" s="7">
        <f>IF($C144="","",W144-N144)</f>
        <v/>
      </c>
      <c r="Y144" s="7" t="n"/>
      <c r="AA144">
        <f>IF($C144="","",IF($AD144=1,Settings!$C$6,Settings!$C$7)*100)</f>
        <v/>
      </c>
      <c r="AB144">
        <f>IF($C144="","",IF(COUNTIF($C$2:$C144,$C144)=1,1,0))</f>
        <v/>
      </c>
      <c r="AC144">
        <f>IF($AB144=1,SUMPRODUCT(--($AE$2:$AE$501&lt;$AE144))+1,"")</f>
        <v/>
      </c>
      <c r="AD144">
        <f>IF($C144="","",IF(OR($Z144=TRUE(),$Z144="TRUE"),0,1))</f>
        <v/>
      </c>
      <c r="AE144">
        <f>IF($AB144=1,IFERROR(IF(VALUE($C144)&lt;100000000,VALUE($C144),1000000000),IFERROR(IF(VALUE(MID($C144,2,20))&lt;100000000,VALUE(MID($C144,2,20)),1000000000),1000000000))+ROW()/100000,"")</f>
        <v/>
      </c>
    </row>
    <row r="145">
      <c r="G145" s="7" t="n"/>
      <c r="H145" s="7" t="n"/>
      <c r="N145" s="7">
        <f>IF($C145="","",M145*Y145/100)</f>
        <v/>
      </c>
      <c r="O145" s="11" t="n"/>
      <c r="T145" s="7" t="n"/>
      <c r="V145" s="7">
        <f>IF($C145="","",Y145*AA145/100)</f>
        <v/>
      </c>
      <c r="W145" s="7">
        <f>IF($C145="","",Y145-V145)</f>
        <v/>
      </c>
      <c r="X145" s="7">
        <f>IF($C145="","",W145-N145)</f>
        <v/>
      </c>
      <c r="Y145" s="7" t="n"/>
      <c r="AA145">
        <f>IF($C145="","",IF($AD145=1,Settings!$C$6,Settings!$C$7)*100)</f>
        <v/>
      </c>
      <c r="AB145">
        <f>IF($C145="","",IF(COUNTIF($C$2:$C145,$C145)=1,1,0))</f>
        <v/>
      </c>
      <c r="AC145">
        <f>IF($AB145=1,SUMPRODUCT(--($AE$2:$AE$501&lt;$AE145))+1,"")</f>
        <v/>
      </c>
      <c r="AD145">
        <f>IF($C145="","",IF(OR($Z145=TRUE(),$Z145="TRUE"),0,1))</f>
        <v/>
      </c>
      <c r="AE145">
        <f>IF($AB145=1,IFERROR(IF(VALUE($C145)&lt;100000000,VALUE($C145),1000000000),IFERROR(IF(VALUE(MID($C145,2,20))&lt;100000000,VALUE(MID($C145,2,20)),1000000000),1000000000))+ROW()/100000,"")</f>
        <v/>
      </c>
    </row>
    <row r="146">
      <c r="G146" s="7" t="n"/>
      <c r="H146" s="7" t="n"/>
      <c r="N146" s="7">
        <f>IF($C146="","",M146*Y146/100)</f>
        <v/>
      </c>
      <c r="O146" s="11" t="n"/>
      <c r="T146" s="7" t="n"/>
      <c r="V146" s="7">
        <f>IF($C146="","",Y146*AA146/100)</f>
        <v/>
      </c>
      <c r="W146" s="7">
        <f>IF($C146="","",Y146-V146)</f>
        <v/>
      </c>
      <c r="X146" s="7">
        <f>IF($C146="","",W146-N146)</f>
        <v/>
      </c>
      <c r="Y146" s="7" t="n"/>
      <c r="AA146">
        <f>IF($C146="","",IF($AD146=1,Settings!$C$6,Settings!$C$7)*100)</f>
        <v/>
      </c>
      <c r="AB146">
        <f>IF($C146="","",IF(COUNTIF($C$2:$C146,$C146)=1,1,0))</f>
        <v/>
      </c>
      <c r="AC146">
        <f>IF($AB146=1,SUMPRODUCT(--($AE$2:$AE$501&lt;$AE146))+1,"")</f>
        <v/>
      </c>
      <c r="AD146">
        <f>IF($C146="","",IF(OR($Z146=TRUE(),$Z146="TRUE"),0,1))</f>
        <v/>
      </c>
      <c r="AE146">
        <f>IF($AB146=1,IFERROR(IF(VALUE($C146)&lt;100000000,VALUE($C146),1000000000),IFERROR(IF(VALUE(MID($C146,2,20))&lt;100000000,VALUE(MID($C146,2,20)),1000000000),1000000000))+ROW()/100000,"")</f>
        <v/>
      </c>
    </row>
    <row r="147">
      <c r="G147" s="7" t="n"/>
      <c r="H147" s="7" t="n"/>
      <c r="N147" s="7">
        <f>IF($C147="","",M147*Y147/100)</f>
        <v/>
      </c>
      <c r="O147" s="11" t="n"/>
      <c r="T147" s="7" t="n"/>
      <c r="V147" s="7">
        <f>IF($C147="","",Y147*AA147/100)</f>
        <v/>
      </c>
      <c r="W147" s="7">
        <f>IF($C147="","",Y147-V147)</f>
        <v/>
      </c>
      <c r="X147" s="7">
        <f>IF($C147="","",W147-N147)</f>
        <v/>
      </c>
      <c r="Y147" s="7" t="n"/>
      <c r="AA147">
        <f>IF($C147="","",IF($AD147=1,Settings!$C$6,Settings!$C$7)*100)</f>
        <v/>
      </c>
      <c r="AB147">
        <f>IF($C147="","",IF(COUNTIF($C$2:$C147,$C147)=1,1,0))</f>
        <v/>
      </c>
      <c r="AC147">
        <f>IF($AB147=1,SUMPRODUCT(--($AE$2:$AE$501&lt;$AE147))+1,"")</f>
        <v/>
      </c>
      <c r="AD147">
        <f>IF($C147="","",IF(OR($Z147=TRUE(),$Z147="TRUE"),0,1))</f>
        <v/>
      </c>
      <c r="AE147">
        <f>IF($AB147=1,IFERROR(IF(VALUE($C147)&lt;100000000,VALUE($C147),1000000000),IFERROR(IF(VALUE(MID($C147,2,20))&lt;100000000,VALUE(MID($C147,2,20)),1000000000),1000000000))+ROW()/100000,"")</f>
        <v/>
      </c>
    </row>
    <row r="148">
      <c r="G148" s="7" t="n"/>
      <c r="H148" s="7" t="n"/>
      <c r="N148" s="7">
        <f>IF($C148="","",M148*Y148/100)</f>
        <v/>
      </c>
      <c r="O148" s="11" t="n"/>
      <c r="T148" s="7" t="n"/>
      <c r="V148" s="7">
        <f>IF($C148="","",Y148*AA148/100)</f>
        <v/>
      </c>
      <c r="W148" s="7">
        <f>IF($C148="","",Y148-V148)</f>
        <v/>
      </c>
      <c r="X148" s="7">
        <f>IF($C148="","",W148-N148)</f>
        <v/>
      </c>
      <c r="Y148" s="7" t="n"/>
      <c r="AA148">
        <f>IF($C148="","",IF($AD148=1,Settings!$C$6,Settings!$C$7)*100)</f>
        <v/>
      </c>
      <c r="AB148">
        <f>IF($C148="","",IF(COUNTIF($C$2:$C148,$C148)=1,1,0))</f>
        <v/>
      </c>
      <c r="AC148">
        <f>IF($AB148=1,SUMPRODUCT(--($AE$2:$AE$501&lt;$AE148))+1,"")</f>
        <v/>
      </c>
      <c r="AD148">
        <f>IF($C148="","",IF(OR($Z148=TRUE(),$Z148="TRUE"),0,1))</f>
        <v/>
      </c>
      <c r="AE148">
        <f>IF($AB148=1,IFERROR(IF(VALUE($C148)&lt;100000000,VALUE($C148),1000000000),IFERROR(IF(VALUE(MID($C148,2,20))&lt;100000000,VALUE(MID($C148,2,20)),1000000000),1000000000))+ROW()/100000,"")</f>
        <v/>
      </c>
    </row>
    <row r="149">
      <c r="G149" s="7" t="n"/>
      <c r="H149" s="7" t="n"/>
      <c r="N149" s="7">
        <f>IF($C149="","",M149*Y149/100)</f>
        <v/>
      </c>
      <c r="O149" s="11" t="n"/>
      <c r="T149" s="7" t="n"/>
      <c r="V149" s="7">
        <f>IF($C149="","",Y149*AA149/100)</f>
        <v/>
      </c>
      <c r="W149" s="7">
        <f>IF($C149="","",Y149-V149)</f>
        <v/>
      </c>
      <c r="X149" s="7">
        <f>IF($C149="","",W149-N149)</f>
        <v/>
      </c>
      <c r="Y149" s="7" t="n"/>
      <c r="AA149">
        <f>IF($C149="","",IF($AD149=1,Settings!$C$6,Settings!$C$7)*100)</f>
        <v/>
      </c>
      <c r="AB149">
        <f>IF($C149="","",IF(COUNTIF($C$2:$C149,$C149)=1,1,0))</f>
        <v/>
      </c>
      <c r="AC149">
        <f>IF($AB149=1,SUMPRODUCT(--($AE$2:$AE$501&lt;$AE149))+1,"")</f>
        <v/>
      </c>
      <c r="AD149">
        <f>IF($C149="","",IF(OR($Z149=TRUE(),$Z149="TRUE"),0,1))</f>
        <v/>
      </c>
      <c r="AE149">
        <f>IF($AB149=1,IFERROR(IF(VALUE($C149)&lt;100000000,VALUE($C149),1000000000),IFERROR(IF(VALUE(MID($C149,2,20))&lt;100000000,VALUE(MID($C149,2,20)),1000000000),1000000000))+ROW()/100000,"")</f>
        <v/>
      </c>
    </row>
    <row r="150">
      <c r="G150" s="7" t="n"/>
      <c r="H150" s="7" t="n"/>
      <c r="N150" s="7">
        <f>IF($C150="","",M150*Y150/100)</f>
        <v/>
      </c>
      <c r="O150" s="11" t="n"/>
      <c r="T150" s="7" t="n"/>
      <c r="V150" s="7">
        <f>IF($C150="","",Y150*AA150/100)</f>
        <v/>
      </c>
      <c r="W150" s="7">
        <f>IF($C150="","",Y150-V150)</f>
        <v/>
      </c>
      <c r="X150" s="7">
        <f>IF($C150="","",W150-N150)</f>
        <v/>
      </c>
      <c r="Y150" s="7" t="n"/>
      <c r="AA150">
        <f>IF($C150="","",IF($AD150=1,Settings!$C$6,Settings!$C$7)*100)</f>
        <v/>
      </c>
      <c r="AB150">
        <f>IF($C150="","",IF(COUNTIF($C$2:$C150,$C150)=1,1,0))</f>
        <v/>
      </c>
      <c r="AC150">
        <f>IF($AB150=1,SUMPRODUCT(--($AE$2:$AE$501&lt;$AE150))+1,"")</f>
        <v/>
      </c>
      <c r="AD150">
        <f>IF($C150="","",IF(OR($Z150=TRUE(),$Z150="TRUE"),0,1))</f>
        <v/>
      </c>
      <c r="AE150">
        <f>IF($AB150=1,IFERROR(IF(VALUE($C150)&lt;100000000,VALUE($C150),1000000000),IFERROR(IF(VALUE(MID($C150,2,20))&lt;100000000,VALUE(MID($C150,2,20)),1000000000),1000000000))+ROW()/100000,"")</f>
        <v/>
      </c>
    </row>
    <row r="151">
      <c r="G151" s="7" t="n"/>
      <c r="H151" s="7" t="n"/>
      <c r="N151" s="7">
        <f>IF($C151="","",M151*Y151/100)</f>
        <v/>
      </c>
      <c r="O151" s="11" t="n"/>
      <c r="T151" s="7" t="n"/>
      <c r="V151" s="7">
        <f>IF($C151="","",Y151*AA151/100)</f>
        <v/>
      </c>
      <c r="W151" s="7">
        <f>IF($C151="","",Y151-V151)</f>
        <v/>
      </c>
      <c r="X151" s="7">
        <f>IF($C151="","",W151-N151)</f>
        <v/>
      </c>
      <c r="Y151" s="7" t="n"/>
      <c r="AA151">
        <f>IF($C151="","",IF($AD151=1,Settings!$C$6,Settings!$C$7)*100)</f>
        <v/>
      </c>
      <c r="AB151">
        <f>IF($C151="","",IF(COUNTIF($C$2:$C151,$C151)=1,1,0))</f>
        <v/>
      </c>
      <c r="AC151">
        <f>IF($AB151=1,SUMPRODUCT(--($AE$2:$AE$501&lt;$AE151))+1,"")</f>
        <v/>
      </c>
      <c r="AD151">
        <f>IF($C151="","",IF(OR($Z151=TRUE(),$Z151="TRUE"),0,1))</f>
        <v/>
      </c>
      <c r="AE151">
        <f>IF($AB151=1,IFERROR(IF(VALUE($C151)&lt;100000000,VALUE($C151),1000000000),IFERROR(IF(VALUE(MID($C151,2,20))&lt;100000000,VALUE(MID($C151,2,20)),1000000000),1000000000))+ROW()/100000,"")</f>
        <v/>
      </c>
    </row>
    <row r="152">
      <c r="G152" s="7" t="n"/>
      <c r="H152" s="7" t="n"/>
      <c r="N152" s="7">
        <f>IF($C152="","",M152*Y152/100)</f>
        <v/>
      </c>
      <c r="O152" s="11" t="n"/>
      <c r="T152" s="7" t="n"/>
      <c r="V152" s="7">
        <f>IF($C152="","",Y152*AA152/100)</f>
        <v/>
      </c>
      <c r="W152" s="7">
        <f>IF($C152="","",Y152-V152)</f>
        <v/>
      </c>
      <c r="X152" s="7">
        <f>IF($C152="","",W152-N152)</f>
        <v/>
      </c>
      <c r="Y152" s="7" t="n"/>
      <c r="AA152">
        <f>IF($C152="","",IF($AD152=1,Settings!$C$6,Settings!$C$7)*100)</f>
        <v/>
      </c>
      <c r="AB152">
        <f>IF($C152="","",IF(COUNTIF($C$2:$C152,$C152)=1,1,0))</f>
        <v/>
      </c>
      <c r="AC152">
        <f>IF($AB152=1,SUMPRODUCT(--($AE$2:$AE$501&lt;$AE152))+1,"")</f>
        <v/>
      </c>
      <c r="AD152">
        <f>IF($C152="","",IF(OR($Z152=TRUE(),$Z152="TRUE"),0,1))</f>
        <v/>
      </c>
      <c r="AE152">
        <f>IF($AB152=1,IFERROR(IF(VALUE($C152)&lt;100000000,VALUE($C152),1000000000),IFERROR(IF(VALUE(MID($C152,2,20))&lt;100000000,VALUE(MID($C152,2,20)),1000000000),1000000000))+ROW()/100000,"")</f>
        <v/>
      </c>
    </row>
    <row r="153">
      <c r="G153" s="7" t="n"/>
      <c r="H153" s="7" t="n"/>
      <c r="N153" s="7">
        <f>IF($C153="","",M153*Y153/100)</f>
        <v/>
      </c>
      <c r="O153" s="11" t="n"/>
      <c r="T153" s="7" t="n"/>
      <c r="V153" s="7">
        <f>IF($C153="","",Y153*AA153/100)</f>
        <v/>
      </c>
      <c r="W153" s="7">
        <f>IF($C153="","",Y153-V153)</f>
        <v/>
      </c>
      <c r="X153" s="7">
        <f>IF($C153="","",W153-N153)</f>
        <v/>
      </c>
      <c r="Y153" s="7" t="n"/>
      <c r="AA153">
        <f>IF($C153="","",IF($AD153=1,Settings!$C$6,Settings!$C$7)*100)</f>
        <v/>
      </c>
      <c r="AB153">
        <f>IF($C153="","",IF(COUNTIF($C$2:$C153,$C153)=1,1,0))</f>
        <v/>
      </c>
      <c r="AC153">
        <f>IF($AB153=1,SUMPRODUCT(--($AE$2:$AE$501&lt;$AE153))+1,"")</f>
        <v/>
      </c>
      <c r="AD153">
        <f>IF($C153="","",IF(OR($Z153=TRUE(),$Z153="TRUE"),0,1))</f>
        <v/>
      </c>
      <c r="AE153">
        <f>IF($AB153=1,IFERROR(IF(VALUE($C153)&lt;100000000,VALUE($C153),1000000000),IFERROR(IF(VALUE(MID($C153,2,20))&lt;100000000,VALUE(MID($C153,2,20)),1000000000),1000000000))+ROW()/100000,"")</f>
        <v/>
      </c>
    </row>
    <row r="154">
      <c r="G154" s="7" t="n"/>
      <c r="H154" s="7" t="n"/>
      <c r="N154" s="7">
        <f>IF($C154="","",M154*Y154/100)</f>
        <v/>
      </c>
      <c r="O154" s="11" t="n"/>
      <c r="T154" s="7" t="n"/>
      <c r="V154" s="7">
        <f>IF($C154="","",Y154*AA154/100)</f>
        <v/>
      </c>
      <c r="W154" s="7">
        <f>IF($C154="","",Y154-V154)</f>
        <v/>
      </c>
      <c r="X154" s="7">
        <f>IF($C154="","",W154-N154)</f>
        <v/>
      </c>
      <c r="Y154" s="7" t="n"/>
      <c r="AA154">
        <f>IF($C154="","",IF($AD154=1,Settings!$C$6,Settings!$C$7)*100)</f>
        <v/>
      </c>
      <c r="AB154">
        <f>IF($C154="","",IF(COUNTIF($C$2:$C154,$C154)=1,1,0))</f>
        <v/>
      </c>
      <c r="AC154">
        <f>IF($AB154=1,SUMPRODUCT(--($AE$2:$AE$501&lt;$AE154))+1,"")</f>
        <v/>
      </c>
      <c r="AD154">
        <f>IF($C154="","",IF(OR($Z154=TRUE(),$Z154="TRUE"),0,1))</f>
        <v/>
      </c>
      <c r="AE154">
        <f>IF($AB154=1,IFERROR(IF(VALUE($C154)&lt;100000000,VALUE($C154),1000000000),IFERROR(IF(VALUE(MID($C154,2,20))&lt;100000000,VALUE(MID($C154,2,20)),1000000000),1000000000))+ROW()/100000,"")</f>
        <v/>
      </c>
    </row>
    <row r="155">
      <c r="G155" s="7" t="n"/>
      <c r="H155" s="7" t="n"/>
      <c r="N155" s="7">
        <f>IF($C155="","",M155*Y155/100)</f>
        <v/>
      </c>
      <c r="O155" s="11" t="n"/>
      <c r="T155" s="7" t="n"/>
      <c r="V155" s="7">
        <f>IF($C155="","",Y155*AA155/100)</f>
        <v/>
      </c>
      <c r="W155" s="7">
        <f>IF($C155="","",Y155-V155)</f>
        <v/>
      </c>
      <c r="X155" s="7">
        <f>IF($C155="","",W155-N155)</f>
        <v/>
      </c>
      <c r="Y155" s="7" t="n"/>
      <c r="AA155">
        <f>IF($C155="","",IF($AD155=1,Settings!$C$6,Settings!$C$7)*100)</f>
        <v/>
      </c>
      <c r="AB155">
        <f>IF($C155="","",IF(COUNTIF($C$2:$C155,$C155)=1,1,0))</f>
        <v/>
      </c>
      <c r="AC155">
        <f>IF($AB155=1,SUMPRODUCT(--($AE$2:$AE$501&lt;$AE155))+1,"")</f>
        <v/>
      </c>
      <c r="AD155">
        <f>IF($C155="","",IF(OR($Z155=TRUE(),$Z155="TRUE"),0,1))</f>
        <v/>
      </c>
      <c r="AE155">
        <f>IF($AB155=1,IFERROR(IF(VALUE($C155)&lt;100000000,VALUE($C155),1000000000),IFERROR(IF(VALUE(MID($C155,2,20))&lt;100000000,VALUE(MID($C155,2,20)),1000000000),1000000000))+ROW()/100000,"")</f>
        <v/>
      </c>
    </row>
    <row r="156">
      <c r="G156" s="7" t="n"/>
      <c r="H156" s="7" t="n"/>
      <c r="N156" s="7">
        <f>IF($C156="","",M156*Y156/100)</f>
        <v/>
      </c>
      <c r="O156" s="11" t="n"/>
      <c r="T156" s="7" t="n"/>
      <c r="V156" s="7">
        <f>IF($C156="","",Y156*AA156/100)</f>
        <v/>
      </c>
      <c r="W156" s="7">
        <f>IF($C156="","",Y156-V156)</f>
        <v/>
      </c>
      <c r="X156" s="7">
        <f>IF($C156="","",W156-N156)</f>
        <v/>
      </c>
      <c r="Y156" s="7" t="n"/>
      <c r="AA156">
        <f>IF($C156="","",IF($AD156=1,Settings!$C$6,Settings!$C$7)*100)</f>
        <v/>
      </c>
      <c r="AB156">
        <f>IF($C156="","",IF(COUNTIF($C$2:$C156,$C156)=1,1,0))</f>
        <v/>
      </c>
      <c r="AC156">
        <f>IF($AB156=1,SUMPRODUCT(--($AE$2:$AE$501&lt;$AE156))+1,"")</f>
        <v/>
      </c>
      <c r="AD156">
        <f>IF($C156="","",IF(OR($Z156=TRUE(),$Z156="TRUE"),0,1))</f>
        <v/>
      </c>
      <c r="AE156">
        <f>IF($AB156=1,IFERROR(IF(VALUE($C156)&lt;100000000,VALUE($C156),1000000000),IFERROR(IF(VALUE(MID($C156,2,20))&lt;100000000,VALUE(MID($C156,2,20)),1000000000),1000000000))+ROW()/100000,"")</f>
        <v/>
      </c>
    </row>
    <row r="157">
      <c r="G157" s="7" t="n"/>
      <c r="H157" s="7" t="n"/>
      <c r="N157" s="7">
        <f>IF($C157="","",M157*Y157/100)</f>
        <v/>
      </c>
      <c r="O157" s="11" t="n"/>
      <c r="T157" s="7" t="n"/>
      <c r="V157" s="7">
        <f>IF($C157="","",Y157*AA157/100)</f>
        <v/>
      </c>
      <c r="W157" s="7">
        <f>IF($C157="","",Y157-V157)</f>
        <v/>
      </c>
      <c r="X157" s="7">
        <f>IF($C157="","",W157-N157)</f>
        <v/>
      </c>
      <c r="Y157" s="7" t="n"/>
      <c r="AA157">
        <f>IF($C157="","",IF($AD157=1,Settings!$C$6,Settings!$C$7)*100)</f>
        <v/>
      </c>
      <c r="AB157">
        <f>IF($C157="","",IF(COUNTIF($C$2:$C157,$C157)=1,1,0))</f>
        <v/>
      </c>
      <c r="AC157">
        <f>IF($AB157=1,SUMPRODUCT(--($AE$2:$AE$501&lt;$AE157))+1,"")</f>
        <v/>
      </c>
      <c r="AD157">
        <f>IF($C157="","",IF(OR($Z157=TRUE(),$Z157="TRUE"),0,1))</f>
        <v/>
      </c>
      <c r="AE157">
        <f>IF($AB157=1,IFERROR(IF(VALUE($C157)&lt;100000000,VALUE($C157),1000000000),IFERROR(IF(VALUE(MID($C157,2,20))&lt;100000000,VALUE(MID($C157,2,20)),1000000000),1000000000))+ROW()/100000,"")</f>
        <v/>
      </c>
    </row>
    <row r="158">
      <c r="G158" s="7" t="n"/>
      <c r="H158" s="7" t="n"/>
      <c r="N158" s="7">
        <f>IF($C158="","",M158*Y158/100)</f>
        <v/>
      </c>
      <c r="O158" s="11" t="n"/>
      <c r="T158" s="7" t="n"/>
      <c r="V158" s="7">
        <f>IF($C158="","",Y158*AA158/100)</f>
        <v/>
      </c>
      <c r="W158" s="7">
        <f>IF($C158="","",Y158-V158)</f>
        <v/>
      </c>
      <c r="X158" s="7">
        <f>IF($C158="","",W158-N158)</f>
        <v/>
      </c>
      <c r="Y158" s="7" t="n"/>
      <c r="AA158">
        <f>IF($C158="","",IF($AD158=1,Settings!$C$6,Settings!$C$7)*100)</f>
        <v/>
      </c>
      <c r="AB158">
        <f>IF($C158="","",IF(COUNTIF($C$2:$C158,$C158)=1,1,0))</f>
        <v/>
      </c>
      <c r="AC158">
        <f>IF($AB158=1,SUMPRODUCT(--($AE$2:$AE$501&lt;$AE158))+1,"")</f>
        <v/>
      </c>
      <c r="AD158">
        <f>IF($C158="","",IF(OR($Z158=TRUE(),$Z158="TRUE"),0,1))</f>
        <v/>
      </c>
      <c r="AE158">
        <f>IF($AB158=1,IFERROR(IF(VALUE($C158)&lt;100000000,VALUE($C158),1000000000),IFERROR(IF(VALUE(MID($C158,2,20))&lt;100000000,VALUE(MID($C158,2,20)),1000000000),1000000000))+ROW()/100000,"")</f>
        <v/>
      </c>
    </row>
    <row r="159">
      <c r="G159" s="7" t="n"/>
      <c r="H159" s="7" t="n"/>
      <c r="N159" s="7">
        <f>IF($C159="","",M159*Y159/100)</f>
        <v/>
      </c>
      <c r="O159" s="11" t="n"/>
      <c r="T159" s="7" t="n"/>
      <c r="V159" s="7">
        <f>IF($C159="","",Y159*AA159/100)</f>
        <v/>
      </c>
      <c r="W159" s="7">
        <f>IF($C159="","",Y159-V159)</f>
        <v/>
      </c>
      <c r="X159" s="7">
        <f>IF($C159="","",W159-N159)</f>
        <v/>
      </c>
      <c r="Y159" s="7" t="n"/>
      <c r="AA159">
        <f>IF($C159="","",IF($AD159=1,Settings!$C$6,Settings!$C$7)*100)</f>
        <v/>
      </c>
      <c r="AB159">
        <f>IF($C159="","",IF(COUNTIF($C$2:$C159,$C159)=1,1,0))</f>
        <v/>
      </c>
      <c r="AC159">
        <f>IF($AB159=1,SUMPRODUCT(--($AE$2:$AE$501&lt;$AE159))+1,"")</f>
        <v/>
      </c>
      <c r="AD159">
        <f>IF($C159="","",IF(OR($Z159=TRUE(),$Z159="TRUE"),0,1))</f>
        <v/>
      </c>
      <c r="AE159">
        <f>IF($AB159=1,IFERROR(IF(VALUE($C159)&lt;100000000,VALUE($C159),1000000000),IFERROR(IF(VALUE(MID($C159,2,20))&lt;100000000,VALUE(MID($C159,2,20)),1000000000),1000000000))+ROW()/100000,"")</f>
        <v/>
      </c>
    </row>
    <row r="160">
      <c r="G160" s="7" t="n"/>
      <c r="H160" s="7" t="n"/>
      <c r="N160" s="7">
        <f>IF($C160="","",M160*Y160/100)</f>
        <v/>
      </c>
      <c r="O160" s="11" t="n"/>
      <c r="T160" s="7" t="n"/>
      <c r="V160" s="7">
        <f>IF($C160="","",Y160*AA160/100)</f>
        <v/>
      </c>
      <c r="W160" s="7">
        <f>IF($C160="","",Y160-V160)</f>
        <v/>
      </c>
      <c r="X160" s="7">
        <f>IF($C160="","",W160-N160)</f>
        <v/>
      </c>
      <c r="Y160" s="7" t="n"/>
      <c r="AA160">
        <f>IF($C160="","",IF($AD160=1,Settings!$C$6,Settings!$C$7)*100)</f>
        <v/>
      </c>
      <c r="AB160">
        <f>IF($C160="","",IF(COUNTIF($C$2:$C160,$C160)=1,1,0))</f>
        <v/>
      </c>
      <c r="AC160">
        <f>IF($AB160=1,SUMPRODUCT(--($AE$2:$AE$501&lt;$AE160))+1,"")</f>
        <v/>
      </c>
      <c r="AD160">
        <f>IF($C160="","",IF(OR($Z160=TRUE(),$Z160="TRUE"),0,1))</f>
        <v/>
      </c>
      <c r="AE160">
        <f>IF($AB160=1,IFERROR(IF(VALUE($C160)&lt;100000000,VALUE($C160),1000000000),IFERROR(IF(VALUE(MID($C160,2,20))&lt;100000000,VALUE(MID($C160,2,20)),1000000000),1000000000))+ROW()/100000,"")</f>
        <v/>
      </c>
    </row>
    <row r="161">
      <c r="G161" s="7" t="n"/>
      <c r="H161" s="7" t="n"/>
      <c r="N161" s="7">
        <f>IF($C161="","",M161*Y161/100)</f>
        <v/>
      </c>
      <c r="O161" s="11" t="n"/>
      <c r="T161" s="7" t="n"/>
      <c r="V161" s="7">
        <f>IF($C161="","",Y161*AA161/100)</f>
        <v/>
      </c>
      <c r="W161" s="7">
        <f>IF($C161="","",Y161-V161)</f>
        <v/>
      </c>
      <c r="X161" s="7">
        <f>IF($C161="","",W161-N161)</f>
        <v/>
      </c>
      <c r="Y161" s="7" t="n"/>
      <c r="AA161">
        <f>IF($C161="","",IF($AD161=1,Settings!$C$6,Settings!$C$7)*100)</f>
        <v/>
      </c>
      <c r="AB161">
        <f>IF($C161="","",IF(COUNTIF($C$2:$C161,$C161)=1,1,0))</f>
        <v/>
      </c>
      <c r="AC161">
        <f>IF($AB161=1,SUMPRODUCT(--($AE$2:$AE$501&lt;$AE161))+1,"")</f>
        <v/>
      </c>
      <c r="AD161">
        <f>IF($C161="","",IF(OR($Z161=TRUE(),$Z161="TRUE"),0,1))</f>
        <v/>
      </c>
      <c r="AE161">
        <f>IF($AB161=1,IFERROR(IF(VALUE($C161)&lt;100000000,VALUE($C161),1000000000),IFERROR(IF(VALUE(MID($C161,2,20))&lt;100000000,VALUE(MID($C161,2,20)),1000000000),1000000000))+ROW()/100000,"")</f>
        <v/>
      </c>
    </row>
    <row r="162">
      <c r="G162" s="7" t="n"/>
      <c r="H162" s="7" t="n"/>
      <c r="N162" s="7">
        <f>IF($C162="","",M162*Y162/100)</f>
        <v/>
      </c>
      <c r="O162" s="11" t="n"/>
      <c r="T162" s="7" t="n"/>
      <c r="V162" s="7">
        <f>IF($C162="","",Y162*AA162/100)</f>
        <v/>
      </c>
      <c r="W162" s="7">
        <f>IF($C162="","",Y162-V162)</f>
        <v/>
      </c>
      <c r="X162" s="7">
        <f>IF($C162="","",W162-N162)</f>
        <v/>
      </c>
      <c r="Y162" s="7" t="n"/>
      <c r="AA162">
        <f>IF($C162="","",IF($AD162=1,Settings!$C$6,Settings!$C$7)*100)</f>
        <v/>
      </c>
      <c r="AB162">
        <f>IF($C162="","",IF(COUNTIF($C$2:$C162,$C162)=1,1,0))</f>
        <v/>
      </c>
      <c r="AC162">
        <f>IF($AB162=1,SUMPRODUCT(--($AE$2:$AE$501&lt;$AE162))+1,"")</f>
        <v/>
      </c>
      <c r="AD162">
        <f>IF($C162="","",IF(OR($Z162=TRUE(),$Z162="TRUE"),0,1))</f>
        <v/>
      </c>
      <c r="AE162">
        <f>IF($AB162=1,IFERROR(IF(VALUE($C162)&lt;100000000,VALUE($C162),1000000000),IFERROR(IF(VALUE(MID($C162,2,20))&lt;100000000,VALUE(MID($C162,2,20)),1000000000),1000000000))+ROW()/100000,"")</f>
        <v/>
      </c>
    </row>
    <row r="163">
      <c r="G163" s="7" t="n"/>
      <c r="H163" s="7" t="n"/>
      <c r="N163" s="7">
        <f>IF($C163="","",M163*Y163/100)</f>
        <v/>
      </c>
      <c r="O163" s="11" t="n"/>
      <c r="T163" s="7" t="n"/>
      <c r="V163" s="7">
        <f>IF($C163="","",Y163*AA163/100)</f>
        <v/>
      </c>
      <c r="W163" s="7">
        <f>IF($C163="","",Y163-V163)</f>
        <v/>
      </c>
      <c r="X163" s="7">
        <f>IF($C163="","",W163-N163)</f>
        <v/>
      </c>
      <c r="Y163" s="7" t="n"/>
      <c r="AA163">
        <f>IF($C163="","",IF($AD163=1,Settings!$C$6,Settings!$C$7)*100)</f>
        <v/>
      </c>
      <c r="AB163">
        <f>IF($C163="","",IF(COUNTIF($C$2:$C163,$C163)=1,1,0))</f>
        <v/>
      </c>
      <c r="AC163">
        <f>IF($AB163=1,SUMPRODUCT(--($AE$2:$AE$501&lt;$AE163))+1,"")</f>
        <v/>
      </c>
      <c r="AD163">
        <f>IF($C163="","",IF(OR($Z163=TRUE(),$Z163="TRUE"),0,1))</f>
        <v/>
      </c>
      <c r="AE163">
        <f>IF($AB163=1,IFERROR(IF(VALUE($C163)&lt;100000000,VALUE($C163),1000000000),IFERROR(IF(VALUE(MID($C163,2,20))&lt;100000000,VALUE(MID($C163,2,20)),1000000000),1000000000))+ROW()/100000,"")</f>
        <v/>
      </c>
    </row>
    <row r="164">
      <c r="G164" s="7" t="n"/>
      <c r="H164" s="7" t="n"/>
      <c r="N164" s="7">
        <f>IF($C164="","",M164*Y164/100)</f>
        <v/>
      </c>
      <c r="O164" s="11" t="n"/>
      <c r="T164" s="7" t="n"/>
      <c r="V164" s="7">
        <f>IF($C164="","",Y164*AA164/100)</f>
        <v/>
      </c>
      <c r="W164" s="7">
        <f>IF($C164="","",Y164-V164)</f>
        <v/>
      </c>
      <c r="X164" s="7">
        <f>IF($C164="","",W164-N164)</f>
        <v/>
      </c>
      <c r="Y164" s="7" t="n"/>
      <c r="AA164">
        <f>IF($C164="","",IF($AD164=1,Settings!$C$6,Settings!$C$7)*100)</f>
        <v/>
      </c>
      <c r="AB164">
        <f>IF($C164="","",IF(COUNTIF($C$2:$C164,$C164)=1,1,0))</f>
        <v/>
      </c>
      <c r="AC164">
        <f>IF($AB164=1,SUMPRODUCT(--($AE$2:$AE$501&lt;$AE164))+1,"")</f>
        <v/>
      </c>
      <c r="AD164">
        <f>IF($C164="","",IF(OR($Z164=TRUE(),$Z164="TRUE"),0,1))</f>
        <v/>
      </c>
      <c r="AE164">
        <f>IF($AB164=1,IFERROR(IF(VALUE($C164)&lt;100000000,VALUE($C164),1000000000),IFERROR(IF(VALUE(MID($C164,2,20))&lt;100000000,VALUE(MID($C164,2,20)),1000000000),1000000000))+ROW()/100000,"")</f>
        <v/>
      </c>
    </row>
    <row r="165">
      <c r="G165" s="7" t="n"/>
      <c r="H165" s="7" t="n"/>
      <c r="N165" s="7">
        <f>IF($C165="","",M165*Y165/100)</f>
        <v/>
      </c>
      <c r="O165" s="11" t="n"/>
      <c r="T165" s="7" t="n"/>
      <c r="V165" s="7">
        <f>IF($C165="","",Y165*AA165/100)</f>
        <v/>
      </c>
      <c r="W165" s="7">
        <f>IF($C165="","",Y165-V165)</f>
        <v/>
      </c>
      <c r="X165" s="7">
        <f>IF($C165="","",W165-N165)</f>
        <v/>
      </c>
      <c r="Y165" s="7" t="n"/>
      <c r="AA165">
        <f>IF($C165="","",IF($AD165=1,Settings!$C$6,Settings!$C$7)*100)</f>
        <v/>
      </c>
      <c r="AB165">
        <f>IF($C165="","",IF(COUNTIF($C$2:$C165,$C165)=1,1,0))</f>
        <v/>
      </c>
      <c r="AC165">
        <f>IF($AB165=1,SUMPRODUCT(--($AE$2:$AE$501&lt;$AE165))+1,"")</f>
        <v/>
      </c>
      <c r="AD165">
        <f>IF($C165="","",IF(OR($Z165=TRUE(),$Z165="TRUE"),0,1))</f>
        <v/>
      </c>
      <c r="AE165">
        <f>IF($AB165=1,IFERROR(IF(VALUE($C165)&lt;100000000,VALUE($C165),1000000000),IFERROR(IF(VALUE(MID($C165,2,20))&lt;100000000,VALUE(MID($C165,2,20)),1000000000),1000000000))+ROW()/100000,"")</f>
        <v/>
      </c>
    </row>
    <row r="166">
      <c r="G166" s="7" t="n"/>
      <c r="H166" s="7" t="n"/>
      <c r="N166" s="7">
        <f>IF($C166="","",M166*Y166/100)</f>
        <v/>
      </c>
      <c r="O166" s="11" t="n"/>
      <c r="T166" s="7" t="n"/>
      <c r="V166" s="7">
        <f>IF($C166="","",Y166*AA166/100)</f>
        <v/>
      </c>
      <c r="W166" s="7">
        <f>IF($C166="","",Y166-V166)</f>
        <v/>
      </c>
      <c r="X166" s="7">
        <f>IF($C166="","",W166-N166)</f>
        <v/>
      </c>
      <c r="Y166" s="7" t="n"/>
      <c r="AA166">
        <f>IF($C166="","",IF($AD166=1,Settings!$C$6,Settings!$C$7)*100)</f>
        <v/>
      </c>
      <c r="AB166">
        <f>IF($C166="","",IF(COUNTIF($C$2:$C166,$C166)=1,1,0))</f>
        <v/>
      </c>
      <c r="AC166">
        <f>IF($AB166=1,SUMPRODUCT(--($AE$2:$AE$501&lt;$AE166))+1,"")</f>
        <v/>
      </c>
      <c r="AD166">
        <f>IF($C166="","",IF(OR($Z166=TRUE(),$Z166="TRUE"),0,1))</f>
        <v/>
      </c>
      <c r="AE166">
        <f>IF($AB166=1,IFERROR(IF(VALUE($C166)&lt;100000000,VALUE($C166),1000000000),IFERROR(IF(VALUE(MID($C166,2,20))&lt;100000000,VALUE(MID($C166,2,20)),1000000000),1000000000))+ROW()/100000,"")</f>
        <v/>
      </c>
    </row>
    <row r="167">
      <c r="G167" s="7" t="n"/>
      <c r="H167" s="7" t="n"/>
      <c r="N167" s="7">
        <f>IF($C167="","",M167*Y167/100)</f>
        <v/>
      </c>
      <c r="O167" s="11" t="n"/>
      <c r="T167" s="7" t="n"/>
      <c r="V167" s="7">
        <f>IF($C167="","",Y167*AA167/100)</f>
        <v/>
      </c>
      <c r="W167" s="7">
        <f>IF($C167="","",Y167-V167)</f>
        <v/>
      </c>
      <c r="X167" s="7">
        <f>IF($C167="","",W167-N167)</f>
        <v/>
      </c>
      <c r="Y167" s="7" t="n"/>
      <c r="AA167">
        <f>IF($C167="","",IF($AD167=1,Settings!$C$6,Settings!$C$7)*100)</f>
        <v/>
      </c>
      <c r="AB167">
        <f>IF($C167="","",IF(COUNTIF($C$2:$C167,$C167)=1,1,0))</f>
        <v/>
      </c>
      <c r="AC167">
        <f>IF($AB167=1,SUMPRODUCT(--($AE$2:$AE$501&lt;$AE167))+1,"")</f>
        <v/>
      </c>
      <c r="AD167">
        <f>IF($C167="","",IF(OR($Z167=TRUE(),$Z167="TRUE"),0,1))</f>
        <v/>
      </c>
      <c r="AE167">
        <f>IF($AB167=1,IFERROR(IF(VALUE($C167)&lt;100000000,VALUE($C167),1000000000),IFERROR(IF(VALUE(MID($C167,2,20))&lt;100000000,VALUE(MID($C167,2,20)),1000000000),1000000000))+ROW()/100000,"")</f>
        <v/>
      </c>
    </row>
    <row r="168">
      <c r="G168" s="7" t="n"/>
      <c r="H168" s="7" t="n"/>
      <c r="N168" s="7">
        <f>IF($C168="","",M168*Y168/100)</f>
        <v/>
      </c>
      <c r="O168" s="11" t="n"/>
      <c r="T168" s="7" t="n"/>
      <c r="V168" s="7">
        <f>IF($C168="","",Y168*AA168/100)</f>
        <v/>
      </c>
      <c r="W168" s="7">
        <f>IF($C168="","",Y168-V168)</f>
        <v/>
      </c>
      <c r="X168" s="7">
        <f>IF($C168="","",W168-N168)</f>
        <v/>
      </c>
      <c r="Y168" s="7" t="n"/>
      <c r="AA168">
        <f>IF($C168="","",IF($AD168=1,Settings!$C$6,Settings!$C$7)*100)</f>
        <v/>
      </c>
      <c r="AB168">
        <f>IF($C168="","",IF(COUNTIF($C$2:$C168,$C168)=1,1,0))</f>
        <v/>
      </c>
      <c r="AC168">
        <f>IF($AB168=1,SUMPRODUCT(--($AE$2:$AE$501&lt;$AE168))+1,"")</f>
        <v/>
      </c>
      <c r="AD168">
        <f>IF($C168="","",IF(OR($Z168=TRUE(),$Z168="TRUE"),0,1))</f>
        <v/>
      </c>
      <c r="AE168">
        <f>IF($AB168=1,IFERROR(IF(VALUE($C168)&lt;100000000,VALUE($C168),1000000000),IFERROR(IF(VALUE(MID($C168,2,20))&lt;100000000,VALUE(MID($C168,2,20)),1000000000),1000000000))+ROW()/100000,"")</f>
        <v/>
      </c>
    </row>
    <row r="169">
      <c r="G169" s="7" t="n"/>
      <c r="H169" s="7" t="n"/>
      <c r="N169" s="7">
        <f>IF($C169="","",M169*Y169/100)</f>
        <v/>
      </c>
      <c r="O169" s="11" t="n"/>
      <c r="T169" s="7" t="n"/>
      <c r="V169" s="7">
        <f>IF($C169="","",Y169*AA169/100)</f>
        <v/>
      </c>
      <c r="W169" s="7">
        <f>IF($C169="","",Y169-V169)</f>
        <v/>
      </c>
      <c r="X169" s="7">
        <f>IF($C169="","",W169-N169)</f>
        <v/>
      </c>
      <c r="Y169" s="7" t="n"/>
      <c r="AA169">
        <f>IF($C169="","",IF($AD169=1,Settings!$C$6,Settings!$C$7)*100)</f>
        <v/>
      </c>
      <c r="AB169">
        <f>IF($C169="","",IF(COUNTIF($C$2:$C169,$C169)=1,1,0))</f>
        <v/>
      </c>
      <c r="AC169">
        <f>IF($AB169=1,SUMPRODUCT(--($AE$2:$AE$501&lt;$AE169))+1,"")</f>
        <v/>
      </c>
      <c r="AD169">
        <f>IF($C169="","",IF(OR($Z169=TRUE(),$Z169="TRUE"),0,1))</f>
        <v/>
      </c>
      <c r="AE169">
        <f>IF($AB169=1,IFERROR(IF(VALUE($C169)&lt;100000000,VALUE($C169),1000000000),IFERROR(IF(VALUE(MID($C169,2,20))&lt;100000000,VALUE(MID($C169,2,20)),1000000000),1000000000))+ROW()/100000,"")</f>
        <v/>
      </c>
    </row>
    <row r="170">
      <c r="G170" s="7" t="n"/>
      <c r="H170" s="7" t="n"/>
      <c r="N170" s="7">
        <f>IF($C170="","",M170*Y170/100)</f>
        <v/>
      </c>
      <c r="O170" s="11" t="n"/>
      <c r="T170" s="7" t="n"/>
      <c r="V170" s="7">
        <f>IF($C170="","",Y170*AA170/100)</f>
        <v/>
      </c>
      <c r="W170" s="7">
        <f>IF($C170="","",Y170-V170)</f>
        <v/>
      </c>
      <c r="X170" s="7">
        <f>IF($C170="","",W170-N170)</f>
        <v/>
      </c>
      <c r="Y170" s="7" t="n"/>
      <c r="AA170">
        <f>IF($C170="","",IF($AD170=1,Settings!$C$6,Settings!$C$7)*100)</f>
        <v/>
      </c>
      <c r="AB170">
        <f>IF($C170="","",IF(COUNTIF($C$2:$C170,$C170)=1,1,0))</f>
        <v/>
      </c>
      <c r="AC170">
        <f>IF($AB170=1,SUMPRODUCT(--($AE$2:$AE$501&lt;$AE170))+1,"")</f>
        <v/>
      </c>
      <c r="AD170">
        <f>IF($C170="","",IF(OR($Z170=TRUE(),$Z170="TRUE"),0,1))</f>
        <v/>
      </c>
      <c r="AE170">
        <f>IF($AB170=1,IFERROR(IF(VALUE($C170)&lt;100000000,VALUE($C170),1000000000),IFERROR(IF(VALUE(MID($C170,2,20))&lt;100000000,VALUE(MID($C170,2,20)),1000000000),1000000000))+ROW()/100000,"")</f>
        <v/>
      </c>
    </row>
    <row r="171">
      <c r="G171" s="7" t="n"/>
      <c r="H171" s="7" t="n"/>
      <c r="N171" s="7">
        <f>IF($C171="","",M171*Y171/100)</f>
        <v/>
      </c>
      <c r="O171" s="11" t="n"/>
      <c r="T171" s="7" t="n"/>
      <c r="V171" s="7">
        <f>IF($C171="","",Y171*AA171/100)</f>
        <v/>
      </c>
      <c r="W171" s="7">
        <f>IF($C171="","",Y171-V171)</f>
        <v/>
      </c>
      <c r="X171" s="7">
        <f>IF($C171="","",W171-N171)</f>
        <v/>
      </c>
      <c r="Y171" s="7" t="n"/>
      <c r="AA171">
        <f>IF($C171="","",IF($AD171=1,Settings!$C$6,Settings!$C$7)*100)</f>
        <v/>
      </c>
      <c r="AB171">
        <f>IF($C171="","",IF(COUNTIF($C$2:$C171,$C171)=1,1,0))</f>
        <v/>
      </c>
      <c r="AC171">
        <f>IF($AB171=1,SUMPRODUCT(--($AE$2:$AE$501&lt;$AE171))+1,"")</f>
        <v/>
      </c>
      <c r="AD171">
        <f>IF($C171="","",IF(OR($Z171=TRUE(),$Z171="TRUE"),0,1))</f>
        <v/>
      </c>
      <c r="AE171">
        <f>IF($AB171=1,IFERROR(IF(VALUE($C171)&lt;100000000,VALUE($C171),1000000000),IFERROR(IF(VALUE(MID($C171,2,20))&lt;100000000,VALUE(MID($C171,2,20)),1000000000),1000000000))+ROW()/100000,"")</f>
        <v/>
      </c>
    </row>
    <row r="172">
      <c r="G172" s="7" t="n"/>
      <c r="H172" s="7" t="n"/>
      <c r="N172" s="7">
        <f>IF($C172="","",M172*Y172/100)</f>
        <v/>
      </c>
      <c r="O172" s="11" t="n"/>
      <c r="T172" s="7" t="n"/>
      <c r="V172" s="7">
        <f>IF($C172="","",Y172*AA172/100)</f>
        <v/>
      </c>
      <c r="W172" s="7">
        <f>IF($C172="","",Y172-V172)</f>
        <v/>
      </c>
      <c r="X172" s="7">
        <f>IF($C172="","",W172-N172)</f>
        <v/>
      </c>
      <c r="Y172" s="7" t="n"/>
      <c r="AA172">
        <f>IF($C172="","",IF($AD172=1,Settings!$C$6,Settings!$C$7)*100)</f>
        <v/>
      </c>
      <c r="AB172">
        <f>IF($C172="","",IF(COUNTIF($C$2:$C172,$C172)=1,1,0))</f>
        <v/>
      </c>
      <c r="AC172">
        <f>IF($AB172=1,SUMPRODUCT(--($AE$2:$AE$501&lt;$AE172))+1,"")</f>
        <v/>
      </c>
      <c r="AD172">
        <f>IF($C172="","",IF(OR($Z172=TRUE(),$Z172="TRUE"),0,1))</f>
        <v/>
      </c>
      <c r="AE172">
        <f>IF($AB172=1,IFERROR(IF(VALUE($C172)&lt;100000000,VALUE($C172),1000000000),IFERROR(IF(VALUE(MID($C172,2,20))&lt;100000000,VALUE(MID($C172,2,20)),1000000000),1000000000))+ROW()/100000,"")</f>
        <v/>
      </c>
    </row>
    <row r="173">
      <c r="G173" s="7" t="n"/>
      <c r="H173" s="7" t="n"/>
      <c r="N173" s="7">
        <f>IF($C173="","",M173*Y173/100)</f>
        <v/>
      </c>
      <c r="O173" s="11" t="n"/>
      <c r="T173" s="7" t="n"/>
      <c r="V173" s="7">
        <f>IF($C173="","",Y173*AA173/100)</f>
        <v/>
      </c>
      <c r="W173" s="7">
        <f>IF($C173="","",Y173-V173)</f>
        <v/>
      </c>
      <c r="X173" s="7">
        <f>IF($C173="","",W173-N173)</f>
        <v/>
      </c>
      <c r="Y173" s="7" t="n"/>
      <c r="AA173">
        <f>IF($C173="","",IF($AD173=1,Settings!$C$6,Settings!$C$7)*100)</f>
        <v/>
      </c>
      <c r="AB173">
        <f>IF($C173="","",IF(COUNTIF($C$2:$C173,$C173)=1,1,0))</f>
        <v/>
      </c>
      <c r="AC173">
        <f>IF($AB173=1,SUMPRODUCT(--($AE$2:$AE$501&lt;$AE173))+1,"")</f>
        <v/>
      </c>
      <c r="AD173">
        <f>IF($C173="","",IF(OR($Z173=TRUE(),$Z173="TRUE"),0,1))</f>
        <v/>
      </c>
      <c r="AE173">
        <f>IF($AB173=1,IFERROR(IF(VALUE($C173)&lt;100000000,VALUE($C173),1000000000),IFERROR(IF(VALUE(MID($C173,2,20))&lt;100000000,VALUE(MID($C173,2,20)),1000000000),1000000000))+ROW()/100000,"")</f>
        <v/>
      </c>
    </row>
    <row r="174">
      <c r="G174" s="7" t="n"/>
      <c r="H174" s="7" t="n"/>
      <c r="N174" s="7">
        <f>IF($C174="","",M174*Y174/100)</f>
        <v/>
      </c>
      <c r="O174" s="11" t="n"/>
      <c r="T174" s="7" t="n"/>
      <c r="V174" s="7">
        <f>IF($C174="","",Y174*AA174/100)</f>
        <v/>
      </c>
      <c r="W174" s="7">
        <f>IF($C174="","",Y174-V174)</f>
        <v/>
      </c>
      <c r="X174" s="7">
        <f>IF($C174="","",W174-N174)</f>
        <v/>
      </c>
      <c r="Y174" s="7" t="n"/>
      <c r="AA174">
        <f>IF($C174="","",IF($AD174=1,Settings!$C$6,Settings!$C$7)*100)</f>
        <v/>
      </c>
      <c r="AB174">
        <f>IF($C174="","",IF(COUNTIF($C$2:$C174,$C174)=1,1,0))</f>
        <v/>
      </c>
      <c r="AC174">
        <f>IF($AB174=1,SUMPRODUCT(--($AE$2:$AE$501&lt;$AE174))+1,"")</f>
        <v/>
      </c>
      <c r="AD174">
        <f>IF($C174="","",IF(OR($Z174=TRUE(),$Z174="TRUE"),0,1))</f>
        <v/>
      </c>
      <c r="AE174">
        <f>IF($AB174=1,IFERROR(IF(VALUE($C174)&lt;100000000,VALUE($C174),1000000000),IFERROR(IF(VALUE(MID($C174,2,20))&lt;100000000,VALUE(MID($C174,2,20)),1000000000),1000000000))+ROW()/100000,"")</f>
        <v/>
      </c>
    </row>
    <row r="175">
      <c r="G175" s="7" t="n"/>
      <c r="H175" s="7" t="n"/>
      <c r="N175" s="7">
        <f>IF($C175="","",M175*Y175/100)</f>
        <v/>
      </c>
      <c r="O175" s="11" t="n"/>
      <c r="T175" s="7" t="n"/>
      <c r="V175" s="7">
        <f>IF($C175="","",Y175*AA175/100)</f>
        <v/>
      </c>
      <c r="W175" s="7">
        <f>IF($C175="","",Y175-V175)</f>
        <v/>
      </c>
      <c r="X175" s="7">
        <f>IF($C175="","",W175-N175)</f>
        <v/>
      </c>
      <c r="Y175" s="7" t="n"/>
      <c r="AA175">
        <f>IF($C175="","",IF($AD175=1,Settings!$C$6,Settings!$C$7)*100)</f>
        <v/>
      </c>
      <c r="AB175">
        <f>IF($C175="","",IF(COUNTIF($C$2:$C175,$C175)=1,1,0))</f>
        <v/>
      </c>
      <c r="AC175">
        <f>IF($AB175=1,SUMPRODUCT(--($AE$2:$AE$501&lt;$AE175))+1,"")</f>
        <v/>
      </c>
      <c r="AD175">
        <f>IF($C175="","",IF(OR($Z175=TRUE(),$Z175="TRUE"),0,1))</f>
        <v/>
      </c>
      <c r="AE175">
        <f>IF($AB175=1,IFERROR(IF(VALUE($C175)&lt;100000000,VALUE($C175),1000000000),IFERROR(IF(VALUE(MID($C175,2,20))&lt;100000000,VALUE(MID($C175,2,20)),1000000000),1000000000))+ROW()/100000,"")</f>
        <v/>
      </c>
    </row>
    <row r="176">
      <c r="G176" s="7" t="n"/>
      <c r="H176" s="7" t="n"/>
      <c r="N176" s="7">
        <f>IF($C176="","",M176*Y176/100)</f>
        <v/>
      </c>
      <c r="O176" s="11" t="n"/>
      <c r="T176" s="7" t="n"/>
      <c r="V176" s="7">
        <f>IF($C176="","",Y176*AA176/100)</f>
        <v/>
      </c>
      <c r="W176" s="7">
        <f>IF($C176="","",Y176-V176)</f>
        <v/>
      </c>
      <c r="X176" s="7">
        <f>IF($C176="","",W176-N176)</f>
        <v/>
      </c>
      <c r="Y176" s="7" t="n"/>
      <c r="AA176">
        <f>IF($C176="","",IF($AD176=1,Settings!$C$6,Settings!$C$7)*100)</f>
        <v/>
      </c>
      <c r="AB176">
        <f>IF($C176="","",IF(COUNTIF($C$2:$C176,$C176)=1,1,0))</f>
        <v/>
      </c>
      <c r="AC176">
        <f>IF($AB176=1,SUMPRODUCT(--($AE$2:$AE$501&lt;$AE176))+1,"")</f>
        <v/>
      </c>
      <c r="AD176">
        <f>IF($C176="","",IF(OR($Z176=TRUE(),$Z176="TRUE"),0,1))</f>
        <v/>
      </c>
      <c r="AE176">
        <f>IF($AB176=1,IFERROR(IF(VALUE($C176)&lt;100000000,VALUE($C176),1000000000),IFERROR(IF(VALUE(MID($C176,2,20))&lt;100000000,VALUE(MID($C176,2,20)),1000000000),1000000000))+ROW()/100000,"")</f>
        <v/>
      </c>
    </row>
    <row r="177">
      <c r="G177" s="7" t="n"/>
      <c r="H177" s="7" t="n"/>
      <c r="N177" s="7">
        <f>IF($C177="","",M177*Y177/100)</f>
        <v/>
      </c>
      <c r="O177" s="11" t="n"/>
      <c r="T177" s="7" t="n"/>
      <c r="V177" s="7">
        <f>IF($C177="","",Y177*AA177/100)</f>
        <v/>
      </c>
      <c r="W177" s="7">
        <f>IF($C177="","",Y177-V177)</f>
        <v/>
      </c>
      <c r="X177" s="7">
        <f>IF($C177="","",W177-N177)</f>
        <v/>
      </c>
      <c r="Y177" s="7" t="n"/>
      <c r="AA177">
        <f>IF($C177="","",IF($AD177=1,Settings!$C$6,Settings!$C$7)*100)</f>
        <v/>
      </c>
      <c r="AB177">
        <f>IF($C177="","",IF(COUNTIF($C$2:$C177,$C177)=1,1,0))</f>
        <v/>
      </c>
      <c r="AC177">
        <f>IF($AB177=1,SUMPRODUCT(--($AE$2:$AE$501&lt;$AE177))+1,"")</f>
        <v/>
      </c>
      <c r="AD177">
        <f>IF($C177="","",IF(OR($Z177=TRUE(),$Z177="TRUE"),0,1))</f>
        <v/>
      </c>
      <c r="AE177">
        <f>IF($AB177=1,IFERROR(IF(VALUE($C177)&lt;100000000,VALUE($C177),1000000000),IFERROR(IF(VALUE(MID($C177,2,20))&lt;100000000,VALUE(MID($C177,2,20)),1000000000),1000000000))+ROW()/100000,"")</f>
        <v/>
      </c>
    </row>
    <row r="178">
      <c r="G178" s="7" t="n"/>
      <c r="H178" s="7" t="n"/>
      <c r="N178" s="7">
        <f>IF($C178="","",M178*Y178/100)</f>
        <v/>
      </c>
      <c r="O178" s="11" t="n"/>
      <c r="T178" s="7" t="n"/>
      <c r="V178" s="7">
        <f>IF($C178="","",Y178*AA178/100)</f>
        <v/>
      </c>
      <c r="W178" s="7">
        <f>IF($C178="","",Y178-V178)</f>
        <v/>
      </c>
      <c r="X178" s="7">
        <f>IF($C178="","",W178-N178)</f>
        <v/>
      </c>
      <c r="Y178" s="7" t="n"/>
      <c r="AA178">
        <f>IF($C178="","",IF($AD178=1,Settings!$C$6,Settings!$C$7)*100)</f>
        <v/>
      </c>
      <c r="AB178">
        <f>IF($C178="","",IF(COUNTIF($C$2:$C178,$C178)=1,1,0))</f>
        <v/>
      </c>
      <c r="AC178">
        <f>IF($AB178=1,SUMPRODUCT(--($AE$2:$AE$501&lt;$AE178))+1,"")</f>
        <v/>
      </c>
      <c r="AD178">
        <f>IF($C178="","",IF(OR($Z178=TRUE(),$Z178="TRUE"),0,1))</f>
        <v/>
      </c>
      <c r="AE178">
        <f>IF($AB178=1,IFERROR(IF(VALUE($C178)&lt;100000000,VALUE($C178),1000000000),IFERROR(IF(VALUE(MID($C178,2,20))&lt;100000000,VALUE(MID($C178,2,20)),1000000000),1000000000))+ROW()/100000,"")</f>
        <v/>
      </c>
    </row>
    <row r="179">
      <c r="G179" s="7" t="n"/>
      <c r="H179" s="7" t="n"/>
      <c r="N179" s="7">
        <f>IF($C179="","",M179*Y179/100)</f>
        <v/>
      </c>
      <c r="O179" s="11" t="n"/>
      <c r="T179" s="7" t="n"/>
      <c r="V179" s="7">
        <f>IF($C179="","",Y179*AA179/100)</f>
        <v/>
      </c>
      <c r="W179" s="7">
        <f>IF($C179="","",Y179-V179)</f>
        <v/>
      </c>
      <c r="X179" s="7">
        <f>IF($C179="","",W179-N179)</f>
        <v/>
      </c>
      <c r="Y179" s="7" t="n"/>
      <c r="AA179">
        <f>IF($C179="","",IF($AD179=1,Settings!$C$6,Settings!$C$7)*100)</f>
        <v/>
      </c>
      <c r="AB179">
        <f>IF($C179="","",IF(COUNTIF($C$2:$C179,$C179)=1,1,0))</f>
        <v/>
      </c>
      <c r="AC179">
        <f>IF($AB179=1,SUMPRODUCT(--($AE$2:$AE$501&lt;$AE179))+1,"")</f>
        <v/>
      </c>
      <c r="AD179">
        <f>IF($C179="","",IF(OR($Z179=TRUE(),$Z179="TRUE"),0,1))</f>
        <v/>
      </c>
      <c r="AE179">
        <f>IF($AB179=1,IFERROR(IF(VALUE($C179)&lt;100000000,VALUE($C179),1000000000),IFERROR(IF(VALUE(MID($C179,2,20))&lt;100000000,VALUE(MID($C179,2,20)),1000000000),1000000000))+ROW()/100000,"")</f>
        <v/>
      </c>
    </row>
    <row r="180">
      <c r="G180" s="7" t="n"/>
      <c r="H180" s="7" t="n"/>
      <c r="N180" s="7">
        <f>IF($C180="","",M180*Y180/100)</f>
        <v/>
      </c>
      <c r="O180" s="11" t="n"/>
      <c r="T180" s="7" t="n"/>
      <c r="V180" s="7">
        <f>IF($C180="","",Y180*AA180/100)</f>
        <v/>
      </c>
      <c r="W180" s="7">
        <f>IF($C180="","",Y180-V180)</f>
        <v/>
      </c>
      <c r="X180" s="7">
        <f>IF($C180="","",W180-N180)</f>
        <v/>
      </c>
      <c r="Y180" s="7" t="n"/>
      <c r="AA180">
        <f>IF($C180="","",IF($AD180=1,Settings!$C$6,Settings!$C$7)*100)</f>
        <v/>
      </c>
      <c r="AB180">
        <f>IF($C180="","",IF(COUNTIF($C$2:$C180,$C180)=1,1,0))</f>
        <v/>
      </c>
      <c r="AC180">
        <f>IF($AB180=1,SUMPRODUCT(--($AE$2:$AE$501&lt;$AE180))+1,"")</f>
        <v/>
      </c>
      <c r="AD180">
        <f>IF($C180="","",IF(OR($Z180=TRUE(),$Z180="TRUE"),0,1))</f>
        <v/>
      </c>
      <c r="AE180">
        <f>IF($AB180=1,IFERROR(IF(VALUE($C180)&lt;100000000,VALUE($C180),1000000000),IFERROR(IF(VALUE(MID($C180,2,20))&lt;100000000,VALUE(MID($C180,2,20)),1000000000),1000000000))+ROW()/100000,"")</f>
        <v/>
      </c>
    </row>
    <row r="181">
      <c r="G181" s="7" t="n"/>
      <c r="H181" s="7" t="n"/>
      <c r="N181" s="7">
        <f>IF($C181="","",M181*Y181/100)</f>
        <v/>
      </c>
      <c r="O181" s="11" t="n"/>
      <c r="T181" s="7" t="n"/>
      <c r="V181" s="7">
        <f>IF($C181="","",Y181*AA181/100)</f>
        <v/>
      </c>
      <c r="W181" s="7">
        <f>IF($C181="","",Y181-V181)</f>
        <v/>
      </c>
      <c r="X181" s="7">
        <f>IF($C181="","",W181-N181)</f>
        <v/>
      </c>
      <c r="Y181" s="7" t="n"/>
      <c r="AA181">
        <f>IF($C181="","",IF($AD181=1,Settings!$C$6,Settings!$C$7)*100)</f>
        <v/>
      </c>
      <c r="AB181">
        <f>IF($C181="","",IF(COUNTIF($C$2:$C181,$C181)=1,1,0))</f>
        <v/>
      </c>
      <c r="AC181">
        <f>IF($AB181=1,SUMPRODUCT(--($AE$2:$AE$501&lt;$AE181))+1,"")</f>
        <v/>
      </c>
      <c r="AD181">
        <f>IF($C181="","",IF(OR($Z181=TRUE(),$Z181="TRUE"),0,1))</f>
        <v/>
      </c>
      <c r="AE181">
        <f>IF($AB181=1,IFERROR(IF(VALUE($C181)&lt;100000000,VALUE($C181),1000000000),IFERROR(IF(VALUE(MID($C181,2,20))&lt;100000000,VALUE(MID($C181,2,20)),1000000000),1000000000))+ROW()/100000,"")</f>
        <v/>
      </c>
    </row>
    <row r="182">
      <c r="G182" s="7" t="n"/>
      <c r="H182" s="7" t="n"/>
      <c r="N182" s="7">
        <f>IF($C182="","",M182*Y182/100)</f>
        <v/>
      </c>
      <c r="O182" s="11" t="n"/>
      <c r="T182" s="7" t="n"/>
      <c r="V182" s="7">
        <f>IF($C182="","",Y182*AA182/100)</f>
        <v/>
      </c>
      <c r="W182" s="7">
        <f>IF($C182="","",Y182-V182)</f>
        <v/>
      </c>
      <c r="X182" s="7">
        <f>IF($C182="","",W182-N182)</f>
        <v/>
      </c>
      <c r="Y182" s="7" t="n"/>
      <c r="AA182">
        <f>IF($C182="","",IF($AD182=1,Settings!$C$6,Settings!$C$7)*100)</f>
        <v/>
      </c>
      <c r="AB182">
        <f>IF($C182="","",IF(COUNTIF($C$2:$C182,$C182)=1,1,0))</f>
        <v/>
      </c>
      <c r="AC182">
        <f>IF($AB182=1,SUMPRODUCT(--($AE$2:$AE$501&lt;$AE182))+1,"")</f>
        <v/>
      </c>
      <c r="AD182">
        <f>IF($C182="","",IF(OR($Z182=TRUE(),$Z182="TRUE"),0,1))</f>
        <v/>
      </c>
      <c r="AE182">
        <f>IF($AB182=1,IFERROR(IF(VALUE($C182)&lt;100000000,VALUE($C182),1000000000),IFERROR(IF(VALUE(MID($C182,2,20))&lt;100000000,VALUE(MID($C182,2,20)),1000000000),1000000000))+ROW()/100000,"")</f>
        <v/>
      </c>
    </row>
    <row r="183">
      <c r="G183" s="7" t="n"/>
      <c r="H183" s="7" t="n"/>
      <c r="N183" s="7">
        <f>IF($C183="","",M183*Y183/100)</f>
        <v/>
      </c>
      <c r="O183" s="11" t="n"/>
      <c r="T183" s="7" t="n"/>
      <c r="V183" s="7">
        <f>IF($C183="","",Y183*AA183/100)</f>
        <v/>
      </c>
      <c r="W183" s="7">
        <f>IF($C183="","",Y183-V183)</f>
        <v/>
      </c>
      <c r="X183" s="7">
        <f>IF($C183="","",W183-N183)</f>
        <v/>
      </c>
      <c r="Y183" s="7" t="n"/>
      <c r="AA183">
        <f>IF($C183="","",IF($AD183=1,Settings!$C$6,Settings!$C$7)*100)</f>
        <v/>
      </c>
      <c r="AB183">
        <f>IF($C183="","",IF(COUNTIF($C$2:$C183,$C183)=1,1,0))</f>
        <v/>
      </c>
      <c r="AC183">
        <f>IF($AB183=1,SUMPRODUCT(--($AE$2:$AE$501&lt;$AE183))+1,"")</f>
        <v/>
      </c>
      <c r="AD183">
        <f>IF($C183="","",IF(OR($Z183=TRUE(),$Z183="TRUE"),0,1))</f>
        <v/>
      </c>
      <c r="AE183">
        <f>IF($AB183=1,IFERROR(IF(VALUE($C183)&lt;100000000,VALUE($C183),1000000000),IFERROR(IF(VALUE(MID($C183,2,20))&lt;100000000,VALUE(MID($C183,2,20)),1000000000),1000000000))+ROW()/100000,"")</f>
        <v/>
      </c>
    </row>
    <row r="184">
      <c r="G184" s="7" t="n"/>
      <c r="H184" s="7" t="n"/>
      <c r="N184" s="7">
        <f>IF($C184="","",M184*Y184/100)</f>
        <v/>
      </c>
      <c r="O184" s="11" t="n"/>
      <c r="T184" s="7" t="n"/>
      <c r="V184" s="7">
        <f>IF($C184="","",Y184*AA184/100)</f>
        <v/>
      </c>
      <c r="W184" s="7">
        <f>IF($C184="","",Y184-V184)</f>
        <v/>
      </c>
      <c r="X184" s="7">
        <f>IF($C184="","",W184-N184)</f>
        <v/>
      </c>
      <c r="Y184" s="7" t="n"/>
      <c r="AA184">
        <f>IF($C184="","",IF($AD184=1,Settings!$C$6,Settings!$C$7)*100)</f>
        <v/>
      </c>
      <c r="AB184">
        <f>IF($C184="","",IF(COUNTIF($C$2:$C184,$C184)=1,1,0))</f>
        <v/>
      </c>
      <c r="AC184">
        <f>IF($AB184=1,SUMPRODUCT(--($AE$2:$AE$501&lt;$AE184))+1,"")</f>
        <v/>
      </c>
      <c r="AD184">
        <f>IF($C184="","",IF(OR($Z184=TRUE(),$Z184="TRUE"),0,1))</f>
        <v/>
      </c>
      <c r="AE184">
        <f>IF($AB184=1,IFERROR(IF(VALUE($C184)&lt;100000000,VALUE($C184),1000000000),IFERROR(IF(VALUE(MID($C184,2,20))&lt;100000000,VALUE(MID($C184,2,20)),1000000000),1000000000))+ROW()/100000,"")</f>
        <v/>
      </c>
    </row>
    <row r="185">
      <c r="G185" s="7" t="n"/>
      <c r="H185" s="7" t="n"/>
      <c r="N185" s="7">
        <f>IF($C185="","",M185*Y185/100)</f>
        <v/>
      </c>
      <c r="O185" s="11" t="n"/>
      <c r="T185" s="7" t="n"/>
      <c r="V185" s="7">
        <f>IF($C185="","",Y185*AA185/100)</f>
        <v/>
      </c>
      <c r="W185" s="7">
        <f>IF($C185="","",Y185-V185)</f>
        <v/>
      </c>
      <c r="X185" s="7">
        <f>IF($C185="","",W185-N185)</f>
        <v/>
      </c>
      <c r="Y185" s="7" t="n"/>
      <c r="AA185">
        <f>IF($C185="","",IF($AD185=1,Settings!$C$6,Settings!$C$7)*100)</f>
        <v/>
      </c>
      <c r="AB185">
        <f>IF($C185="","",IF(COUNTIF($C$2:$C185,$C185)=1,1,0))</f>
        <v/>
      </c>
      <c r="AC185">
        <f>IF($AB185=1,SUMPRODUCT(--($AE$2:$AE$501&lt;$AE185))+1,"")</f>
        <v/>
      </c>
      <c r="AD185">
        <f>IF($C185="","",IF(OR($Z185=TRUE(),$Z185="TRUE"),0,1))</f>
        <v/>
      </c>
      <c r="AE185">
        <f>IF($AB185=1,IFERROR(IF(VALUE($C185)&lt;100000000,VALUE($C185),1000000000),IFERROR(IF(VALUE(MID($C185,2,20))&lt;100000000,VALUE(MID($C185,2,20)),1000000000),1000000000))+ROW()/100000,"")</f>
        <v/>
      </c>
    </row>
    <row r="186">
      <c r="G186" s="7" t="n"/>
      <c r="H186" s="7" t="n"/>
      <c r="N186" s="7">
        <f>IF($C186="","",M186*Y186/100)</f>
        <v/>
      </c>
      <c r="O186" s="11" t="n"/>
      <c r="T186" s="7" t="n"/>
      <c r="V186" s="7">
        <f>IF($C186="","",Y186*AA186/100)</f>
        <v/>
      </c>
      <c r="W186" s="7">
        <f>IF($C186="","",Y186-V186)</f>
        <v/>
      </c>
      <c r="X186" s="7">
        <f>IF($C186="","",W186-N186)</f>
        <v/>
      </c>
      <c r="Y186" s="7" t="n"/>
      <c r="AA186">
        <f>IF($C186="","",IF($AD186=1,Settings!$C$6,Settings!$C$7)*100)</f>
        <v/>
      </c>
      <c r="AB186">
        <f>IF($C186="","",IF(COUNTIF($C$2:$C186,$C186)=1,1,0))</f>
        <v/>
      </c>
      <c r="AC186">
        <f>IF($AB186=1,SUMPRODUCT(--($AE$2:$AE$501&lt;$AE186))+1,"")</f>
        <v/>
      </c>
      <c r="AD186">
        <f>IF($C186="","",IF(OR($Z186=TRUE(),$Z186="TRUE"),0,1))</f>
        <v/>
      </c>
      <c r="AE186">
        <f>IF($AB186=1,IFERROR(IF(VALUE($C186)&lt;100000000,VALUE($C186),1000000000),IFERROR(IF(VALUE(MID($C186,2,20))&lt;100000000,VALUE(MID($C186,2,20)),1000000000),1000000000))+ROW()/100000,"")</f>
        <v/>
      </c>
    </row>
    <row r="187">
      <c r="G187" s="7" t="n"/>
      <c r="H187" s="7" t="n"/>
      <c r="N187" s="7">
        <f>IF($C187="","",M187*Y187/100)</f>
        <v/>
      </c>
      <c r="O187" s="11" t="n"/>
      <c r="T187" s="7" t="n"/>
      <c r="V187" s="7">
        <f>IF($C187="","",Y187*AA187/100)</f>
        <v/>
      </c>
      <c r="W187" s="7">
        <f>IF($C187="","",Y187-V187)</f>
        <v/>
      </c>
      <c r="X187" s="7">
        <f>IF($C187="","",W187-N187)</f>
        <v/>
      </c>
      <c r="Y187" s="7" t="n"/>
      <c r="AA187">
        <f>IF($C187="","",IF($AD187=1,Settings!$C$6,Settings!$C$7)*100)</f>
        <v/>
      </c>
      <c r="AB187">
        <f>IF($C187="","",IF(COUNTIF($C$2:$C187,$C187)=1,1,0))</f>
        <v/>
      </c>
      <c r="AC187">
        <f>IF($AB187=1,SUMPRODUCT(--($AE$2:$AE$501&lt;$AE187))+1,"")</f>
        <v/>
      </c>
      <c r="AD187">
        <f>IF($C187="","",IF(OR($Z187=TRUE(),$Z187="TRUE"),0,1))</f>
        <v/>
      </c>
      <c r="AE187">
        <f>IF($AB187=1,IFERROR(IF(VALUE($C187)&lt;100000000,VALUE($C187),1000000000),IFERROR(IF(VALUE(MID($C187,2,20))&lt;100000000,VALUE(MID($C187,2,20)),1000000000),1000000000))+ROW()/100000,"")</f>
        <v/>
      </c>
    </row>
    <row r="188">
      <c r="G188" s="7" t="n"/>
      <c r="H188" s="7" t="n"/>
      <c r="N188" s="7">
        <f>IF($C188="","",M188*Y188/100)</f>
        <v/>
      </c>
      <c r="O188" s="11" t="n"/>
      <c r="T188" s="7" t="n"/>
      <c r="V188" s="7">
        <f>IF($C188="","",Y188*AA188/100)</f>
        <v/>
      </c>
      <c r="W188" s="7">
        <f>IF($C188="","",Y188-V188)</f>
        <v/>
      </c>
      <c r="X188" s="7">
        <f>IF($C188="","",W188-N188)</f>
        <v/>
      </c>
      <c r="Y188" s="7" t="n"/>
      <c r="AA188">
        <f>IF($C188="","",IF($AD188=1,Settings!$C$6,Settings!$C$7)*100)</f>
        <v/>
      </c>
      <c r="AB188">
        <f>IF($C188="","",IF(COUNTIF($C$2:$C188,$C188)=1,1,0))</f>
        <v/>
      </c>
      <c r="AC188">
        <f>IF($AB188=1,SUMPRODUCT(--($AE$2:$AE$501&lt;$AE188))+1,"")</f>
        <v/>
      </c>
      <c r="AD188">
        <f>IF($C188="","",IF(OR($Z188=TRUE(),$Z188="TRUE"),0,1))</f>
        <v/>
      </c>
      <c r="AE188">
        <f>IF($AB188=1,IFERROR(IF(VALUE($C188)&lt;100000000,VALUE($C188),1000000000),IFERROR(IF(VALUE(MID($C188,2,20))&lt;100000000,VALUE(MID($C188,2,20)),1000000000),1000000000))+ROW()/100000,"")</f>
        <v/>
      </c>
    </row>
    <row r="189">
      <c r="G189" s="7" t="n"/>
      <c r="H189" s="7" t="n"/>
      <c r="N189" s="7">
        <f>IF($C189="","",M189*Y189/100)</f>
        <v/>
      </c>
      <c r="O189" s="11" t="n"/>
      <c r="T189" s="7" t="n"/>
      <c r="V189" s="7">
        <f>IF($C189="","",Y189*AA189/100)</f>
        <v/>
      </c>
      <c r="W189" s="7">
        <f>IF($C189="","",Y189-V189)</f>
        <v/>
      </c>
      <c r="X189" s="7">
        <f>IF($C189="","",W189-N189)</f>
        <v/>
      </c>
      <c r="Y189" s="7" t="n"/>
      <c r="AA189">
        <f>IF($C189="","",IF($AD189=1,Settings!$C$6,Settings!$C$7)*100)</f>
        <v/>
      </c>
      <c r="AB189">
        <f>IF($C189="","",IF(COUNTIF($C$2:$C189,$C189)=1,1,0))</f>
        <v/>
      </c>
      <c r="AC189">
        <f>IF($AB189=1,SUMPRODUCT(--($AE$2:$AE$501&lt;$AE189))+1,"")</f>
        <v/>
      </c>
      <c r="AD189">
        <f>IF($C189="","",IF(OR($Z189=TRUE(),$Z189="TRUE"),0,1))</f>
        <v/>
      </c>
      <c r="AE189">
        <f>IF($AB189=1,IFERROR(IF(VALUE($C189)&lt;100000000,VALUE($C189),1000000000),IFERROR(IF(VALUE(MID($C189,2,20))&lt;100000000,VALUE(MID($C189,2,20)),1000000000),1000000000))+ROW()/100000,"")</f>
        <v/>
      </c>
    </row>
    <row r="190">
      <c r="G190" s="7" t="n"/>
      <c r="H190" s="7" t="n"/>
      <c r="N190" s="7">
        <f>IF($C190="","",M190*Y190/100)</f>
        <v/>
      </c>
      <c r="O190" s="11" t="n"/>
      <c r="T190" s="7" t="n"/>
      <c r="V190" s="7">
        <f>IF($C190="","",Y190*AA190/100)</f>
        <v/>
      </c>
      <c r="W190" s="7">
        <f>IF($C190="","",Y190-V190)</f>
        <v/>
      </c>
      <c r="X190" s="7">
        <f>IF($C190="","",W190-N190)</f>
        <v/>
      </c>
      <c r="Y190" s="7" t="n"/>
      <c r="AA190">
        <f>IF($C190="","",IF($AD190=1,Settings!$C$6,Settings!$C$7)*100)</f>
        <v/>
      </c>
      <c r="AB190">
        <f>IF($C190="","",IF(COUNTIF($C$2:$C190,$C190)=1,1,0))</f>
        <v/>
      </c>
      <c r="AC190">
        <f>IF($AB190=1,SUMPRODUCT(--($AE$2:$AE$501&lt;$AE190))+1,"")</f>
        <v/>
      </c>
      <c r="AD190">
        <f>IF($C190="","",IF(OR($Z190=TRUE(),$Z190="TRUE"),0,1))</f>
        <v/>
      </c>
      <c r="AE190">
        <f>IF($AB190=1,IFERROR(IF(VALUE($C190)&lt;100000000,VALUE($C190),1000000000),IFERROR(IF(VALUE(MID($C190,2,20))&lt;100000000,VALUE(MID($C190,2,20)),1000000000),1000000000))+ROW()/100000,"")</f>
        <v/>
      </c>
    </row>
    <row r="191">
      <c r="G191" s="7" t="n"/>
      <c r="H191" s="7" t="n"/>
      <c r="N191" s="7">
        <f>IF($C191="","",M191*Y191/100)</f>
        <v/>
      </c>
      <c r="O191" s="11" t="n"/>
      <c r="T191" s="7" t="n"/>
      <c r="V191" s="7">
        <f>IF($C191="","",Y191*AA191/100)</f>
        <v/>
      </c>
      <c r="W191" s="7">
        <f>IF($C191="","",Y191-V191)</f>
        <v/>
      </c>
      <c r="X191" s="7">
        <f>IF($C191="","",W191-N191)</f>
        <v/>
      </c>
      <c r="Y191" s="7" t="n"/>
      <c r="AA191">
        <f>IF($C191="","",IF($AD191=1,Settings!$C$6,Settings!$C$7)*100)</f>
        <v/>
      </c>
      <c r="AB191">
        <f>IF($C191="","",IF(COUNTIF($C$2:$C191,$C191)=1,1,0))</f>
        <v/>
      </c>
      <c r="AC191">
        <f>IF($AB191=1,SUMPRODUCT(--($AE$2:$AE$501&lt;$AE191))+1,"")</f>
        <v/>
      </c>
      <c r="AD191">
        <f>IF($C191="","",IF(OR($Z191=TRUE(),$Z191="TRUE"),0,1))</f>
        <v/>
      </c>
      <c r="AE191">
        <f>IF($AB191=1,IFERROR(IF(VALUE($C191)&lt;100000000,VALUE($C191),1000000000),IFERROR(IF(VALUE(MID($C191,2,20))&lt;100000000,VALUE(MID($C191,2,20)),1000000000),1000000000))+ROW()/100000,"")</f>
        <v/>
      </c>
    </row>
    <row r="192">
      <c r="G192" s="7" t="n"/>
      <c r="H192" s="7" t="n"/>
      <c r="N192" s="7">
        <f>IF($C192="","",M192*Y192/100)</f>
        <v/>
      </c>
      <c r="O192" s="11" t="n"/>
      <c r="T192" s="7" t="n"/>
      <c r="V192" s="7">
        <f>IF($C192="","",Y192*AA192/100)</f>
        <v/>
      </c>
      <c r="W192" s="7">
        <f>IF($C192="","",Y192-V192)</f>
        <v/>
      </c>
      <c r="X192" s="7">
        <f>IF($C192="","",W192-N192)</f>
        <v/>
      </c>
      <c r="Y192" s="7" t="n"/>
      <c r="AA192">
        <f>IF($C192="","",IF($AD192=1,Settings!$C$6,Settings!$C$7)*100)</f>
        <v/>
      </c>
      <c r="AB192">
        <f>IF($C192="","",IF(COUNTIF($C$2:$C192,$C192)=1,1,0))</f>
        <v/>
      </c>
      <c r="AC192">
        <f>IF($AB192=1,SUMPRODUCT(--($AE$2:$AE$501&lt;$AE192))+1,"")</f>
        <v/>
      </c>
      <c r="AD192">
        <f>IF($C192="","",IF(OR($Z192=TRUE(),$Z192="TRUE"),0,1))</f>
        <v/>
      </c>
      <c r="AE192">
        <f>IF($AB192=1,IFERROR(IF(VALUE($C192)&lt;100000000,VALUE($C192),1000000000),IFERROR(IF(VALUE(MID($C192,2,20))&lt;100000000,VALUE(MID($C192,2,20)),1000000000),1000000000))+ROW()/100000,"")</f>
        <v/>
      </c>
    </row>
    <row r="193">
      <c r="G193" s="7" t="n"/>
      <c r="H193" s="7" t="n"/>
      <c r="N193" s="7">
        <f>IF($C193="","",M193*Y193/100)</f>
        <v/>
      </c>
      <c r="O193" s="11" t="n"/>
      <c r="T193" s="7" t="n"/>
      <c r="V193" s="7">
        <f>IF($C193="","",Y193*AA193/100)</f>
        <v/>
      </c>
      <c r="W193" s="7">
        <f>IF($C193="","",Y193-V193)</f>
        <v/>
      </c>
      <c r="X193" s="7">
        <f>IF($C193="","",W193-N193)</f>
        <v/>
      </c>
      <c r="Y193" s="7" t="n"/>
      <c r="AA193">
        <f>IF($C193="","",IF($AD193=1,Settings!$C$6,Settings!$C$7)*100)</f>
        <v/>
      </c>
      <c r="AB193">
        <f>IF($C193="","",IF(COUNTIF($C$2:$C193,$C193)=1,1,0))</f>
        <v/>
      </c>
      <c r="AC193">
        <f>IF($AB193=1,SUMPRODUCT(--($AE$2:$AE$501&lt;$AE193))+1,"")</f>
        <v/>
      </c>
      <c r="AD193">
        <f>IF($C193="","",IF(OR($Z193=TRUE(),$Z193="TRUE"),0,1))</f>
        <v/>
      </c>
      <c r="AE193">
        <f>IF($AB193=1,IFERROR(IF(VALUE($C193)&lt;100000000,VALUE($C193),1000000000),IFERROR(IF(VALUE(MID($C193,2,20))&lt;100000000,VALUE(MID($C193,2,20)),1000000000),1000000000))+ROW()/100000,"")</f>
        <v/>
      </c>
    </row>
    <row r="194">
      <c r="G194" s="7" t="n"/>
      <c r="H194" s="7" t="n"/>
      <c r="N194" s="7">
        <f>IF($C194="","",M194*Y194/100)</f>
        <v/>
      </c>
      <c r="O194" s="11" t="n"/>
      <c r="T194" s="7" t="n"/>
      <c r="V194" s="7">
        <f>IF($C194="","",Y194*AA194/100)</f>
        <v/>
      </c>
      <c r="W194" s="7">
        <f>IF($C194="","",Y194-V194)</f>
        <v/>
      </c>
      <c r="X194" s="7">
        <f>IF($C194="","",W194-N194)</f>
        <v/>
      </c>
      <c r="Y194" s="7" t="n"/>
      <c r="AA194">
        <f>IF($C194="","",IF($AD194=1,Settings!$C$6,Settings!$C$7)*100)</f>
        <v/>
      </c>
      <c r="AB194">
        <f>IF($C194="","",IF(COUNTIF($C$2:$C194,$C194)=1,1,0))</f>
        <v/>
      </c>
      <c r="AC194">
        <f>IF($AB194=1,SUMPRODUCT(--($AE$2:$AE$501&lt;$AE194))+1,"")</f>
        <v/>
      </c>
      <c r="AD194">
        <f>IF($C194="","",IF(OR($Z194=TRUE(),$Z194="TRUE"),0,1))</f>
        <v/>
      </c>
      <c r="AE194">
        <f>IF($AB194=1,IFERROR(IF(VALUE($C194)&lt;100000000,VALUE($C194),1000000000),IFERROR(IF(VALUE(MID($C194,2,20))&lt;100000000,VALUE(MID($C194,2,20)),1000000000),1000000000))+ROW()/100000,"")</f>
        <v/>
      </c>
    </row>
    <row r="195">
      <c r="G195" s="7" t="n"/>
      <c r="H195" s="7" t="n"/>
      <c r="N195" s="7">
        <f>IF($C195="","",M195*Y195/100)</f>
        <v/>
      </c>
      <c r="O195" s="11" t="n"/>
      <c r="T195" s="7" t="n"/>
      <c r="V195" s="7">
        <f>IF($C195="","",Y195*AA195/100)</f>
        <v/>
      </c>
      <c r="W195" s="7">
        <f>IF($C195="","",Y195-V195)</f>
        <v/>
      </c>
      <c r="X195" s="7">
        <f>IF($C195="","",W195-N195)</f>
        <v/>
      </c>
      <c r="Y195" s="7" t="n"/>
      <c r="AA195">
        <f>IF($C195="","",IF($AD195=1,Settings!$C$6,Settings!$C$7)*100)</f>
        <v/>
      </c>
      <c r="AB195">
        <f>IF($C195="","",IF(COUNTIF($C$2:$C195,$C195)=1,1,0))</f>
        <v/>
      </c>
      <c r="AC195">
        <f>IF($AB195=1,SUMPRODUCT(--($AE$2:$AE$501&lt;$AE195))+1,"")</f>
        <v/>
      </c>
      <c r="AD195">
        <f>IF($C195="","",IF(OR($Z195=TRUE(),$Z195="TRUE"),0,1))</f>
        <v/>
      </c>
      <c r="AE195">
        <f>IF($AB195=1,IFERROR(IF(VALUE($C195)&lt;100000000,VALUE($C195),1000000000),IFERROR(IF(VALUE(MID($C195,2,20))&lt;100000000,VALUE(MID($C195,2,20)),1000000000),1000000000))+ROW()/100000,"")</f>
        <v/>
      </c>
    </row>
    <row r="196">
      <c r="G196" s="7" t="n"/>
      <c r="H196" s="7" t="n"/>
      <c r="N196" s="7">
        <f>IF($C196="","",M196*Y196/100)</f>
        <v/>
      </c>
      <c r="O196" s="11" t="n"/>
      <c r="T196" s="7" t="n"/>
      <c r="V196" s="7">
        <f>IF($C196="","",Y196*AA196/100)</f>
        <v/>
      </c>
      <c r="W196" s="7">
        <f>IF($C196="","",Y196-V196)</f>
        <v/>
      </c>
      <c r="X196" s="7">
        <f>IF($C196="","",W196-N196)</f>
        <v/>
      </c>
      <c r="Y196" s="7" t="n"/>
      <c r="AA196">
        <f>IF($C196="","",IF($AD196=1,Settings!$C$6,Settings!$C$7)*100)</f>
        <v/>
      </c>
      <c r="AB196">
        <f>IF($C196="","",IF(COUNTIF($C$2:$C196,$C196)=1,1,0))</f>
        <v/>
      </c>
      <c r="AC196">
        <f>IF($AB196=1,SUMPRODUCT(--($AE$2:$AE$501&lt;$AE196))+1,"")</f>
        <v/>
      </c>
      <c r="AD196">
        <f>IF($C196="","",IF(OR($Z196=TRUE(),$Z196="TRUE"),0,1))</f>
        <v/>
      </c>
      <c r="AE196">
        <f>IF($AB196=1,IFERROR(IF(VALUE($C196)&lt;100000000,VALUE($C196),1000000000),IFERROR(IF(VALUE(MID($C196,2,20))&lt;100000000,VALUE(MID($C196,2,20)),1000000000),1000000000))+ROW()/100000,"")</f>
        <v/>
      </c>
    </row>
    <row r="197">
      <c r="G197" s="7" t="n"/>
      <c r="H197" s="7" t="n"/>
      <c r="N197" s="7">
        <f>IF($C197="","",M197*Y197/100)</f>
        <v/>
      </c>
      <c r="O197" s="11" t="n"/>
      <c r="T197" s="7" t="n"/>
      <c r="V197" s="7">
        <f>IF($C197="","",Y197*AA197/100)</f>
        <v/>
      </c>
      <c r="W197" s="7">
        <f>IF($C197="","",Y197-V197)</f>
        <v/>
      </c>
      <c r="X197" s="7">
        <f>IF($C197="","",W197-N197)</f>
        <v/>
      </c>
      <c r="Y197" s="7" t="n"/>
      <c r="AA197">
        <f>IF($C197="","",IF($AD197=1,Settings!$C$6,Settings!$C$7)*100)</f>
        <v/>
      </c>
      <c r="AB197">
        <f>IF($C197="","",IF(COUNTIF($C$2:$C197,$C197)=1,1,0))</f>
        <v/>
      </c>
      <c r="AC197">
        <f>IF($AB197=1,SUMPRODUCT(--($AE$2:$AE$501&lt;$AE197))+1,"")</f>
        <v/>
      </c>
      <c r="AD197">
        <f>IF($C197="","",IF(OR($Z197=TRUE(),$Z197="TRUE"),0,1))</f>
        <v/>
      </c>
      <c r="AE197">
        <f>IF($AB197=1,IFERROR(IF(VALUE($C197)&lt;100000000,VALUE($C197),1000000000),IFERROR(IF(VALUE(MID($C197,2,20))&lt;100000000,VALUE(MID($C197,2,20)),1000000000),1000000000))+ROW()/100000,"")</f>
        <v/>
      </c>
    </row>
    <row r="198">
      <c r="G198" s="7" t="n"/>
      <c r="H198" s="7" t="n"/>
      <c r="N198" s="7">
        <f>IF($C198="","",M198*Y198/100)</f>
        <v/>
      </c>
      <c r="O198" s="11" t="n"/>
      <c r="T198" s="7" t="n"/>
      <c r="V198" s="7">
        <f>IF($C198="","",Y198*AA198/100)</f>
        <v/>
      </c>
      <c r="W198" s="7">
        <f>IF($C198="","",Y198-V198)</f>
        <v/>
      </c>
      <c r="X198" s="7">
        <f>IF($C198="","",W198-N198)</f>
        <v/>
      </c>
      <c r="Y198" s="7" t="n"/>
      <c r="AA198">
        <f>IF($C198="","",IF($AD198=1,Settings!$C$6,Settings!$C$7)*100)</f>
        <v/>
      </c>
      <c r="AB198">
        <f>IF($C198="","",IF(COUNTIF($C$2:$C198,$C198)=1,1,0))</f>
        <v/>
      </c>
      <c r="AC198">
        <f>IF($AB198=1,SUMPRODUCT(--($AE$2:$AE$501&lt;$AE198))+1,"")</f>
        <v/>
      </c>
      <c r="AD198">
        <f>IF($C198="","",IF(OR($Z198=TRUE(),$Z198="TRUE"),0,1))</f>
        <v/>
      </c>
      <c r="AE198">
        <f>IF($AB198=1,IFERROR(IF(VALUE($C198)&lt;100000000,VALUE($C198),1000000000),IFERROR(IF(VALUE(MID($C198,2,20))&lt;100000000,VALUE(MID($C198,2,20)),1000000000),1000000000))+ROW()/100000,"")</f>
        <v/>
      </c>
    </row>
    <row r="199">
      <c r="G199" s="7" t="n"/>
      <c r="H199" s="7" t="n"/>
      <c r="N199" s="7">
        <f>IF($C199="","",M199*Y199/100)</f>
        <v/>
      </c>
      <c r="O199" s="11" t="n"/>
      <c r="T199" s="7" t="n"/>
      <c r="V199" s="7">
        <f>IF($C199="","",Y199*AA199/100)</f>
        <v/>
      </c>
      <c r="W199" s="7">
        <f>IF($C199="","",Y199-V199)</f>
        <v/>
      </c>
      <c r="X199" s="7">
        <f>IF($C199="","",W199-N199)</f>
        <v/>
      </c>
      <c r="Y199" s="7" t="n"/>
      <c r="AA199">
        <f>IF($C199="","",IF($AD199=1,Settings!$C$6,Settings!$C$7)*100)</f>
        <v/>
      </c>
      <c r="AB199">
        <f>IF($C199="","",IF(COUNTIF($C$2:$C199,$C199)=1,1,0))</f>
        <v/>
      </c>
      <c r="AC199">
        <f>IF($AB199=1,SUMPRODUCT(--($AE$2:$AE$501&lt;$AE199))+1,"")</f>
        <v/>
      </c>
      <c r="AD199">
        <f>IF($C199="","",IF(OR($Z199=TRUE(),$Z199="TRUE"),0,1))</f>
        <v/>
      </c>
      <c r="AE199">
        <f>IF($AB199=1,IFERROR(IF(VALUE($C199)&lt;100000000,VALUE($C199),1000000000),IFERROR(IF(VALUE(MID($C199,2,20))&lt;100000000,VALUE(MID($C199,2,20)),1000000000),1000000000))+ROW()/100000,"")</f>
        <v/>
      </c>
    </row>
    <row r="200">
      <c r="G200" s="7" t="n"/>
      <c r="H200" s="7" t="n"/>
      <c r="N200" s="7">
        <f>IF($C200="","",M200*Y200/100)</f>
        <v/>
      </c>
      <c r="O200" s="11" t="n"/>
      <c r="T200" s="7" t="n"/>
      <c r="V200" s="7">
        <f>IF($C200="","",Y200*AA200/100)</f>
        <v/>
      </c>
      <c r="W200" s="7">
        <f>IF($C200="","",Y200-V200)</f>
        <v/>
      </c>
      <c r="X200" s="7">
        <f>IF($C200="","",W200-N200)</f>
        <v/>
      </c>
      <c r="Y200" s="7" t="n"/>
      <c r="AA200">
        <f>IF($C200="","",IF($AD200=1,Settings!$C$6,Settings!$C$7)*100)</f>
        <v/>
      </c>
      <c r="AB200">
        <f>IF($C200="","",IF(COUNTIF($C$2:$C200,$C200)=1,1,0))</f>
        <v/>
      </c>
      <c r="AC200">
        <f>IF($AB200=1,SUMPRODUCT(--($AE$2:$AE$501&lt;$AE200))+1,"")</f>
        <v/>
      </c>
      <c r="AD200">
        <f>IF($C200="","",IF(OR($Z200=TRUE(),$Z200="TRUE"),0,1))</f>
        <v/>
      </c>
      <c r="AE200">
        <f>IF($AB200=1,IFERROR(IF(VALUE($C200)&lt;100000000,VALUE($C200),1000000000),IFERROR(IF(VALUE(MID($C200,2,20))&lt;100000000,VALUE(MID($C200,2,20)),1000000000),1000000000))+ROW()/100000,"")</f>
        <v/>
      </c>
    </row>
    <row r="201">
      <c r="G201" s="7" t="n"/>
      <c r="H201" s="7" t="n"/>
      <c r="N201" s="7">
        <f>IF($C201="","",M201*Y201/100)</f>
        <v/>
      </c>
      <c r="O201" s="11" t="n"/>
      <c r="T201" s="7" t="n"/>
      <c r="V201" s="7">
        <f>IF($C201="","",Y201*AA201/100)</f>
        <v/>
      </c>
      <c r="W201" s="7">
        <f>IF($C201="","",Y201-V201)</f>
        <v/>
      </c>
      <c r="X201" s="7">
        <f>IF($C201="","",W201-N201)</f>
        <v/>
      </c>
      <c r="Y201" s="7" t="n"/>
      <c r="AA201">
        <f>IF($C201="","",IF($AD201=1,Settings!$C$6,Settings!$C$7)*100)</f>
        <v/>
      </c>
      <c r="AB201">
        <f>IF($C201="","",IF(COUNTIF($C$2:$C201,$C201)=1,1,0))</f>
        <v/>
      </c>
      <c r="AC201">
        <f>IF($AB201=1,SUMPRODUCT(--($AE$2:$AE$501&lt;$AE201))+1,"")</f>
        <v/>
      </c>
      <c r="AD201">
        <f>IF($C201="","",IF(OR($Z201=TRUE(),$Z201="TRUE"),0,1))</f>
        <v/>
      </c>
      <c r="AE201">
        <f>IF($AB201=1,IFERROR(IF(VALUE($C201)&lt;100000000,VALUE($C201),1000000000),IFERROR(IF(VALUE(MID($C201,2,20))&lt;100000000,VALUE(MID($C201,2,20)),1000000000),1000000000))+ROW()/100000,"")</f>
        <v/>
      </c>
    </row>
    <row r="202">
      <c r="G202" s="7" t="n"/>
      <c r="H202" s="7" t="n"/>
      <c r="N202" s="7">
        <f>IF($C202="","",M202*Y202/100)</f>
        <v/>
      </c>
      <c r="O202" s="11" t="n"/>
      <c r="T202" s="7" t="n"/>
      <c r="V202" s="7">
        <f>IF($C202="","",Y202*AA202/100)</f>
        <v/>
      </c>
      <c r="W202" s="7">
        <f>IF($C202="","",Y202-V202)</f>
        <v/>
      </c>
      <c r="X202" s="7">
        <f>IF($C202="","",W202-N202)</f>
        <v/>
      </c>
      <c r="Y202" s="7" t="n"/>
      <c r="AA202">
        <f>IF($C202="","",IF($AD202=1,Settings!$C$6,Settings!$C$7)*100)</f>
        <v/>
      </c>
      <c r="AB202">
        <f>IF($C202="","",IF(COUNTIF($C$2:$C202,$C202)=1,1,0))</f>
        <v/>
      </c>
      <c r="AC202">
        <f>IF($AB202=1,SUMPRODUCT(--($AE$2:$AE$501&lt;$AE202))+1,"")</f>
        <v/>
      </c>
      <c r="AD202">
        <f>IF($C202="","",IF(OR($Z202=TRUE(),$Z202="TRUE"),0,1))</f>
        <v/>
      </c>
      <c r="AE202">
        <f>IF($AB202=1,IFERROR(IF(VALUE($C202)&lt;100000000,VALUE($C202),1000000000),IFERROR(IF(VALUE(MID($C202,2,20))&lt;100000000,VALUE(MID($C202,2,20)),1000000000),1000000000))+ROW()/100000,"")</f>
        <v/>
      </c>
    </row>
    <row r="203">
      <c r="G203" s="7" t="n"/>
      <c r="H203" s="7" t="n"/>
      <c r="N203" s="7">
        <f>IF($C203="","",M203*Y203/100)</f>
        <v/>
      </c>
      <c r="O203" s="11" t="n"/>
      <c r="T203" s="7" t="n"/>
      <c r="V203" s="7">
        <f>IF($C203="","",Y203*AA203/100)</f>
        <v/>
      </c>
      <c r="W203" s="7">
        <f>IF($C203="","",Y203-V203)</f>
        <v/>
      </c>
      <c r="X203" s="7">
        <f>IF($C203="","",W203-N203)</f>
        <v/>
      </c>
      <c r="Y203" s="7" t="n"/>
      <c r="AA203">
        <f>IF($C203="","",IF($AD203=1,Settings!$C$6,Settings!$C$7)*100)</f>
        <v/>
      </c>
      <c r="AB203">
        <f>IF($C203="","",IF(COUNTIF($C$2:$C203,$C203)=1,1,0))</f>
        <v/>
      </c>
      <c r="AC203">
        <f>IF($AB203=1,SUMPRODUCT(--($AE$2:$AE$501&lt;$AE203))+1,"")</f>
        <v/>
      </c>
      <c r="AD203">
        <f>IF($C203="","",IF(OR($Z203=TRUE(),$Z203="TRUE"),0,1))</f>
        <v/>
      </c>
      <c r="AE203">
        <f>IF($AB203=1,IFERROR(IF(VALUE($C203)&lt;100000000,VALUE($C203),1000000000),IFERROR(IF(VALUE(MID($C203,2,20))&lt;100000000,VALUE(MID($C203,2,20)),1000000000),1000000000))+ROW()/100000,"")</f>
        <v/>
      </c>
    </row>
    <row r="204">
      <c r="G204" s="7" t="n"/>
      <c r="H204" s="7" t="n"/>
      <c r="N204" s="7">
        <f>IF($C204="","",M204*Y204/100)</f>
        <v/>
      </c>
      <c r="O204" s="11" t="n"/>
      <c r="T204" s="7" t="n"/>
      <c r="V204" s="7">
        <f>IF($C204="","",Y204*AA204/100)</f>
        <v/>
      </c>
      <c r="W204" s="7">
        <f>IF($C204="","",Y204-V204)</f>
        <v/>
      </c>
      <c r="X204" s="7">
        <f>IF($C204="","",W204-N204)</f>
        <v/>
      </c>
      <c r="Y204" s="7" t="n"/>
      <c r="AA204">
        <f>IF($C204="","",IF($AD204=1,Settings!$C$6,Settings!$C$7)*100)</f>
        <v/>
      </c>
      <c r="AB204">
        <f>IF($C204="","",IF(COUNTIF($C$2:$C204,$C204)=1,1,0))</f>
        <v/>
      </c>
      <c r="AC204">
        <f>IF($AB204=1,SUMPRODUCT(--($AE$2:$AE$501&lt;$AE204))+1,"")</f>
        <v/>
      </c>
      <c r="AD204">
        <f>IF($C204="","",IF(OR($Z204=TRUE(),$Z204="TRUE"),0,1))</f>
        <v/>
      </c>
      <c r="AE204">
        <f>IF($AB204=1,IFERROR(IF(VALUE($C204)&lt;100000000,VALUE($C204),1000000000),IFERROR(IF(VALUE(MID($C204,2,20))&lt;100000000,VALUE(MID($C204,2,20)),1000000000),1000000000))+ROW()/100000,"")</f>
        <v/>
      </c>
    </row>
    <row r="205">
      <c r="G205" s="7" t="n"/>
      <c r="H205" s="7" t="n"/>
      <c r="N205" s="7">
        <f>IF($C205="","",M205*Y205/100)</f>
        <v/>
      </c>
      <c r="O205" s="11" t="n"/>
      <c r="T205" s="7" t="n"/>
      <c r="V205" s="7">
        <f>IF($C205="","",Y205*AA205/100)</f>
        <v/>
      </c>
      <c r="W205" s="7">
        <f>IF($C205="","",Y205-V205)</f>
        <v/>
      </c>
      <c r="X205" s="7">
        <f>IF($C205="","",W205-N205)</f>
        <v/>
      </c>
      <c r="Y205" s="7" t="n"/>
      <c r="AA205">
        <f>IF($C205="","",IF($AD205=1,Settings!$C$6,Settings!$C$7)*100)</f>
        <v/>
      </c>
      <c r="AB205">
        <f>IF($C205="","",IF(COUNTIF($C$2:$C205,$C205)=1,1,0))</f>
        <v/>
      </c>
      <c r="AC205">
        <f>IF($AB205=1,SUMPRODUCT(--($AE$2:$AE$501&lt;$AE205))+1,"")</f>
        <v/>
      </c>
      <c r="AD205">
        <f>IF($C205="","",IF(OR($Z205=TRUE(),$Z205="TRUE"),0,1))</f>
        <v/>
      </c>
      <c r="AE205">
        <f>IF($AB205=1,IFERROR(IF(VALUE($C205)&lt;100000000,VALUE($C205),1000000000),IFERROR(IF(VALUE(MID($C205,2,20))&lt;100000000,VALUE(MID($C205,2,20)),1000000000),1000000000))+ROW()/100000,"")</f>
        <v/>
      </c>
    </row>
    <row r="206">
      <c r="G206" s="7" t="n"/>
      <c r="H206" s="7" t="n"/>
      <c r="N206" s="7">
        <f>IF($C206="","",M206*Y206/100)</f>
        <v/>
      </c>
      <c r="O206" s="11" t="n"/>
      <c r="T206" s="7" t="n"/>
      <c r="V206" s="7">
        <f>IF($C206="","",Y206*AA206/100)</f>
        <v/>
      </c>
      <c r="W206" s="7">
        <f>IF($C206="","",Y206-V206)</f>
        <v/>
      </c>
      <c r="X206" s="7">
        <f>IF($C206="","",W206-N206)</f>
        <v/>
      </c>
      <c r="Y206" s="7" t="n"/>
      <c r="AA206">
        <f>IF($C206="","",IF($AD206=1,Settings!$C$6,Settings!$C$7)*100)</f>
        <v/>
      </c>
      <c r="AB206">
        <f>IF($C206="","",IF(COUNTIF($C$2:$C206,$C206)=1,1,0))</f>
        <v/>
      </c>
      <c r="AC206">
        <f>IF($AB206=1,SUMPRODUCT(--($AE$2:$AE$501&lt;$AE206))+1,"")</f>
        <v/>
      </c>
      <c r="AD206">
        <f>IF($C206="","",IF(OR($Z206=TRUE(),$Z206="TRUE"),0,1))</f>
        <v/>
      </c>
      <c r="AE206">
        <f>IF($AB206=1,IFERROR(IF(VALUE($C206)&lt;100000000,VALUE($C206),1000000000),IFERROR(IF(VALUE(MID($C206,2,20))&lt;100000000,VALUE(MID($C206,2,20)),1000000000),1000000000))+ROW()/100000,"")</f>
        <v/>
      </c>
    </row>
    <row r="207">
      <c r="G207" s="7" t="n"/>
      <c r="H207" s="7" t="n"/>
      <c r="N207" s="7">
        <f>IF($C207="","",M207*Y207/100)</f>
        <v/>
      </c>
      <c r="O207" s="11" t="n"/>
      <c r="T207" s="7" t="n"/>
      <c r="V207" s="7">
        <f>IF($C207="","",Y207*AA207/100)</f>
        <v/>
      </c>
      <c r="W207" s="7">
        <f>IF($C207="","",Y207-V207)</f>
        <v/>
      </c>
      <c r="X207" s="7">
        <f>IF($C207="","",W207-N207)</f>
        <v/>
      </c>
      <c r="Y207" s="7" t="n"/>
      <c r="AA207">
        <f>IF($C207="","",IF($AD207=1,Settings!$C$6,Settings!$C$7)*100)</f>
        <v/>
      </c>
      <c r="AB207">
        <f>IF($C207="","",IF(COUNTIF($C$2:$C207,$C207)=1,1,0))</f>
        <v/>
      </c>
      <c r="AC207">
        <f>IF($AB207=1,SUMPRODUCT(--($AE$2:$AE$501&lt;$AE207))+1,"")</f>
        <v/>
      </c>
      <c r="AD207">
        <f>IF($C207="","",IF(OR($Z207=TRUE(),$Z207="TRUE"),0,1))</f>
        <v/>
      </c>
      <c r="AE207">
        <f>IF($AB207=1,IFERROR(IF(VALUE($C207)&lt;100000000,VALUE($C207),1000000000),IFERROR(IF(VALUE(MID($C207,2,20))&lt;100000000,VALUE(MID($C207,2,20)),1000000000),1000000000))+ROW()/100000,"")</f>
        <v/>
      </c>
    </row>
    <row r="208">
      <c r="G208" s="7" t="n"/>
      <c r="H208" s="7" t="n"/>
      <c r="N208" s="7">
        <f>IF($C208="","",M208*Y208/100)</f>
        <v/>
      </c>
      <c r="O208" s="11" t="n"/>
      <c r="T208" s="7" t="n"/>
      <c r="V208" s="7">
        <f>IF($C208="","",Y208*AA208/100)</f>
        <v/>
      </c>
      <c r="W208" s="7">
        <f>IF($C208="","",Y208-V208)</f>
        <v/>
      </c>
      <c r="X208" s="7">
        <f>IF($C208="","",W208-N208)</f>
        <v/>
      </c>
      <c r="Y208" s="7" t="n"/>
      <c r="AA208">
        <f>IF($C208="","",IF($AD208=1,Settings!$C$6,Settings!$C$7)*100)</f>
        <v/>
      </c>
      <c r="AB208">
        <f>IF($C208="","",IF(COUNTIF($C$2:$C208,$C208)=1,1,0))</f>
        <v/>
      </c>
      <c r="AC208">
        <f>IF($AB208=1,SUMPRODUCT(--($AE$2:$AE$501&lt;$AE208))+1,"")</f>
        <v/>
      </c>
      <c r="AD208">
        <f>IF($C208="","",IF(OR($Z208=TRUE(),$Z208="TRUE"),0,1))</f>
        <v/>
      </c>
      <c r="AE208">
        <f>IF($AB208=1,IFERROR(IF(VALUE($C208)&lt;100000000,VALUE($C208),1000000000),IFERROR(IF(VALUE(MID($C208,2,20))&lt;100000000,VALUE(MID($C208,2,20)),1000000000),1000000000))+ROW()/100000,"")</f>
        <v/>
      </c>
    </row>
    <row r="209">
      <c r="G209" s="7" t="n"/>
      <c r="H209" s="7" t="n"/>
      <c r="N209" s="7">
        <f>IF($C209="","",M209*Y209/100)</f>
        <v/>
      </c>
      <c r="O209" s="11" t="n"/>
      <c r="T209" s="7" t="n"/>
      <c r="V209" s="7">
        <f>IF($C209="","",Y209*AA209/100)</f>
        <v/>
      </c>
      <c r="W209" s="7">
        <f>IF($C209="","",Y209-V209)</f>
        <v/>
      </c>
      <c r="X209" s="7">
        <f>IF($C209="","",W209-N209)</f>
        <v/>
      </c>
      <c r="Y209" s="7" t="n"/>
      <c r="AA209">
        <f>IF($C209="","",IF($AD209=1,Settings!$C$6,Settings!$C$7)*100)</f>
        <v/>
      </c>
      <c r="AB209">
        <f>IF($C209="","",IF(COUNTIF($C$2:$C209,$C209)=1,1,0))</f>
        <v/>
      </c>
      <c r="AC209">
        <f>IF($AB209=1,SUMPRODUCT(--($AE$2:$AE$501&lt;$AE209))+1,"")</f>
        <v/>
      </c>
      <c r="AD209">
        <f>IF($C209="","",IF(OR($Z209=TRUE(),$Z209="TRUE"),0,1))</f>
        <v/>
      </c>
      <c r="AE209">
        <f>IF($AB209=1,IFERROR(IF(VALUE($C209)&lt;100000000,VALUE($C209),1000000000),IFERROR(IF(VALUE(MID($C209,2,20))&lt;100000000,VALUE(MID($C209,2,20)),1000000000),1000000000))+ROW()/100000,"")</f>
        <v/>
      </c>
    </row>
    <row r="210">
      <c r="G210" s="7" t="n"/>
      <c r="H210" s="7" t="n"/>
      <c r="N210" s="7">
        <f>IF($C210="","",M210*Y210/100)</f>
        <v/>
      </c>
      <c r="O210" s="11" t="n"/>
      <c r="T210" s="7" t="n"/>
      <c r="V210" s="7">
        <f>IF($C210="","",Y210*AA210/100)</f>
        <v/>
      </c>
      <c r="W210" s="7">
        <f>IF($C210="","",Y210-V210)</f>
        <v/>
      </c>
      <c r="X210" s="7">
        <f>IF($C210="","",W210-N210)</f>
        <v/>
      </c>
      <c r="Y210" s="7" t="n"/>
      <c r="AA210">
        <f>IF($C210="","",IF($AD210=1,Settings!$C$6,Settings!$C$7)*100)</f>
        <v/>
      </c>
      <c r="AB210">
        <f>IF($C210="","",IF(COUNTIF($C$2:$C210,$C210)=1,1,0))</f>
        <v/>
      </c>
      <c r="AC210">
        <f>IF($AB210=1,SUMPRODUCT(--($AE$2:$AE$501&lt;$AE210))+1,"")</f>
        <v/>
      </c>
      <c r="AD210">
        <f>IF($C210="","",IF(OR($Z210=TRUE(),$Z210="TRUE"),0,1))</f>
        <v/>
      </c>
      <c r="AE210">
        <f>IF($AB210=1,IFERROR(IF(VALUE($C210)&lt;100000000,VALUE($C210),1000000000),IFERROR(IF(VALUE(MID($C210,2,20))&lt;100000000,VALUE(MID($C210,2,20)),1000000000),1000000000))+ROW()/100000,"")</f>
        <v/>
      </c>
    </row>
    <row r="211">
      <c r="G211" s="7" t="n"/>
      <c r="H211" s="7" t="n"/>
      <c r="N211" s="7">
        <f>IF($C211="","",M211*Y211/100)</f>
        <v/>
      </c>
      <c r="O211" s="11" t="n"/>
      <c r="T211" s="7" t="n"/>
      <c r="V211" s="7">
        <f>IF($C211="","",Y211*AA211/100)</f>
        <v/>
      </c>
      <c r="W211" s="7">
        <f>IF($C211="","",Y211-V211)</f>
        <v/>
      </c>
      <c r="X211" s="7">
        <f>IF($C211="","",W211-N211)</f>
        <v/>
      </c>
      <c r="Y211" s="7" t="n"/>
      <c r="AA211">
        <f>IF($C211="","",IF($AD211=1,Settings!$C$6,Settings!$C$7)*100)</f>
        <v/>
      </c>
      <c r="AB211">
        <f>IF($C211="","",IF(COUNTIF($C$2:$C211,$C211)=1,1,0))</f>
        <v/>
      </c>
      <c r="AC211">
        <f>IF($AB211=1,SUMPRODUCT(--($AE$2:$AE$501&lt;$AE211))+1,"")</f>
        <v/>
      </c>
      <c r="AD211">
        <f>IF($C211="","",IF(OR($Z211=TRUE(),$Z211="TRUE"),0,1))</f>
        <v/>
      </c>
      <c r="AE211">
        <f>IF($AB211=1,IFERROR(IF(VALUE($C211)&lt;100000000,VALUE($C211),1000000000),IFERROR(IF(VALUE(MID($C211,2,20))&lt;100000000,VALUE(MID($C211,2,20)),1000000000),1000000000))+ROW()/100000,"")</f>
        <v/>
      </c>
    </row>
    <row r="212">
      <c r="G212" s="7" t="n"/>
      <c r="H212" s="7" t="n"/>
      <c r="N212" s="7">
        <f>IF($C212="","",M212*Y212/100)</f>
        <v/>
      </c>
      <c r="O212" s="11" t="n"/>
      <c r="T212" s="7" t="n"/>
      <c r="V212" s="7">
        <f>IF($C212="","",Y212*AA212/100)</f>
        <v/>
      </c>
      <c r="W212" s="7">
        <f>IF($C212="","",Y212-V212)</f>
        <v/>
      </c>
      <c r="X212" s="7">
        <f>IF($C212="","",W212-N212)</f>
        <v/>
      </c>
      <c r="Y212" s="7" t="n"/>
      <c r="AA212">
        <f>IF($C212="","",IF($AD212=1,Settings!$C$6,Settings!$C$7)*100)</f>
        <v/>
      </c>
      <c r="AB212">
        <f>IF($C212="","",IF(COUNTIF($C$2:$C212,$C212)=1,1,0))</f>
        <v/>
      </c>
      <c r="AC212">
        <f>IF($AB212=1,SUMPRODUCT(--($AE$2:$AE$501&lt;$AE212))+1,"")</f>
        <v/>
      </c>
      <c r="AD212">
        <f>IF($C212="","",IF(OR($Z212=TRUE(),$Z212="TRUE"),0,1))</f>
        <v/>
      </c>
      <c r="AE212">
        <f>IF($AB212=1,IFERROR(IF(VALUE($C212)&lt;100000000,VALUE($C212),1000000000),IFERROR(IF(VALUE(MID($C212,2,20))&lt;100000000,VALUE(MID($C212,2,20)),1000000000),1000000000))+ROW()/100000,"")</f>
        <v/>
      </c>
    </row>
    <row r="213">
      <c r="G213" s="7" t="n"/>
      <c r="H213" s="7" t="n"/>
      <c r="N213" s="7">
        <f>IF($C213="","",M213*Y213/100)</f>
        <v/>
      </c>
      <c r="O213" s="11" t="n"/>
      <c r="T213" s="7" t="n"/>
      <c r="V213" s="7">
        <f>IF($C213="","",Y213*AA213/100)</f>
        <v/>
      </c>
      <c r="W213" s="7">
        <f>IF($C213="","",Y213-V213)</f>
        <v/>
      </c>
      <c r="X213" s="7">
        <f>IF($C213="","",W213-N213)</f>
        <v/>
      </c>
      <c r="Y213" s="7" t="n"/>
      <c r="AA213">
        <f>IF($C213="","",IF($AD213=1,Settings!$C$6,Settings!$C$7)*100)</f>
        <v/>
      </c>
      <c r="AB213">
        <f>IF($C213="","",IF(COUNTIF($C$2:$C213,$C213)=1,1,0))</f>
        <v/>
      </c>
      <c r="AC213">
        <f>IF($AB213=1,SUMPRODUCT(--($AE$2:$AE$501&lt;$AE213))+1,"")</f>
        <v/>
      </c>
      <c r="AD213">
        <f>IF($C213="","",IF(OR($Z213=TRUE(),$Z213="TRUE"),0,1))</f>
        <v/>
      </c>
      <c r="AE213">
        <f>IF($AB213=1,IFERROR(IF(VALUE($C213)&lt;100000000,VALUE($C213),1000000000),IFERROR(IF(VALUE(MID($C213,2,20))&lt;100000000,VALUE(MID($C213,2,20)),1000000000),1000000000))+ROW()/100000,"")</f>
        <v/>
      </c>
    </row>
    <row r="214">
      <c r="G214" s="7" t="n"/>
      <c r="H214" s="7" t="n"/>
      <c r="N214" s="7">
        <f>IF($C214="","",M214*Y214/100)</f>
        <v/>
      </c>
      <c r="O214" s="11" t="n"/>
      <c r="T214" s="7" t="n"/>
      <c r="V214" s="7">
        <f>IF($C214="","",Y214*AA214/100)</f>
        <v/>
      </c>
      <c r="W214" s="7">
        <f>IF($C214="","",Y214-V214)</f>
        <v/>
      </c>
      <c r="X214" s="7">
        <f>IF($C214="","",W214-N214)</f>
        <v/>
      </c>
      <c r="Y214" s="7" t="n"/>
      <c r="AA214">
        <f>IF($C214="","",IF($AD214=1,Settings!$C$6,Settings!$C$7)*100)</f>
        <v/>
      </c>
      <c r="AB214">
        <f>IF($C214="","",IF(COUNTIF($C$2:$C214,$C214)=1,1,0))</f>
        <v/>
      </c>
      <c r="AC214">
        <f>IF($AB214=1,SUMPRODUCT(--($AE$2:$AE$501&lt;$AE214))+1,"")</f>
        <v/>
      </c>
      <c r="AD214">
        <f>IF($C214="","",IF(OR($Z214=TRUE(),$Z214="TRUE"),0,1))</f>
        <v/>
      </c>
      <c r="AE214">
        <f>IF($AB214=1,IFERROR(IF(VALUE($C214)&lt;100000000,VALUE($C214),1000000000),IFERROR(IF(VALUE(MID($C214,2,20))&lt;100000000,VALUE(MID($C214,2,20)),1000000000),1000000000))+ROW()/100000,"")</f>
        <v/>
      </c>
    </row>
    <row r="215">
      <c r="G215" s="7" t="n"/>
      <c r="H215" s="7" t="n"/>
      <c r="N215" s="7">
        <f>IF($C215="","",M215*Y215/100)</f>
        <v/>
      </c>
      <c r="O215" s="11" t="n"/>
      <c r="T215" s="7" t="n"/>
      <c r="V215" s="7">
        <f>IF($C215="","",Y215*AA215/100)</f>
        <v/>
      </c>
      <c r="W215" s="7">
        <f>IF($C215="","",Y215-V215)</f>
        <v/>
      </c>
      <c r="X215" s="7">
        <f>IF($C215="","",W215-N215)</f>
        <v/>
      </c>
      <c r="Y215" s="7" t="n"/>
      <c r="AA215">
        <f>IF($C215="","",IF($AD215=1,Settings!$C$6,Settings!$C$7)*100)</f>
        <v/>
      </c>
      <c r="AB215">
        <f>IF($C215="","",IF(COUNTIF($C$2:$C215,$C215)=1,1,0))</f>
        <v/>
      </c>
      <c r="AC215">
        <f>IF($AB215=1,SUMPRODUCT(--($AE$2:$AE$501&lt;$AE215))+1,"")</f>
        <v/>
      </c>
      <c r="AD215">
        <f>IF($C215="","",IF(OR($Z215=TRUE(),$Z215="TRUE"),0,1))</f>
        <v/>
      </c>
      <c r="AE215">
        <f>IF($AB215=1,IFERROR(IF(VALUE($C215)&lt;100000000,VALUE($C215),1000000000),IFERROR(IF(VALUE(MID($C215,2,20))&lt;100000000,VALUE(MID($C215,2,20)),1000000000),1000000000))+ROW()/100000,"")</f>
        <v/>
      </c>
    </row>
    <row r="216">
      <c r="G216" s="7" t="n"/>
      <c r="H216" s="7" t="n"/>
      <c r="N216" s="7">
        <f>IF($C216="","",M216*Y216/100)</f>
        <v/>
      </c>
      <c r="O216" s="11" t="n"/>
      <c r="T216" s="7" t="n"/>
      <c r="V216" s="7">
        <f>IF($C216="","",Y216*AA216/100)</f>
        <v/>
      </c>
      <c r="W216" s="7">
        <f>IF($C216="","",Y216-V216)</f>
        <v/>
      </c>
      <c r="X216" s="7">
        <f>IF($C216="","",W216-N216)</f>
        <v/>
      </c>
      <c r="Y216" s="7" t="n"/>
      <c r="AA216">
        <f>IF($C216="","",IF($AD216=1,Settings!$C$6,Settings!$C$7)*100)</f>
        <v/>
      </c>
      <c r="AB216">
        <f>IF($C216="","",IF(COUNTIF($C$2:$C216,$C216)=1,1,0))</f>
        <v/>
      </c>
      <c r="AC216">
        <f>IF($AB216=1,SUMPRODUCT(--($AE$2:$AE$501&lt;$AE216))+1,"")</f>
        <v/>
      </c>
      <c r="AD216">
        <f>IF($C216="","",IF(OR($Z216=TRUE(),$Z216="TRUE"),0,1))</f>
        <v/>
      </c>
      <c r="AE216">
        <f>IF($AB216=1,IFERROR(IF(VALUE($C216)&lt;100000000,VALUE($C216),1000000000),IFERROR(IF(VALUE(MID($C216,2,20))&lt;100000000,VALUE(MID($C216,2,20)),1000000000),1000000000))+ROW()/100000,"")</f>
        <v/>
      </c>
    </row>
    <row r="217">
      <c r="G217" s="7" t="n"/>
      <c r="H217" s="7" t="n"/>
      <c r="N217" s="7">
        <f>IF($C217="","",M217*Y217/100)</f>
        <v/>
      </c>
      <c r="O217" s="11" t="n"/>
      <c r="T217" s="7" t="n"/>
      <c r="V217" s="7">
        <f>IF($C217="","",Y217*AA217/100)</f>
        <v/>
      </c>
      <c r="W217" s="7">
        <f>IF($C217="","",Y217-V217)</f>
        <v/>
      </c>
      <c r="X217" s="7">
        <f>IF($C217="","",W217-N217)</f>
        <v/>
      </c>
      <c r="Y217" s="7" t="n"/>
      <c r="AA217">
        <f>IF($C217="","",IF($AD217=1,Settings!$C$6,Settings!$C$7)*100)</f>
        <v/>
      </c>
      <c r="AB217">
        <f>IF($C217="","",IF(COUNTIF($C$2:$C217,$C217)=1,1,0))</f>
        <v/>
      </c>
      <c r="AC217">
        <f>IF($AB217=1,SUMPRODUCT(--($AE$2:$AE$501&lt;$AE217))+1,"")</f>
        <v/>
      </c>
      <c r="AD217">
        <f>IF($C217="","",IF(OR($Z217=TRUE(),$Z217="TRUE"),0,1))</f>
        <v/>
      </c>
      <c r="AE217">
        <f>IF($AB217=1,IFERROR(IF(VALUE($C217)&lt;100000000,VALUE($C217),1000000000),IFERROR(IF(VALUE(MID($C217,2,20))&lt;100000000,VALUE(MID($C217,2,20)),1000000000),1000000000))+ROW()/100000,"")</f>
        <v/>
      </c>
    </row>
    <row r="218">
      <c r="G218" s="7" t="n"/>
      <c r="H218" s="7" t="n"/>
      <c r="N218" s="7">
        <f>IF($C218="","",M218*Y218/100)</f>
        <v/>
      </c>
      <c r="O218" s="11" t="n"/>
      <c r="T218" s="7" t="n"/>
      <c r="V218" s="7">
        <f>IF($C218="","",Y218*AA218/100)</f>
        <v/>
      </c>
      <c r="W218" s="7">
        <f>IF($C218="","",Y218-V218)</f>
        <v/>
      </c>
      <c r="X218" s="7">
        <f>IF($C218="","",W218-N218)</f>
        <v/>
      </c>
      <c r="Y218" s="7" t="n"/>
      <c r="AA218">
        <f>IF($C218="","",IF($AD218=1,Settings!$C$6,Settings!$C$7)*100)</f>
        <v/>
      </c>
      <c r="AB218">
        <f>IF($C218="","",IF(COUNTIF($C$2:$C218,$C218)=1,1,0))</f>
        <v/>
      </c>
      <c r="AC218">
        <f>IF($AB218=1,SUMPRODUCT(--($AE$2:$AE$501&lt;$AE218))+1,"")</f>
        <v/>
      </c>
      <c r="AD218">
        <f>IF($C218="","",IF(OR($Z218=TRUE(),$Z218="TRUE"),0,1))</f>
        <v/>
      </c>
      <c r="AE218">
        <f>IF($AB218=1,IFERROR(IF(VALUE($C218)&lt;100000000,VALUE($C218),1000000000),IFERROR(IF(VALUE(MID($C218,2,20))&lt;100000000,VALUE(MID($C218,2,20)),1000000000),1000000000))+ROW()/100000,"")</f>
        <v/>
      </c>
    </row>
    <row r="219">
      <c r="G219" s="7" t="n"/>
      <c r="H219" s="7" t="n"/>
      <c r="N219" s="7">
        <f>IF($C219="","",M219*Y219/100)</f>
        <v/>
      </c>
      <c r="O219" s="11" t="n"/>
      <c r="T219" s="7" t="n"/>
      <c r="V219" s="7">
        <f>IF($C219="","",Y219*AA219/100)</f>
        <v/>
      </c>
      <c r="W219" s="7">
        <f>IF($C219="","",Y219-V219)</f>
        <v/>
      </c>
      <c r="X219" s="7">
        <f>IF($C219="","",W219-N219)</f>
        <v/>
      </c>
      <c r="Y219" s="7" t="n"/>
      <c r="AA219">
        <f>IF($C219="","",IF($AD219=1,Settings!$C$6,Settings!$C$7)*100)</f>
        <v/>
      </c>
      <c r="AB219">
        <f>IF($C219="","",IF(COUNTIF($C$2:$C219,$C219)=1,1,0))</f>
        <v/>
      </c>
      <c r="AC219">
        <f>IF($AB219=1,SUMPRODUCT(--($AE$2:$AE$501&lt;$AE219))+1,"")</f>
        <v/>
      </c>
      <c r="AD219">
        <f>IF($C219="","",IF(OR($Z219=TRUE(),$Z219="TRUE"),0,1))</f>
        <v/>
      </c>
      <c r="AE219">
        <f>IF($AB219=1,IFERROR(IF(VALUE($C219)&lt;100000000,VALUE($C219),1000000000),IFERROR(IF(VALUE(MID($C219,2,20))&lt;100000000,VALUE(MID($C219,2,20)),1000000000),1000000000))+ROW()/100000,"")</f>
        <v/>
      </c>
    </row>
    <row r="220">
      <c r="G220" s="7" t="n"/>
      <c r="H220" s="7" t="n"/>
      <c r="N220" s="7">
        <f>IF($C220="","",M220*Y220/100)</f>
        <v/>
      </c>
      <c r="O220" s="11" t="n"/>
      <c r="T220" s="7" t="n"/>
      <c r="V220" s="7">
        <f>IF($C220="","",Y220*AA220/100)</f>
        <v/>
      </c>
      <c r="W220" s="7">
        <f>IF($C220="","",Y220-V220)</f>
        <v/>
      </c>
      <c r="X220" s="7">
        <f>IF($C220="","",W220-N220)</f>
        <v/>
      </c>
      <c r="Y220" s="7" t="n"/>
      <c r="AA220">
        <f>IF($C220="","",IF($AD220=1,Settings!$C$6,Settings!$C$7)*100)</f>
        <v/>
      </c>
      <c r="AB220">
        <f>IF($C220="","",IF(COUNTIF($C$2:$C220,$C220)=1,1,0))</f>
        <v/>
      </c>
      <c r="AC220">
        <f>IF($AB220=1,SUMPRODUCT(--($AE$2:$AE$501&lt;$AE220))+1,"")</f>
        <v/>
      </c>
      <c r="AD220">
        <f>IF($C220="","",IF(OR($Z220=TRUE(),$Z220="TRUE"),0,1))</f>
        <v/>
      </c>
      <c r="AE220">
        <f>IF($AB220=1,IFERROR(IF(VALUE($C220)&lt;100000000,VALUE($C220),1000000000),IFERROR(IF(VALUE(MID($C220,2,20))&lt;100000000,VALUE(MID($C220,2,20)),1000000000),1000000000))+ROW()/100000,"")</f>
        <v/>
      </c>
    </row>
    <row r="221">
      <c r="G221" s="7" t="n"/>
      <c r="H221" s="7" t="n"/>
      <c r="N221" s="7">
        <f>IF($C221="","",M221*Y221/100)</f>
        <v/>
      </c>
      <c r="O221" s="11" t="n"/>
      <c r="T221" s="7" t="n"/>
      <c r="V221" s="7">
        <f>IF($C221="","",Y221*AA221/100)</f>
        <v/>
      </c>
      <c r="W221" s="7">
        <f>IF($C221="","",Y221-V221)</f>
        <v/>
      </c>
      <c r="X221" s="7">
        <f>IF($C221="","",W221-N221)</f>
        <v/>
      </c>
      <c r="Y221" s="7" t="n"/>
      <c r="AA221">
        <f>IF($C221="","",IF($AD221=1,Settings!$C$6,Settings!$C$7)*100)</f>
        <v/>
      </c>
      <c r="AB221">
        <f>IF($C221="","",IF(COUNTIF($C$2:$C221,$C221)=1,1,0))</f>
        <v/>
      </c>
      <c r="AC221">
        <f>IF($AB221=1,SUMPRODUCT(--($AE$2:$AE$501&lt;$AE221))+1,"")</f>
        <v/>
      </c>
      <c r="AD221">
        <f>IF($C221="","",IF(OR($Z221=TRUE(),$Z221="TRUE"),0,1))</f>
        <v/>
      </c>
      <c r="AE221">
        <f>IF($AB221=1,IFERROR(IF(VALUE($C221)&lt;100000000,VALUE($C221),1000000000),IFERROR(IF(VALUE(MID($C221,2,20))&lt;100000000,VALUE(MID($C221,2,20)),1000000000),1000000000))+ROW()/100000,"")</f>
        <v/>
      </c>
    </row>
    <row r="222">
      <c r="G222" s="7" t="n"/>
      <c r="H222" s="7" t="n"/>
      <c r="N222" s="7">
        <f>IF($C222="","",M222*Y222/100)</f>
        <v/>
      </c>
      <c r="O222" s="11" t="n"/>
      <c r="T222" s="7" t="n"/>
      <c r="V222" s="7">
        <f>IF($C222="","",Y222*AA222/100)</f>
        <v/>
      </c>
      <c r="W222" s="7">
        <f>IF($C222="","",Y222-V222)</f>
        <v/>
      </c>
      <c r="X222" s="7">
        <f>IF($C222="","",W222-N222)</f>
        <v/>
      </c>
      <c r="Y222" s="7" t="n"/>
      <c r="AA222">
        <f>IF($C222="","",IF($AD222=1,Settings!$C$6,Settings!$C$7)*100)</f>
        <v/>
      </c>
      <c r="AB222">
        <f>IF($C222="","",IF(COUNTIF($C$2:$C222,$C222)=1,1,0))</f>
        <v/>
      </c>
      <c r="AC222">
        <f>IF($AB222=1,SUMPRODUCT(--($AE$2:$AE$501&lt;$AE222))+1,"")</f>
        <v/>
      </c>
      <c r="AD222">
        <f>IF($C222="","",IF(OR($Z222=TRUE(),$Z222="TRUE"),0,1))</f>
        <v/>
      </c>
      <c r="AE222">
        <f>IF($AB222=1,IFERROR(IF(VALUE($C222)&lt;100000000,VALUE($C222),1000000000),IFERROR(IF(VALUE(MID($C222,2,20))&lt;100000000,VALUE(MID($C222,2,20)),1000000000),1000000000))+ROW()/100000,"")</f>
        <v/>
      </c>
    </row>
    <row r="223">
      <c r="G223" s="7" t="n"/>
      <c r="H223" s="7" t="n"/>
      <c r="N223" s="7">
        <f>IF($C223="","",M223*Y223/100)</f>
        <v/>
      </c>
      <c r="O223" s="11" t="n"/>
      <c r="T223" s="7" t="n"/>
      <c r="V223" s="7">
        <f>IF($C223="","",Y223*AA223/100)</f>
        <v/>
      </c>
      <c r="W223" s="7">
        <f>IF($C223="","",Y223-V223)</f>
        <v/>
      </c>
      <c r="X223" s="7">
        <f>IF($C223="","",W223-N223)</f>
        <v/>
      </c>
      <c r="Y223" s="7" t="n"/>
      <c r="AA223">
        <f>IF($C223="","",IF($AD223=1,Settings!$C$6,Settings!$C$7)*100)</f>
        <v/>
      </c>
      <c r="AB223">
        <f>IF($C223="","",IF(COUNTIF($C$2:$C223,$C223)=1,1,0))</f>
        <v/>
      </c>
      <c r="AC223">
        <f>IF($AB223=1,SUMPRODUCT(--($AE$2:$AE$501&lt;$AE223))+1,"")</f>
        <v/>
      </c>
      <c r="AD223">
        <f>IF($C223="","",IF(OR($Z223=TRUE(),$Z223="TRUE"),0,1))</f>
        <v/>
      </c>
      <c r="AE223">
        <f>IF($AB223=1,IFERROR(IF(VALUE($C223)&lt;100000000,VALUE($C223),1000000000),IFERROR(IF(VALUE(MID($C223,2,20))&lt;100000000,VALUE(MID($C223,2,20)),1000000000),1000000000))+ROW()/100000,"")</f>
        <v/>
      </c>
    </row>
    <row r="224">
      <c r="G224" s="7" t="n"/>
      <c r="H224" s="7" t="n"/>
      <c r="N224" s="7">
        <f>IF($C224="","",M224*Y224/100)</f>
        <v/>
      </c>
      <c r="O224" s="11" t="n"/>
      <c r="T224" s="7" t="n"/>
      <c r="V224" s="7">
        <f>IF($C224="","",Y224*AA224/100)</f>
        <v/>
      </c>
      <c r="W224" s="7">
        <f>IF($C224="","",Y224-V224)</f>
        <v/>
      </c>
      <c r="X224" s="7">
        <f>IF($C224="","",W224-N224)</f>
        <v/>
      </c>
      <c r="Y224" s="7" t="n"/>
      <c r="AA224">
        <f>IF($C224="","",IF($AD224=1,Settings!$C$6,Settings!$C$7)*100)</f>
        <v/>
      </c>
      <c r="AB224">
        <f>IF($C224="","",IF(COUNTIF($C$2:$C224,$C224)=1,1,0))</f>
        <v/>
      </c>
      <c r="AC224">
        <f>IF($AB224=1,SUMPRODUCT(--($AE$2:$AE$501&lt;$AE224))+1,"")</f>
        <v/>
      </c>
      <c r="AD224">
        <f>IF($C224="","",IF(OR($Z224=TRUE(),$Z224="TRUE"),0,1))</f>
        <v/>
      </c>
      <c r="AE224">
        <f>IF($AB224=1,IFERROR(IF(VALUE($C224)&lt;100000000,VALUE($C224),1000000000),IFERROR(IF(VALUE(MID($C224,2,20))&lt;100000000,VALUE(MID($C224,2,20)),1000000000),1000000000))+ROW()/100000,"")</f>
        <v/>
      </c>
    </row>
    <row r="225">
      <c r="G225" s="7" t="n"/>
      <c r="H225" s="7" t="n"/>
      <c r="N225" s="7">
        <f>IF($C225="","",M225*Y225/100)</f>
        <v/>
      </c>
      <c r="O225" s="11" t="n"/>
      <c r="T225" s="7" t="n"/>
      <c r="V225" s="7">
        <f>IF($C225="","",Y225*AA225/100)</f>
        <v/>
      </c>
      <c r="W225" s="7">
        <f>IF($C225="","",Y225-V225)</f>
        <v/>
      </c>
      <c r="X225" s="7">
        <f>IF($C225="","",W225-N225)</f>
        <v/>
      </c>
      <c r="Y225" s="7" t="n"/>
      <c r="AA225">
        <f>IF($C225="","",IF($AD225=1,Settings!$C$6,Settings!$C$7)*100)</f>
        <v/>
      </c>
      <c r="AB225">
        <f>IF($C225="","",IF(COUNTIF($C$2:$C225,$C225)=1,1,0))</f>
        <v/>
      </c>
      <c r="AC225">
        <f>IF($AB225=1,SUMPRODUCT(--($AE$2:$AE$501&lt;$AE225))+1,"")</f>
        <v/>
      </c>
      <c r="AD225">
        <f>IF($C225="","",IF(OR($Z225=TRUE(),$Z225="TRUE"),0,1))</f>
        <v/>
      </c>
      <c r="AE225">
        <f>IF($AB225=1,IFERROR(IF(VALUE($C225)&lt;100000000,VALUE($C225),1000000000),IFERROR(IF(VALUE(MID($C225,2,20))&lt;100000000,VALUE(MID($C225,2,20)),1000000000),1000000000))+ROW()/100000,"")</f>
        <v/>
      </c>
    </row>
    <row r="226">
      <c r="G226" s="7" t="n"/>
      <c r="H226" s="7" t="n"/>
      <c r="N226" s="7">
        <f>IF($C226="","",M226*Y226/100)</f>
        <v/>
      </c>
      <c r="O226" s="11" t="n"/>
      <c r="T226" s="7" t="n"/>
      <c r="V226" s="7">
        <f>IF($C226="","",Y226*AA226/100)</f>
        <v/>
      </c>
      <c r="W226" s="7">
        <f>IF($C226="","",Y226-V226)</f>
        <v/>
      </c>
      <c r="X226" s="7">
        <f>IF($C226="","",W226-N226)</f>
        <v/>
      </c>
      <c r="Y226" s="7" t="n"/>
      <c r="AA226">
        <f>IF($C226="","",IF($AD226=1,Settings!$C$6,Settings!$C$7)*100)</f>
        <v/>
      </c>
      <c r="AB226">
        <f>IF($C226="","",IF(COUNTIF($C$2:$C226,$C226)=1,1,0))</f>
        <v/>
      </c>
      <c r="AC226">
        <f>IF($AB226=1,SUMPRODUCT(--($AE$2:$AE$501&lt;$AE226))+1,"")</f>
        <v/>
      </c>
      <c r="AD226">
        <f>IF($C226="","",IF(OR($Z226=TRUE(),$Z226="TRUE"),0,1))</f>
        <v/>
      </c>
      <c r="AE226">
        <f>IF($AB226=1,IFERROR(IF(VALUE($C226)&lt;100000000,VALUE($C226),1000000000),IFERROR(IF(VALUE(MID($C226,2,20))&lt;100000000,VALUE(MID($C226,2,20)),1000000000),1000000000))+ROW()/100000,"")</f>
        <v/>
      </c>
    </row>
    <row r="227">
      <c r="G227" s="7" t="n"/>
      <c r="H227" s="7" t="n"/>
      <c r="N227" s="7">
        <f>IF($C227="","",M227*Y227/100)</f>
        <v/>
      </c>
      <c r="O227" s="11" t="n"/>
      <c r="T227" s="7" t="n"/>
      <c r="V227" s="7">
        <f>IF($C227="","",Y227*AA227/100)</f>
        <v/>
      </c>
      <c r="W227" s="7">
        <f>IF($C227="","",Y227-V227)</f>
        <v/>
      </c>
      <c r="X227" s="7">
        <f>IF($C227="","",W227-N227)</f>
        <v/>
      </c>
      <c r="Y227" s="7" t="n"/>
      <c r="AA227">
        <f>IF($C227="","",IF($AD227=1,Settings!$C$6,Settings!$C$7)*100)</f>
        <v/>
      </c>
      <c r="AB227">
        <f>IF($C227="","",IF(COUNTIF($C$2:$C227,$C227)=1,1,0))</f>
        <v/>
      </c>
      <c r="AC227">
        <f>IF($AB227=1,SUMPRODUCT(--($AE$2:$AE$501&lt;$AE227))+1,"")</f>
        <v/>
      </c>
      <c r="AD227">
        <f>IF($C227="","",IF(OR($Z227=TRUE(),$Z227="TRUE"),0,1))</f>
        <v/>
      </c>
      <c r="AE227">
        <f>IF($AB227=1,IFERROR(IF(VALUE($C227)&lt;100000000,VALUE($C227),1000000000),IFERROR(IF(VALUE(MID($C227,2,20))&lt;100000000,VALUE(MID($C227,2,20)),1000000000),1000000000))+ROW()/100000,"")</f>
        <v/>
      </c>
    </row>
    <row r="228">
      <c r="G228" s="7" t="n"/>
      <c r="H228" s="7" t="n"/>
      <c r="N228" s="7">
        <f>IF($C228="","",M228*Y228/100)</f>
        <v/>
      </c>
      <c r="O228" s="11" t="n"/>
      <c r="T228" s="7" t="n"/>
      <c r="V228" s="7">
        <f>IF($C228="","",Y228*AA228/100)</f>
        <v/>
      </c>
      <c r="W228" s="7">
        <f>IF($C228="","",Y228-V228)</f>
        <v/>
      </c>
      <c r="X228" s="7">
        <f>IF($C228="","",W228-N228)</f>
        <v/>
      </c>
      <c r="Y228" s="7" t="n"/>
      <c r="AA228">
        <f>IF($C228="","",IF($AD228=1,Settings!$C$6,Settings!$C$7)*100)</f>
        <v/>
      </c>
      <c r="AB228">
        <f>IF($C228="","",IF(COUNTIF($C$2:$C228,$C228)=1,1,0))</f>
        <v/>
      </c>
      <c r="AC228">
        <f>IF($AB228=1,SUMPRODUCT(--($AE$2:$AE$501&lt;$AE228))+1,"")</f>
        <v/>
      </c>
      <c r="AD228">
        <f>IF($C228="","",IF(OR($Z228=TRUE(),$Z228="TRUE"),0,1))</f>
        <v/>
      </c>
      <c r="AE228">
        <f>IF($AB228=1,IFERROR(IF(VALUE($C228)&lt;100000000,VALUE($C228),1000000000),IFERROR(IF(VALUE(MID($C228,2,20))&lt;100000000,VALUE(MID($C228,2,20)),1000000000),1000000000))+ROW()/100000,"")</f>
        <v/>
      </c>
    </row>
    <row r="229">
      <c r="G229" s="7" t="n"/>
      <c r="H229" s="7" t="n"/>
      <c r="N229" s="7">
        <f>IF($C229="","",M229*Y229/100)</f>
        <v/>
      </c>
      <c r="O229" s="11" t="n"/>
      <c r="T229" s="7" t="n"/>
      <c r="V229" s="7">
        <f>IF($C229="","",Y229*AA229/100)</f>
        <v/>
      </c>
      <c r="W229" s="7">
        <f>IF($C229="","",Y229-V229)</f>
        <v/>
      </c>
      <c r="X229" s="7">
        <f>IF($C229="","",W229-N229)</f>
        <v/>
      </c>
      <c r="Y229" s="7" t="n"/>
      <c r="AA229">
        <f>IF($C229="","",IF($AD229=1,Settings!$C$6,Settings!$C$7)*100)</f>
        <v/>
      </c>
      <c r="AB229">
        <f>IF($C229="","",IF(COUNTIF($C$2:$C229,$C229)=1,1,0))</f>
        <v/>
      </c>
      <c r="AC229">
        <f>IF($AB229=1,SUMPRODUCT(--($AE$2:$AE$501&lt;$AE229))+1,"")</f>
        <v/>
      </c>
      <c r="AD229">
        <f>IF($C229="","",IF(OR($Z229=TRUE(),$Z229="TRUE"),0,1))</f>
        <v/>
      </c>
      <c r="AE229">
        <f>IF($AB229=1,IFERROR(IF(VALUE($C229)&lt;100000000,VALUE($C229),1000000000),IFERROR(IF(VALUE(MID($C229,2,20))&lt;100000000,VALUE(MID($C229,2,20)),1000000000),1000000000))+ROW()/100000,"")</f>
        <v/>
      </c>
    </row>
    <row r="230">
      <c r="G230" s="7" t="n"/>
      <c r="H230" s="7" t="n"/>
      <c r="N230" s="7">
        <f>IF($C230="","",M230*Y230/100)</f>
        <v/>
      </c>
      <c r="O230" s="11" t="n"/>
      <c r="T230" s="7" t="n"/>
      <c r="V230" s="7">
        <f>IF($C230="","",Y230*AA230/100)</f>
        <v/>
      </c>
      <c r="W230" s="7">
        <f>IF($C230="","",Y230-V230)</f>
        <v/>
      </c>
      <c r="X230" s="7">
        <f>IF($C230="","",W230-N230)</f>
        <v/>
      </c>
      <c r="Y230" s="7" t="n"/>
      <c r="AA230">
        <f>IF($C230="","",IF($AD230=1,Settings!$C$6,Settings!$C$7)*100)</f>
        <v/>
      </c>
      <c r="AB230">
        <f>IF($C230="","",IF(COUNTIF($C$2:$C230,$C230)=1,1,0))</f>
        <v/>
      </c>
      <c r="AC230">
        <f>IF($AB230=1,SUMPRODUCT(--($AE$2:$AE$501&lt;$AE230))+1,"")</f>
        <v/>
      </c>
      <c r="AD230">
        <f>IF($C230="","",IF(OR($Z230=TRUE(),$Z230="TRUE"),0,1))</f>
        <v/>
      </c>
      <c r="AE230">
        <f>IF($AB230=1,IFERROR(IF(VALUE($C230)&lt;100000000,VALUE($C230),1000000000),IFERROR(IF(VALUE(MID($C230,2,20))&lt;100000000,VALUE(MID($C230,2,20)),1000000000),1000000000))+ROW()/100000,"")</f>
        <v/>
      </c>
    </row>
    <row r="231">
      <c r="G231" s="7" t="n"/>
      <c r="H231" s="7" t="n"/>
      <c r="N231" s="7">
        <f>IF($C231="","",M231*Y231/100)</f>
        <v/>
      </c>
      <c r="O231" s="11" t="n"/>
      <c r="T231" s="7" t="n"/>
      <c r="V231" s="7">
        <f>IF($C231="","",Y231*AA231/100)</f>
        <v/>
      </c>
      <c r="W231" s="7">
        <f>IF($C231="","",Y231-V231)</f>
        <v/>
      </c>
      <c r="X231" s="7">
        <f>IF($C231="","",W231-N231)</f>
        <v/>
      </c>
      <c r="Y231" s="7" t="n"/>
      <c r="AA231">
        <f>IF($C231="","",IF($AD231=1,Settings!$C$6,Settings!$C$7)*100)</f>
        <v/>
      </c>
      <c r="AB231">
        <f>IF($C231="","",IF(COUNTIF($C$2:$C231,$C231)=1,1,0))</f>
        <v/>
      </c>
      <c r="AC231">
        <f>IF($AB231=1,SUMPRODUCT(--($AE$2:$AE$501&lt;$AE231))+1,"")</f>
        <v/>
      </c>
      <c r="AD231">
        <f>IF($C231="","",IF(OR($Z231=TRUE(),$Z231="TRUE"),0,1))</f>
        <v/>
      </c>
      <c r="AE231">
        <f>IF($AB231=1,IFERROR(IF(VALUE($C231)&lt;100000000,VALUE($C231),1000000000),IFERROR(IF(VALUE(MID($C231,2,20))&lt;100000000,VALUE(MID($C231,2,20)),1000000000),1000000000))+ROW()/100000,"")</f>
        <v/>
      </c>
    </row>
    <row r="232">
      <c r="G232" s="7" t="n"/>
      <c r="H232" s="7" t="n"/>
      <c r="N232" s="7">
        <f>IF($C232="","",M232*Y232/100)</f>
        <v/>
      </c>
      <c r="O232" s="11" t="n"/>
      <c r="T232" s="7" t="n"/>
      <c r="V232" s="7">
        <f>IF($C232="","",Y232*AA232/100)</f>
        <v/>
      </c>
      <c r="W232" s="7">
        <f>IF($C232="","",Y232-V232)</f>
        <v/>
      </c>
      <c r="X232" s="7">
        <f>IF($C232="","",W232-N232)</f>
        <v/>
      </c>
      <c r="Y232" s="7" t="n"/>
      <c r="AA232">
        <f>IF($C232="","",IF($AD232=1,Settings!$C$6,Settings!$C$7)*100)</f>
        <v/>
      </c>
      <c r="AB232">
        <f>IF($C232="","",IF(COUNTIF($C$2:$C232,$C232)=1,1,0))</f>
        <v/>
      </c>
      <c r="AC232">
        <f>IF($AB232=1,SUMPRODUCT(--($AE$2:$AE$501&lt;$AE232))+1,"")</f>
        <v/>
      </c>
      <c r="AD232">
        <f>IF($C232="","",IF(OR($Z232=TRUE(),$Z232="TRUE"),0,1))</f>
        <v/>
      </c>
      <c r="AE232">
        <f>IF($AB232=1,IFERROR(IF(VALUE($C232)&lt;100000000,VALUE($C232),1000000000),IFERROR(IF(VALUE(MID($C232,2,20))&lt;100000000,VALUE(MID($C232,2,20)),1000000000),1000000000))+ROW()/100000,"")</f>
        <v/>
      </c>
    </row>
    <row r="233">
      <c r="G233" s="7" t="n"/>
      <c r="H233" s="7" t="n"/>
      <c r="N233" s="7">
        <f>IF($C233="","",M233*Y233/100)</f>
        <v/>
      </c>
      <c r="O233" s="11" t="n"/>
      <c r="T233" s="7" t="n"/>
      <c r="V233" s="7">
        <f>IF($C233="","",Y233*AA233/100)</f>
        <v/>
      </c>
      <c r="W233" s="7">
        <f>IF($C233="","",Y233-V233)</f>
        <v/>
      </c>
      <c r="X233" s="7">
        <f>IF($C233="","",W233-N233)</f>
        <v/>
      </c>
      <c r="Y233" s="7" t="n"/>
      <c r="AA233">
        <f>IF($C233="","",IF($AD233=1,Settings!$C$6,Settings!$C$7)*100)</f>
        <v/>
      </c>
      <c r="AB233">
        <f>IF($C233="","",IF(COUNTIF($C$2:$C233,$C233)=1,1,0))</f>
        <v/>
      </c>
      <c r="AC233">
        <f>IF($AB233=1,SUMPRODUCT(--($AE$2:$AE$501&lt;$AE233))+1,"")</f>
        <v/>
      </c>
      <c r="AD233">
        <f>IF($C233="","",IF(OR($Z233=TRUE(),$Z233="TRUE"),0,1))</f>
        <v/>
      </c>
      <c r="AE233">
        <f>IF($AB233=1,IFERROR(IF(VALUE($C233)&lt;100000000,VALUE($C233),1000000000),IFERROR(IF(VALUE(MID($C233,2,20))&lt;100000000,VALUE(MID($C233,2,20)),1000000000),1000000000))+ROW()/100000,"")</f>
        <v/>
      </c>
    </row>
    <row r="234">
      <c r="G234" s="7" t="n"/>
      <c r="H234" s="7" t="n"/>
      <c r="N234" s="7">
        <f>IF($C234="","",M234*Y234/100)</f>
        <v/>
      </c>
      <c r="O234" s="11" t="n"/>
      <c r="T234" s="7" t="n"/>
      <c r="V234" s="7">
        <f>IF($C234="","",Y234*AA234/100)</f>
        <v/>
      </c>
      <c r="W234" s="7">
        <f>IF($C234="","",Y234-V234)</f>
        <v/>
      </c>
      <c r="X234" s="7">
        <f>IF($C234="","",W234-N234)</f>
        <v/>
      </c>
      <c r="Y234" s="7" t="n"/>
      <c r="AA234">
        <f>IF($C234="","",IF($AD234=1,Settings!$C$6,Settings!$C$7)*100)</f>
        <v/>
      </c>
      <c r="AB234">
        <f>IF($C234="","",IF(COUNTIF($C$2:$C234,$C234)=1,1,0))</f>
        <v/>
      </c>
      <c r="AC234">
        <f>IF($AB234=1,SUMPRODUCT(--($AE$2:$AE$501&lt;$AE234))+1,"")</f>
        <v/>
      </c>
      <c r="AD234">
        <f>IF($C234="","",IF(OR($Z234=TRUE(),$Z234="TRUE"),0,1))</f>
        <v/>
      </c>
      <c r="AE234">
        <f>IF($AB234=1,IFERROR(IF(VALUE($C234)&lt;100000000,VALUE($C234),1000000000),IFERROR(IF(VALUE(MID($C234,2,20))&lt;100000000,VALUE(MID($C234,2,20)),1000000000),1000000000))+ROW()/100000,"")</f>
        <v/>
      </c>
    </row>
    <row r="235">
      <c r="G235" s="7" t="n"/>
      <c r="H235" s="7" t="n"/>
      <c r="N235" s="7">
        <f>IF($C235="","",M235*Y235/100)</f>
        <v/>
      </c>
      <c r="O235" s="11" t="n"/>
      <c r="T235" s="7" t="n"/>
      <c r="V235" s="7">
        <f>IF($C235="","",Y235*AA235/100)</f>
        <v/>
      </c>
      <c r="W235" s="7">
        <f>IF($C235="","",Y235-V235)</f>
        <v/>
      </c>
      <c r="X235" s="7">
        <f>IF($C235="","",W235-N235)</f>
        <v/>
      </c>
      <c r="Y235" s="7" t="n"/>
      <c r="AA235">
        <f>IF($C235="","",IF($AD235=1,Settings!$C$6,Settings!$C$7)*100)</f>
        <v/>
      </c>
      <c r="AB235">
        <f>IF($C235="","",IF(COUNTIF($C$2:$C235,$C235)=1,1,0))</f>
        <v/>
      </c>
      <c r="AC235">
        <f>IF($AB235=1,SUMPRODUCT(--($AE$2:$AE$501&lt;$AE235))+1,"")</f>
        <v/>
      </c>
      <c r="AD235">
        <f>IF($C235="","",IF(OR($Z235=TRUE(),$Z235="TRUE"),0,1))</f>
        <v/>
      </c>
      <c r="AE235">
        <f>IF($AB235=1,IFERROR(IF(VALUE($C235)&lt;100000000,VALUE($C235),1000000000),IFERROR(IF(VALUE(MID($C235,2,20))&lt;100000000,VALUE(MID($C235,2,20)),1000000000),1000000000))+ROW()/100000,"")</f>
        <v/>
      </c>
    </row>
    <row r="236">
      <c r="G236" s="7" t="n"/>
      <c r="H236" s="7" t="n"/>
      <c r="N236" s="7">
        <f>IF($C236="","",M236*Y236/100)</f>
        <v/>
      </c>
      <c r="O236" s="11" t="n"/>
      <c r="T236" s="7" t="n"/>
      <c r="V236" s="7">
        <f>IF($C236="","",Y236*AA236/100)</f>
        <v/>
      </c>
      <c r="W236" s="7">
        <f>IF($C236="","",Y236-V236)</f>
        <v/>
      </c>
      <c r="X236" s="7">
        <f>IF($C236="","",W236-N236)</f>
        <v/>
      </c>
      <c r="Y236" s="7" t="n"/>
      <c r="AA236">
        <f>IF($C236="","",IF($AD236=1,Settings!$C$6,Settings!$C$7)*100)</f>
        <v/>
      </c>
      <c r="AB236">
        <f>IF($C236="","",IF(COUNTIF($C$2:$C236,$C236)=1,1,0))</f>
        <v/>
      </c>
      <c r="AC236">
        <f>IF($AB236=1,SUMPRODUCT(--($AE$2:$AE$501&lt;$AE236))+1,"")</f>
        <v/>
      </c>
      <c r="AD236">
        <f>IF($C236="","",IF(OR($Z236=TRUE(),$Z236="TRUE"),0,1))</f>
        <v/>
      </c>
      <c r="AE236">
        <f>IF($AB236=1,IFERROR(IF(VALUE($C236)&lt;100000000,VALUE($C236),1000000000),IFERROR(IF(VALUE(MID($C236,2,20))&lt;100000000,VALUE(MID($C236,2,20)),1000000000),1000000000))+ROW()/100000,"")</f>
        <v/>
      </c>
    </row>
    <row r="237">
      <c r="G237" s="7" t="n"/>
      <c r="H237" s="7" t="n"/>
      <c r="N237" s="7">
        <f>IF($C237="","",M237*Y237/100)</f>
        <v/>
      </c>
      <c r="O237" s="11" t="n"/>
      <c r="T237" s="7" t="n"/>
      <c r="V237" s="7">
        <f>IF($C237="","",Y237*AA237/100)</f>
        <v/>
      </c>
      <c r="W237" s="7">
        <f>IF($C237="","",Y237-V237)</f>
        <v/>
      </c>
      <c r="X237" s="7">
        <f>IF($C237="","",W237-N237)</f>
        <v/>
      </c>
      <c r="Y237" s="7" t="n"/>
      <c r="AA237">
        <f>IF($C237="","",IF($AD237=1,Settings!$C$6,Settings!$C$7)*100)</f>
        <v/>
      </c>
      <c r="AB237">
        <f>IF($C237="","",IF(COUNTIF($C$2:$C237,$C237)=1,1,0))</f>
        <v/>
      </c>
      <c r="AC237">
        <f>IF($AB237=1,SUMPRODUCT(--($AE$2:$AE$501&lt;$AE237))+1,"")</f>
        <v/>
      </c>
      <c r="AD237">
        <f>IF($C237="","",IF(OR($Z237=TRUE(),$Z237="TRUE"),0,1))</f>
        <v/>
      </c>
      <c r="AE237">
        <f>IF($AB237=1,IFERROR(IF(VALUE($C237)&lt;100000000,VALUE($C237),1000000000),IFERROR(IF(VALUE(MID($C237,2,20))&lt;100000000,VALUE(MID($C237,2,20)),1000000000),1000000000))+ROW()/100000,"")</f>
        <v/>
      </c>
    </row>
    <row r="238">
      <c r="G238" s="7" t="n"/>
      <c r="H238" s="7" t="n"/>
      <c r="N238" s="7">
        <f>IF($C238="","",M238*Y238/100)</f>
        <v/>
      </c>
      <c r="O238" s="11" t="n"/>
      <c r="T238" s="7" t="n"/>
      <c r="V238" s="7">
        <f>IF($C238="","",Y238*AA238/100)</f>
        <v/>
      </c>
      <c r="W238" s="7">
        <f>IF($C238="","",Y238-V238)</f>
        <v/>
      </c>
      <c r="X238" s="7">
        <f>IF($C238="","",W238-N238)</f>
        <v/>
      </c>
      <c r="Y238" s="7" t="n"/>
      <c r="AA238">
        <f>IF($C238="","",IF($AD238=1,Settings!$C$6,Settings!$C$7)*100)</f>
        <v/>
      </c>
      <c r="AB238">
        <f>IF($C238="","",IF(COUNTIF($C$2:$C238,$C238)=1,1,0))</f>
        <v/>
      </c>
      <c r="AC238">
        <f>IF($AB238=1,SUMPRODUCT(--($AE$2:$AE$501&lt;$AE238))+1,"")</f>
        <v/>
      </c>
      <c r="AD238">
        <f>IF($C238="","",IF(OR($Z238=TRUE(),$Z238="TRUE"),0,1))</f>
        <v/>
      </c>
      <c r="AE238">
        <f>IF($AB238=1,IFERROR(IF(VALUE($C238)&lt;100000000,VALUE($C238),1000000000),IFERROR(IF(VALUE(MID($C238,2,20))&lt;100000000,VALUE(MID($C238,2,20)),1000000000),1000000000))+ROW()/100000,"")</f>
        <v/>
      </c>
    </row>
    <row r="239">
      <c r="G239" s="7" t="n"/>
      <c r="H239" s="7" t="n"/>
      <c r="N239" s="7">
        <f>IF($C239="","",M239*Y239/100)</f>
        <v/>
      </c>
      <c r="O239" s="11" t="n"/>
      <c r="T239" s="7" t="n"/>
      <c r="V239" s="7">
        <f>IF($C239="","",Y239*AA239/100)</f>
        <v/>
      </c>
      <c r="W239" s="7">
        <f>IF($C239="","",Y239-V239)</f>
        <v/>
      </c>
      <c r="X239" s="7">
        <f>IF($C239="","",W239-N239)</f>
        <v/>
      </c>
      <c r="Y239" s="7" t="n"/>
      <c r="AA239">
        <f>IF($C239="","",IF($AD239=1,Settings!$C$6,Settings!$C$7)*100)</f>
        <v/>
      </c>
      <c r="AB239">
        <f>IF($C239="","",IF(COUNTIF($C$2:$C239,$C239)=1,1,0))</f>
        <v/>
      </c>
      <c r="AC239">
        <f>IF($AB239=1,SUMPRODUCT(--($AE$2:$AE$501&lt;$AE239))+1,"")</f>
        <v/>
      </c>
      <c r="AD239">
        <f>IF($C239="","",IF(OR($Z239=TRUE(),$Z239="TRUE"),0,1))</f>
        <v/>
      </c>
      <c r="AE239">
        <f>IF($AB239=1,IFERROR(IF(VALUE($C239)&lt;100000000,VALUE($C239),1000000000),IFERROR(IF(VALUE(MID($C239,2,20))&lt;100000000,VALUE(MID($C239,2,20)),1000000000),1000000000))+ROW()/100000,"")</f>
        <v/>
      </c>
    </row>
    <row r="240">
      <c r="G240" s="7" t="n"/>
      <c r="H240" s="7" t="n"/>
      <c r="N240" s="7">
        <f>IF($C240="","",M240*Y240/100)</f>
        <v/>
      </c>
      <c r="O240" s="11" t="n"/>
      <c r="T240" s="7" t="n"/>
      <c r="V240" s="7">
        <f>IF($C240="","",Y240*AA240/100)</f>
        <v/>
      </c>
      <c r="W240" s="7">
        <f>IF($C240="","",Y240-V240)</f>
        <v/>
      </c>
      <c r="X240" s="7">
        <f>IF($C240="","",W240-N240)</f>
        <v/>
      </c>
      <c r="Y240" s="7" t="n"/>
      <c r="AA240">
        <f>IF($C240="","",IF($AD240=1,Settings!$C$6,Settings!$C$7)*100)</f>
        <v/>
      </c>
      <c r="AB240">
        <f>IF($C240="","",IF(COUNTIF($C$2:$C240,$C240)=1,1,0))</f>
        <v/>
      </c>
      <c r="AC240">
        <f>IF($AB240=1,SUMPRODUCT(--($AE$2:$AE$501&lt;$AE240))+1,"")</f>
        <v/>
      </c>
      <c r="AD240">
        <f>IF($C240="","",IF(OR($Z240=TRUE(),$Z240="TRUE"),0,1))</f>
        <v/>
      </c>
      <c r="AE240">
        <f>IF($AB240=1,IFERROR(IF(VALUE($C240)&lt;100000000,VALUE($C240),1000000000),IFERROR(IF(VALUE(MID($C240,2,20))&lt;100000000,VALUE(MID($C240,2,20)),1000000000),1000000000))+ROW()/100000,"")</f>
        <v/>
      </c>
    </row>
    <row r="241">
      <c r="G241" s="7" t="n"/>
      <c r="H241" s="7" t="n"/>
      <c r="N241" s="7">
        <f>IF($C241="","",M241*Y241/100)</f>
        <v/>
      </c>
      <c r="O241" s="11" t="n"/>
      <c r="T241" s="7" t="n"/>
      <c r="V241" s="7">
        <f>IF($C241="","",Y241*AA241/100)</f>
        <v/>
      </c>
      <c r="W241" s="7">
        <f>IF($C241="","",Y241-V241)</f>
        <v/>
      </c>
      <c r="X241" s="7">
        <f>IF($C241="","",W241-N241)</f>
        <v/>
      </c>
      <c r="Y241" s="7" t="n"/>
      <c r="AA241">
        <f>IF($C241="","",IF($AD241=1,Settings!$C$6,Settings!$C$7)*100)</f>
        <v/>
      </c>
      <c r="AB241">
        <f>IF($C241="","",IF(COUNTIF($C$2:$C241,$C241)=1,1,0))</f>
        <v/>
      </c>
      <c r="AC241">
        <f>IF($AB241=1,SUMPRODUCT(--($AE$2:$AE$501&lt;$AE241))+1,"")</f>
        <v/>
      </c>
      <c r="AD241">
        <f>IF($C241="","",IF(OR($Z241=TRUE(),$Z241="TRUE"),0,1))</f>
        <v/>
      </c>
      <c r="AE241">
        <f>IF($AB241=1,IFERROR(IF(VALUE($C241)&lt;100000000,VALUE($C241),1000000000),IFERROR(IF(VALUE(MID($C241,2,20))&lt;100000000,VALUE(MID($C241,2,20)),1000000000),1000000000))+ROW()/100000,"")</f>
        <v/>
      </c>
    </row>
    <row r="242">
      <c r="G242" s="7" t="n"/>
      <c r="H242" s="7" t="n"/>
      <c r="N242" s="7">
        <f>IF($C242="","",M242*Y242/100)</f>
        <v/>
      </c>
      <c r="O242" s="11" t="n"/>
      <c r="T242" s="7" t="n"/>
      <c r="V242" s="7">
        <f>IF($C242="","",Y242*AA242/100)</f>
        <v/>
      </c>
      <c r="W242" s="7">
        <f>IF($C242="","",Y242-V242)</f>
        <v/>
      </c>
      <c r="X242" s="7">
        <f>IF($C242="","",W242-N242)</f>
        <v/>
      </c>
      <c r="Y242" s="7" t="n"/>
      <c r="AA242">
        <f>IF($C242="","",IF($AD242=1,Settings!$C$6,Settings!$C$7)*100)</f>
        <v/>
      </c>
      <c r="AB242">
        <f>IF($C242="","",IF(COUNTIF($C$2:$C242,$C242)=1,1,0))</f>
        <v/>
      </c>
      <c r="AC242">
        <f>IF($AB242=1,SUMPRODUCT(--($AE$2:$AE$501&lt;$AE242))+1,"")</f>
        <v/>
      </c>
      <c r="AD242">
        <f>IF($C242="","",IF(OR($Z242=TRUE(),$Z242="TRUE"),0,1))</f>
        <v/>
      </c>
      <c r="AE242">
        <f>IF($AB242=1,IFERROR(IF(VALUE($C242)&lt;100000000,VALUE($C242),1000000000),IFERROR(IF(VALUE(MID($C242,2,20))&lt;100000000,VALUE(MID($C242,2,20)),1000000000),1000000000))+ROW()/100000,"")</f>
        <v/>
      </c>
    </row>
    <row r="243">
      <c r="G243" s="7" t="n"/>
      <c r="H243" s="7" t="n"/>
      <c r="N243" s="7">
        <f>IF($C243="","",M243*Y243/100)</f>
        <v/>
      </c>
      <c r="O243" s="11" t="n"/>
      <c r="T243" s="7" t="n"/>
      <c r="V243" s="7">
        <f>IF($C243="","",Y243*AA243/100)</f>
        <v/>
      </c>
      <c r="W243" s="7">
        <f>IF($C243="","",Y243-V243)</f>
        <v/>
      </c>
      <c r="X243" s="7">
        <f>IF($C243="","",W243-N243)</f>
        <v/>
      </c>
      <c r="Y243" s="7" t="n"/>
      <c r="AA243">
        <f>IF($C243="","",IF($AD243=1,Settings!$C$6,Settings!$C$7)*100)</f>
        <v/>
      </c>
      <c r="AB243">
        <f>IF($C243="","",IF(COUNTIF($C$2:$C243,$C243)=1,1,0))</f>
        <v/>
      </c>
      <c r="AC243">
        <f>IF($AB243=1,SUMPRODUCT(--($AE$2:$AE$501&lt;$AE243))+1,"")</f>
        <v/>
      </c>
      <c r="AD243">
        <f>IF($C243="","",IF(OR($Z243=TRUE(),$Z243="TRUE"),0,1))</f>
        <v/>
      </c>
      <c r="AE243">
        <f>IF($AB243=1,IFERROR(IF(VALUE($C243)&lt;100000000,VALUE($C243),1000000000),IFERROR(IF(VALUE(MID($C243,2,20))&lt;100000000,VALUE(MID($C243,2,20)),1000000000),1000000000))+ROW()/100000,"")</f>
        <v/>
      </c>
    </row>
    <row r="244">
      <c r="G244" s="7" t="n"/>
      <c r="H244" s="7" t="n"/>
      <c r="N244" s="7">
        <f>IF($C244="","",M244*Y244/100)</f>
        <v/>
      </c>
      <c r="O244" s="11" t="n"/>
      <c r="T244" s="7" t="n"/>
      <c r="V244" s="7">
        <f>IF($C244="","",Y244*AA244/100)</f>
        <v/>
      </c>
      <c r="W244" s="7">
        <f>IF($C244="","",Y244-V244)</f>
        <v/>
      </c>
      <c r="X244" s="7">
        <f>IF($C244="","",W244-N244)</f>
        <v/>
      </c>
      <c r="Y244" s="7" t="n"/>
      <c r="AA244">
        <f>IF($C244="","",IF($AD244=1,Settings!$C$6,Settings!$C$7)*100)</f>
        <v/>
      </c>
      <c r="AB244">
        <f>IF($C244="","",IF(COUNTIF($C$2:$C244,$C244)=1,1,0))</f>
        <v/>
      </c>
      <c r="AC244">
        <f>IF($AB244=1,SUMPRODUCT(--($AE$2:$AE$501&lt;$AE244))+1,"")</f>
        <v/>
      </c>
      <c r="AD244">
        <f>IF($C244="","",IF(OR($Z244=TRUE(),$Z244="TRUE"),0,1))</f>
        <v/>
      </c>
      <c r="AE244">
        <f>IF($AB244=1,IFERROR(IF(VALUE($C244)&lt;100000000,VALUE($C244),1000000000),IFERROR(IF(VALUE(MID($C244,2,20))&lt;100000000,VALUE(MID($C244,2,20)),1000000000),1000000000))+ROW()/100000,"")</f>
        <v/>
      </c>
    </row>
    <row r="245">
      <c r="G245" s="7" t="n"/>
      <c r="H245" s="7" t="n"/>
      <c r="N245" s="7">
        <f>IF($C245="","",M245*Y245/100)</f>
        <v/>
      </c>
      <c r="O245" s="11" t="n"/>
      <c r="T245" s="7" t="n"/>
      <c r="V245" s="7">
        <f>IF($C245="","",Y245*AA245/100)</f>
        <v/>
      </c>
      <c r="W245" s="7">
        <f>IF($C245="","",Y245-V245)</f>
        <v/>
      </c>
      <c r="X245" s="7">
        <f>IF($C245="","",W245-N245)</f>
        <v/>
      </c>
      <c r="Y245" s="7" t="n"/>
      <c r="AA245">
        <f>IF($C245="","",IF($AD245=1,Settings!$C$6,Settings!$C$7)*100)</f>
        <v/>
      </c>
      <c r="AB245">
        <f>IF($C245="","",IF(COUNTIF($C$2:$C245,$C245)=1,1,0))</f>
        <v/>
      </c>
      <c r="AC245">
        <f>IF($AB245=1,SUMPRODUCT(--($AE$2:$AE$501&lt;$AE245))+1,"")</f>
        <v/>
      </c>
      <c r="AD245">
        <f>IF($C245="","",IF(OR($Z245=TRUE(),$Z245="TRUE"),0,1))</f>
        <v/>
      </c>
      <c r="AE245">
        <f>IF($AB245=1,IFERROR(IF(VALUE($C245)&lt;100000000,VALUE($C245),1000000000),IFERROR(IF(VALUE(MID($C245,2,20))&lt;100000000,VALUE(MID($C245,2,20)),1000000000),1000000000))+ROW()/100000,"")</f>
        <v/>
      </c>
    </row>
    <row r="246">
      <c r="G246" s="7" t="n"/>
      <c r="H246" s="7" t="n"/>
      <c r="N246" s="7">
        <f>IF($C246="","",M246*Y246/100)</f>
        <v/>
      </c>
      <c r="O246" s="11" t="n"/>
      <c r="T246" s="7" t="n"/>
      <c r="V246" s="7">
        <f>IF($C246="","",Y246*AA246/100)</f>
        <v/>
      </c>
      <c r="W246" s="7">
        <f>IF($C246="","",Y246-V246)</f>
        <v/>
      </c>
      <c r="X246" s="7">
        <f>IF($C246="","",W246-N246)</f>
        <v/>
      </c>
      <c r="Y246" s="7" t="n"/>
      <c r="AA246">
        <f>IF($C246="","",IF($AD246=1,Settings!$C$6,Settings!$C$7)*100)</f>
        <v/>
      </c>
      <c r="AB246">
        <f>IF($C246="","",IF(COUNTIF($C$2:$C246,$C246)=1,1,0))</f>
        <v/>
      </c>
      <c r="AC246">
        <f>IF($AB246=1,SUMPRODUCT(--($AE$2:$AE$501&lt;$AE246))+1,"")</f>
        <v/>
      </c>
      <c r="AD246">
        <f>IF($C246="","",IF(OR($Z246=TRUE(),$Z246="TRUE"),0,1))</f>
        <v/>
      </c>
      <c r="AE246">
        <f>IF($AB246=1,IFERROR(IF(VALUE($C246)&lt;100000000,VALUE($C246),1000000000),IFERROR(IF(VALUE(MID($C246,2,20))&lt;100000000,VALUE(MID($C246,2,20)),1000000000),1000000000))+ROW()/100000,"")</f>
        <v/>
      </c>
    </row>
    <row r="247">
      <c r="G247" s="7" t="n"/>
      <c r="H247" s="7" t="n"/>
      <c r="N247" s="7">
        <f>IF($C247="","",M247*Y247/100)</f>
        <v/>
      </c>
      <c r="O247" s="11" t="n"/>
      <c r="T247" s="7" t="n"/>
      <c r="V247" s="7">
        <f>IF($C247="","",Y247*AA247/100)</f>
        <v/>
      </c>
      <c r="W247" s="7">
        <f>IF($C247="","",Y247-V247)</f>
        <v/>
      </c>
      <c r="X247" s="7">
        <f>IF($C247="","",W247-N247)</f>
        <v/>
      </c>
      <c r="Y247" s="7" t="n"/>
      <c r="AA247">
        <f>IF($C247="","",IF($AD247=1,Settings!$C$6,Settings!$C$7)*100)</f>
        <v/>
      </c>
      <c r="AB247">
        <f>IF($C247="","",IF(COUNTIF($C$2:$C247,$C247)=1,1,0))</f>
        <v/>
      </c>
      <c r="AC247">
        <f>IF($AB247=1,SUMPRODUCT(--($AE$2:$AE$501&lt;$AE247))+1,"")</f>
        <v/>
      </c>
      <c r="AD247">
        <f>IF($C247="","",IF(OR($Z247=TRUE(),$Z247="TRUE"),0,1))</f>
        <v/>
      </c>
      <c r="AE247">
        <f>IF($AB247=1,IFERROR(IF(VALUE($C247)&lt;100000000,VALUE($C247),1000000000),IFERROR(IF(VALUE(MID($C247,2,20))&lt;100000000,VALUE(MID($C247,2,20)),1000000000),1000000000))+ROW()/100000,"")</f>
        <v/>
      </c>
    </row>
    <row r="248">
      <c r="G248" s="7" t="n"/>
      <c r="H248" s="7" t="n"/>
      <c r="N248" s="7">
        <f>IF($C248="","",M248*Y248/100)</f>
        <v/>
      </c>
      <c r="O248" s="11" t="n"/>
      <c r="T248" s="7" t="n"/>
      <c r="V248" s="7">
        <f>IF($C248="","",Y248*AA248/100)</f>
        <v/>
      </c>
      <c r="W248" s="7">
        <f>IF($C248="","",Y248-V248)</f>
        <v/>
      </c>
      <c r="X248" s="7">
        <f>IF($C248="","",W248-N248)</f>
        <v/>
      </c>
      <c r="Y248" s="7" t="n"/>
      <c r="AA248">
        <f>IF($C248="","",IF($AD248=1,Settings!$C$6,Settings!$C$7)*100)</f>
        <v/>
      </c>
      <c r="AB248">
        <f>IF($C248="","",IF(COUNTIF($C$2:$C248,$C248)=1,1,0))</f>
        <v/>
      </c>
      <c r="AC248">
        <f>IF($AB248=1,SUMPRODUCT(--($AE$2:$AE$501&lt;$AE248))+1,"")</f>
        <v/>
      </c>
      <c r="AD248">
        <f>IF($C248="","",IF(OR($Z248=TRUE(),$Z248="TRUE"),0,1))</f>
        <v/>
      </c>
      <c r="AE248">
        <f>IF($AB248=1,IFERROR(IF(VALUE($C248)&lt;100000000,VALUE($C248),1000000000),IFERROR(IF(VALUE(MID($C248,2,20))&lt;100000000,VALUE(MID($C248,2,20)),1000000000),1000000000))+ROW()/100000,"")</f>
        <v/>
      </c>
    </row>
    <row r="249">
      <c r="G249" s="7" t="n"/>
      <c r="H249" s="7" t="n"/>
      <c r="N249" s="7">
        <f>IF($C249="","",M249*Y249/100)</f>
        <v/>
      </c>
      <c r="O249" s="11" t="n"/>
      <c r="T249" s="7" t="n"/>
      <c r="V249" s="7">
        <f>IF($C249="","",Y249*AA249/100)</f>
        <v/>
      </c>
      <c r="W249" s="7">
        <f>IF($C249="","",Y249-V249)</f>
        <v/>
      </c>
      <c r="X249" s="7">
        <f>IF($C249="","",W249-N249)</f>
        <v/>
      </c>
      <c r="Y249" s="7" t="n"/>
      <c r="AA249">
        <f>IF($C249="","",IF($AD249=1,Settings!$C$6,Settings!$C$7)*100)</f>
        <v/>
      </c>
      <c r="AB249">
        <f>IF($C249="","",IF(COUNTIF($C$2:$C249,$C249)=1,1,0))</f>
        <v/>
      </c>
      <c r="AC249">
        <f>IF($AB249=1,SUMPRODUCT(--($AE$2:$AE$501&lt;$AE249))+1,"")</f>
        <v/>
      </c>
      <c r="AD249">
        <f>IF($C249="","",IF(OR($Z249=TRUE(),$Z249="TRUE"),0,1))</f>
        <v/>
      </c>
      <c r="AE249">
        <f>IF($AB249=1,IFERROR(IF(VALUE($C249)&lt;100000000,VALUE($C249),1000000000),IFERROR(IF(VALUE(MID($C249,2,20))&lt;100000000,VALUE(MID($C249,2,20)),1000000000),1000000000))+ROW()/100000,"")</f>
        <v/>
      </c>
    </row>
    <row r="250">
      <c r="G250" s="7" t="n"/>
      <c r="H250" s="7" t="n"/>
      <c r="N250" s="7">
        <f>IF($C250="","",M250*Y250/100)</f>
        <v/>
      </c>
      <c r="O250" s="11" t="n"/>
      <c r="T250" s="7" t="n"/>
      <c r="V250" s="7">
        <f>IF($C250="","",Y250*AA250/100)</f>
        <v/>
      </c>
      <c r="W250" s="7">
        <f>IF($C250="","",Y250-V250)</f>
        <v/>
      </c>
      <c r="X250" s="7">
        <f>IF($C250="","",W250-N250)</f>
        <v/>
      </c>
      <c r="Y250" s="7" t="n"/>
      <c r="AA250">
        <f>IF($C250="","",IF($AD250=1,Settings!$C$6,Settings!$C$7)*100)</f>
        <v/>
      </c>
      <c r="AB250">
        <f>IF($C250="","",IF(COUNTIF($C$2:$C250,$C250)=1,1,0))</f>
        <v/>
      </c>
      <c r="AC250">
        <f>IF($AB250=1,SUMPRODUCT(--($AE$2:$AE$501&lt;$AE250))+1,"")</f>
        <v/>
      </c>
      <c r="AD250">
        <f>IF($C250="","",IF(OR($Z250=TRUE(),$Z250="TRUE"),0,1))</f>
        <v/>
      </c>
      <c r="AE250">
        <f>IF($AB250=1,IFERROR(IF(VALUE($C250)&lt;100000000,VALUE($C250),1000000000),IFERROR(IF(VALUE(MID($C250,2,20))&lt;100000000,VALUE(MID($C250,2,20)),1000000000),1000000000))+ROW()/100000,"")</f>
        <v/>
      </c>
    </row>
    <row r="251">
      <c r="G251" s="7" t="n"/>
      <c r="H251" s="7" t="n"/>
      <c r="N251" s="7">
        <f>IF($C251="","",M251*Y251/100)</f>
        <v/>
      </c>
      <c r="O251" s="11" t="n"/>
      <c r="T251" s="7" t="n"/>
      <c r="V251" s="7">
        <f>IF($C251="","",Y251*AA251/100)</f>
        <v/>
      </c>
      <c r="W251" s="7">
        <f>IF($C251="","",Y251-V251)</f>
        <v/>
      </c>
      <c r="X251" s="7">
        <f>IF($C251="","",W251-N251)</f>
        <v/>
      </c>
      <c r="Y251" s="7" t="n"/>
      <c r="AA251">
        <f>IF($C251="","",IF($AD251=1,Settings!$C$6,Settings!$C$7)*100)</f>
        <v/>
      </c>
      <c r="AB251">
        <f>IF($C251="","",IF(COUNTIF($C$2:$C251,$C251)=1,1,0))</f>
        <v/>
      </c>
      <c r="AC251">
        <f>IF($AB251=1,SUMPRODUCT(--($AE$2:$AE$501&lt;$AE251))+1,"")</f>
        <v/>
      </c>
      <c r="AD251">
        <f>IF($C251="","",IF(OR($Z251=TRUE(),$Z251="TRUE"),0,1))</f>
        <v/>
      </c>
      <c r="AE251">
        <f>IF($AB251=1,IFERROR(IF(VALUE($C251)&lt;100000000,VALUE($C251),1000000000),IFERROR(IF(VALUE(MID($C251,2,20))&lt;100000000,VALUE(MID($C251,2,20)),1000000000),1000000000))+ROW()/100000,"")</f>
        <v/>
      </c>
    </row>
    <row r="252">
      <c r="G252" s="7" t="n"/>
      <c r="H252" s="7" t="n"/>
      <c r="N252" s="7">
        <f>IF($C252="","",M252*Y252/100)</f>
        <v/>
      </c>
      <c r="O252" s="11" t="n"/>
      <c r="T252" s="7" t="n"/>
      <c r="V252" s="7">
        <f>IF($C252="","",Y252*AA252/100)</f>
        <v/>
      </c>
      <c r="W252" s="7">
        <f>IF($C252="","",Y252-V252)</f>
        <v/>
      </c>
      <c r="X252" s="7">
        <f>IF($C252="","",W252-N252)</f>
        <v/>
      </c>
      <c r="Y252" s="7" t="n"/>
      <c r="AA252">
        <f>IF($C252="","",IF($AD252=1,Settings!$C$6,Settings!$C$7)*100)</f>
        <v/>
      </c>
      <c r="AB252">
        <f>IF($C252="","",IF(COUNTIF($C$2:$C252,$C252)=1,1,0))</f>
        <v/>
      </c>
      <c r="AC252">
        <f>IF($AB252=1,SUMPRODUCT(--($AE$2:$AE$501&lt;$AE252))+1,"")</f>
        <v/>
      </c>
      <c r="AD252">
        <f>IF($C252="","",IF(OR($Z252=TRUE(),$Z252="TRUE"),0,1))</f>
        <v/>
      </c>
      <c r="AE252">
        <f>IF($AB252=1,IFERROR(IF(VALUE($C252)&lt;100000000,VALUE($C252),1000000000),IFERROR(IF(VALUE(MID($C252,2,20))&lt;100000000,VALUE(MID($C252,2,20)),1000000000),1000000000))+ROW()/100000,"")</f>
        <v/>
      </c>
    </row>
    <row r="253">
      <c r="G253" s="7" t="n"/>
      <c r="H253" s="7" t="n"/>
      <c r="N253" s="7">
        <f>IF($C253="","",M253*Y253/100)</f>
        <v/>
      </c>
      <c r="O253" s="11" t="n"/>
      <c r="T253" s="7" t="n"/>
      <c r="V253" s="7">
        <f>IF($C253="","",Y253*AA253/100)</f>
        <v/>
      </c>
      <c r="W253" s="7">
        <f>IF($C253="","",Y253-V253)</f>
        <v/>
      </c>
      <c r="X253" s="7">
        <f>IF($C253="","",W253-N253)</f>
        <v/>
      </c>
      <c r="Y253" s="7" t="n"/>
      <c r="AA253">
        <f>IF($C253="","",IF($AD253=1,Settings!$C$6,Settings!$C$7)*100)</f>
        <v/>
      </c>
      <c r="AB253">
        <f>IF($C253="","",IF(COUNTIF($C$2:$C253,$C253)=1,1,0))</f>
        <v/>
      </c>
      <c r="AC253">
        <f>IF($AB253=1,SUMPRODUCT(--($AE$2:$AE$501&lt;$AE253))+1,"")</f>
        <v/>
      </c>
      <c r="AD253">
        <f>IF($C253="","",IF(OR($Z253=TRUE(),$Z253="TRUE"),0,1))</f>
        <v/>
      </c>
      <c r="AE253">
        <f>IF($AB253=1,IFERROR(IF(VALUE($C253)&lt;100000000,VALUE($C253),1000000000),IFERROR(IF(VALUE(MID($C253,2,20))&lt;100000000,VALUE(MID($C253,2,20)),1000000000),1000000000))+ROW()/100000,"")</f>
        <v/>
      </c>
    </row>
    <row r="254">
      <c r="G254" s="7" t="n"/>
      <c r="H254" s="7" t="n"/>
      <c r="N254" s="7">
        <f>IF($C254="","",M254*Y254/100)</f>
        <v/>
      </c>
      <c r="O254" s="11" t="n"/>
      <c r="T254" s="7" t="n"/>
      <c r="V254" s="7">
        <f>IF($C254="","",Y254*AA254/100)</f>
        <v/>
      </c>
      <c r="W254" s="7">
        <f>IF($C254="","",Y254-V254)</f>
        <v/>
      </c>
      <c r="X254" s="7">
        <f>IF($C254="","",W254-N254)</f>
        <v/>
      </c>
      <c r="Y254" s="7" t="n"/>
      <c r="AA254">
        <f>IF($C254="","",IF($AD254=1,Settings!$C$6,Settings!$C$7)*100)</f>
        <v/>
      </c>
      <c r="AB254">
        <f>IF($C254="","",IF(COUNTIF($C$2:$C254,$C254)=1,1,0))</f>
        <v/>
      </c>
      <c r="AC254">
        <f>IF($AB254=1,SUMPRODUCT(--($AE$2:$AE$501&lt;$AE254))+1,"")</f>
        <v/>
      </c>
      <c r="AD254">
        <f>IF($C254="","",IF(OR($Z254=TRUE(),$Z254="TRUE"),0,1))</f>
        <v/>
      </c>
      <c r="AE254">
        <f>IF($AB254=1,IFERROR(IF(VALUE($C254)&lt;100000000,VALUE($C254),1000000000),IFERROR(IF(VALUE(MID($C254,2,20))&lt;100000000,VALUE(MID($C254,2,20)),1000000000),1000000000))+ROW()/100000,"")</f>
        <v/>
      </c>
    </row>
    <row r="255">
      <c r="G255" s="7" t="n"/>
      <c r="H255" s="7" t="n"/>
      <c r="N255" s="7">
        <f>IF($C255="","",M255*Y255/100)</f>
        <v/>
      </c>
      <c r="O255" s="11" t="n"/>
      <c r="T255" s="7" t="n"/>
      <c r="V255" s="7">
        <f>IF($C255="","",Y255*AA255/100)</f>
        <v/>
      </c>
      <c r="W255" s="7">
        <f>IF($C255="","",Y255-V255)</f>
        <v/>
      </c>
      <c r="X255" s="7">
        <f>IF($C255="","",W255-N255)</f>
        <v/>
      </c>
      <c r="Y255" s="7" t="n"/>
      <c r="AA255">
        <f>IF($C255="","",IF($AD255=1,Settings!$C$6,Settings!$C$7)*100)</f>
        <v/>
      </c>
      <c r="AB255">
        <f>IF($C255="","",IF(COUNTIF($C$2:$C255,$C255)=1,1,0))</f>
        <v/>
      </c>
      <c r="AC255">
        <f>IF($AB255=1,SUMPRODUCT(--($AE$2:$AE$501&lt;$AE255))+1,"")</f>
        <v/>
      </c>
      <c r="AD255">
        <f>IF($C255="","",IF(OR($Z255=TRUE(),$Z255="TRUE"),0,1))</f>
        <v/>
      </c>
      <c r="AE255">
        <f>IF($AB255=1,IFERROR(IF(VALUE($C255)&lt;100000000,VALUE($C255),1000000000),IFERROR(IF(VALUE(MID($C255,2,20))&lt;100000000,VALUE(MID($C255,2,20)),1000000000),1000000000))+ROW()/100000,"")</f>
        <v/>
      </c>
    </row>
    <row r="256">
      <c r="G256" s="7" t="n"/>
      <c r="H256" s="7" t="n"/>
      <c r="N256" s="7">
        <f>IF($C256="","",M256*Y256/100)</f>
        <v/>
      </c>
      <c r="O256" s="11" t="n"/>
      <c r="T256" s="7" t="n"/>
      <c r="V256" s="7">
        <f>IF($C256="","",Y256*AA256/100)</f>
        <v/>
      </c>
      <c r="W256" s="7">
        <f>IF($C256="","",Y256-V256)</f>
        <v/>
      </c>
      <c r="X256" s="7">
        <f>IF($C256="","",W256-N256)</f>
        <v/>
      </c>
      <c r="Y256" s="7" t="n"/>
      <c r="AA256">
        <f>IF($C256="","",IF($AD256=1,Settings!$C$6,Settings!$C$7)*100)</f>
        <v/>
      </c>
      <c r="AB256">
        <f>IF($C256="","",IF(COUNTIF($C$2:$C256,$C256)=1,1,0))</f>
        <v/>
      </c>
      <c r="AC256">
        <f>IF($AB256=1,SUMPRODUCT(--($AE$2:$AE$501&lt;$AE256))+1,"")</f>
        <v/>
      </c>
      <c r="AD256">
        <f>IF($C256="","",IF(OR($Z256=TRUE(),$Z256="TRUE"),0,1))</f>
        <v/>
      </c>
      <c r="AE256">
        <f>IF($AB256=1,IFERROR(IF(VALUE($C256)&lt;100000000,VALUE($C256),1000000000),IFERROR(IF(VALUE(MID($C256,2,20))&lt;100000000,VALUE(MID($C256,2,20)),1000000000),1000000000))+ROW()/100000,"")</f>
        <v/>
      </c>
    </row>
    <row r="257">
      <c r="G257" s="7" t="n"/>
      <c r="H257" s="7" t="n"/>
      <c r="N257" s="7">
        <f>IF($C257="","",M257*Y257/100)</f>
        <v/>
      </c>
      <c r="O257" s="11" t="n"/>
      <c r="T257" s="7" t="n"/>
      <c r="V257" s="7">
        <f>IF($C257="","",Y257*AA257/100)</f>
        <v/>
      </c>
      <c r="W257" s="7">
        <f>IF($C257="","",Y257-V257)</f>
        <v/>
      </c>
      <c r="X257" s="7">
        <f>IF($C257="","",W257-N257)</f>
        <v/>
      </c>
      <c r="Y257" s="7" t="n"/>
      <c r="AA257">
        <f>IF($C257="","",IF($AD257=1,Settings!$C$6,Settings!$C$7)*100)</f>
        <v/>
      </c>
      <c r="AB257">
        <f>IF($C257="","",IF(COUNTIF($C$2:$C257,$C257)=1,1,0))</f>
        <v/>
      </c>
      <c r="AC257">
        <f>IF($AB257=1,SUMPRODUCT(--($AE$2:$AE$501&lt;$AE257))+1,"")</f>
        <v/>
      </c>
      <c r="AD257">
        <f>IF($C257="","",IF(OR($Z257=TRUE(),$Z257="TRUE"),0,1))</f>
        <v/>
      </c>
      <c r="AE257">
        <f>IF($AB257=1,IFERROR(IF(VALUE($C257)&lt;100000000,VALUE($C257),1000000000),IFERROR(IF(VALUE(MID($C257,2,20))&lt;100000000,VALUE(MID($C257,2,20)),1000000000),1000000000))+ROW()/100000,"")</f>
        <v/>
      </c>
    </row>
    <row r="258">
      <c r="G258" s="7" t="n"/>
      <c r="H258" s="7" t="n"/>
      <c r="N258" s="7">
        <f>IF($C258="","",M258*Y258/100)</f>
        <v/>
      </c>
      <c r="O258" s="11" t="n"/>
      <c r="T258" s="7" t="n"/>
      <c r="V258" s="7">
        <f>IF($C258="","",Y258*AA258/100)</f>
        <v/>
      </c>
      <c r="W258" s="7">
        <f>IF($C258="","",Y258-V258)</f>
        <v/>
      </c>
      <c r="X258" s="7">
        <f>IF($C258="","",W258-N258)</f>
        <v/>
      </c>
      <c r="Y258" s="7" t="n"/>
      <c r="AA258">
        <f>IF($C258="","",IF($AD258=1,Settings!$C$6,Settings!$C$7)*100)</f>
        <v/>
      </c>
      <c r="AB258">
        <f>IF($C258="","",IF(COUNTIF($C$2:$C258,$C258)=1,1,0))</f>
        <v/>
      </c>
      <c r="AC258">
        <f>IF($AB258=1,SUMPRODUCT(--($AE$2:$AE$501&lt;$AE258))+1,"")</f>
        <v/>
      </c>
      <c r="AD258">
        <f>IF($C258="","",IF(OR($Z258=TRUE(),$Z258="TRUE"),0,1))</f>
        <v/>
      </c>
      <c r="AE258">
        <f>IF($AB258=1,IFERROR(IF(VALUE($C258)&lt;100000000,VALUE($C258),1000000000),IFERROR(IF(VALUE(MID($C258,2,20))&lt;100000000,VALUE(MID($C258,2,20)),1000000000),1000000000))+ROW()/100000,"")</f>
        <v/>
      </c>
    </row>
    <row r="259">
      <c r="G259" s="7" t="n"/>
      <c r="H259" s="7" t="n"/>
      <c r="N259" s="7">
        <f>IF($C259="","",M259*Y259/100)</f>
        <v/>
      </c>
      <c r="O259" s="11" t="n"/>
      <c r="T259" s="7" t="n"/>
      <c r="V259" s="7">
        <f>IF($C259="","",Y259*AA259/100)</f>
        <v/>
      </c>
      <c r="W259" s="7">
        <f>IF($C259="","",Y259-V259)</f>
        <v/>
      </c>
      <c r="X259" s="7">
        <f>IF($C259="","",W259-N259)</f>
        <v/>
      </c>
      <c r="Y259" s="7" t="n"/>
      <c r="AA259">
        <f>IF($C259="","",IF($AD259=1,Settings!$C$6,Settings!$C$7)*100)</f>
        <v/>
      </c>
      <c r="AB259">
        <f>IF($C259="","",IF(COUNTIF($C$2:$C259,$C259)=1,1,0))</f>
        <v/>
      </c>
      <c r="AC259">
        <f>IF($AB259=1,SUMPRODUCT(--($AE$2:$AE$501&lt;$AE259))+1,"")</f>
        <v/>
      </c>
      <c r="AD259">
        <f>IF($C259="","",IF(OR($Z259=TRUE(),$Z259="TRUE"),0,1))</f>
        <v/>
      </c>
      <c r="AE259">
        <f>IF($AB259=1,IFERROR(IF(VALUE($C259)&lt;100000000,VALUE($C259),1000000000),IFERROR(IF(VALUE(MID($C259,2,20))&lt;100000000,VALUE(MID($C259,2,20)),1000000000),1000000000))+ROW()/100000,"")</f>
        <v/>
      </c>
    </row>
    <row r="260">
      <c r="G260" s="7" t="n"/>
      <c r="H260" s="7" t="n"/>
      <c r="N260" s="7">
        <f>IF($C260="","",M260*Y260/100)</f>
        <v/>
      </c>
      <c r="O260" s="11" t="n"/>
      <c r="T260" s="7" t="n"/>
      <c r="V260" s="7">
        <f>IF($C260="","",Y260*AA260/100)</f>
        <v/>
      </c>
      <c r="W260" s="7">
        <f>IF($C260="","",Y260-V260)</f>
        <v/>
      </c>
      <c r="X260" s="7">
        <f>IF($C260="","",W260-N260)</f>
        <v/>
      </c>
      <c r="Y260" s="7" t="n"/>
      <c r="AA260">
        <f>IF($C260="","",IF($AD260=1,Settings!$C$6,Settings!$C$7)*100)</f>
        <v/>
      </c>
      <c r="AB260">
        <f>IF($C260="","",IF(COUNTIF($C$2:$C260,$C260)=1,1,0))</f>
        <v/>
      </c>
      <c r="AC260">
        <f>IF($AB260=1,SUMPRODUCT(--($AE$2:$AE$501&lt;$AE260))+1,"")</f>
        <v/>
      </c>
      <c r="AD260">
        <f>IF($C260="","",IF(OR($Z260=TRUE(),$Z260="TRUE"),0,1))</f>
        <v/>
      </c>
      <c r="AE260">
        <f>IF($AB260=1,IFERROR(IF(VALUE($C260)&lt;100000000,VALUE($C260),1000000000),IFERROR(IF(VALUE(MID($C260,2,20))&lt;100000000,VALUE(MID($C260,2,20)),1000000000),1000000000))+ROW()/100000,"")</f>
        <v/>
      </c>
    </row>
    <row r="261">
      <c r="G261" s="7" t="n"/>
      <c r="H261" s="7" t="n"/>
      <c r="N261" s="7">
        <f>IF($C261="","",M261*Y261/100)</f>
        <v/>
      </c>
      <c r="O261" s="11" t="n"/>
      <c r="T261" s="7" t="n"/>
      <c r="V261" s="7">
        <f>IF($C261="","",Y261*AA261/100)</f>
        <v/>
      </c>
      <c r="W261" s="7">
        <f>IF($C261="","",Y261-V261)</f>
        <v/>
      </c>
      <c r="X261" s="7">
        <f>IF($C261="","",W261-N261)</f>
        <v/>
      </c>
      <c r="Y261" s="7" t="n"/>
      <c r="AA261">
        <f>IF($C261="","",IF($AD261=1,Settings!$C$6,Settings!$C$7)*100)</f>
        <v/>
      </c>
      <c r="AB261">
        <f>IF($C261="","",IF(COUNTIF($C$2:$C261,$C261)=1,1,0))</f>
        <v/>
      </c>
      <c r="AC261">
        <f>IF($AB261=1,SUMPRODUCT(--($AE$2:$AE$501&lt;$AE261))+1,"")</f>
        <v/>
      </c>
      <c r="AD261">
        <f>IF($C261="","",IF(OR($Z261=TRUE(),$Z261="TRUE"),0,1))</f>
        <v/>
      </c>
      <c r="AE261">
        <f>IF($AB261=1,IFERROR(IF(VALUE($C261)&lt;100000000,VALUE($C261),1000000000),IFERROR(IF(VALUE(MID($C261,2,20))&lt;100000000,VALUE(MID($C261,2,20)),1000000000),1000000000))+ROW()/100000,"")</f>
        <v/>
      </c>
    </row>
    <row r="262">
      <c r="G262" s="7" t="n"/>
      <c r="H262" s="7" t="n"/>
      <c r="N262" s="7">
        <f>IF($C262="","",M262*Y262/100)</f>
        <v/>
      </c>
      <c r="O262" s="11" t="n"/>
      <c r="T262" s="7" t="n"/>
      <c r="V262" s="7">
        <f>IF($C262="","",Y262*AA262/100)</f>
        <v/>
      </c>
      <c r="W262" s="7">
        <f>IF($C262="","",Y262-V262)</f>
        <v/>
      </c>
      <c r="X262" s="7">
        <f>IF($C262="","",W262-N262)</f>
        <v/>
      </c>
      <c r="Y262" s="7" t="n"/>
      <c r="AA262">
        <f>IF($C262="","",IF($AD262=1,Settings!$C$6,Settings!$C$7)*100)</f>
        <v/>
      </c>
      <c r="AB262">
        <f>IF($C262="","",IF(COUNTIF($C$2:$C262,$C262)=1,1,0))</f>
        <v/>
      </c>
      <c r="AC262">
        <f>IF($AB262=1,SUMPRODUCT(--($AE$2:$AE$501&lt;$AE262))+1,"")</f>
        <v/>
      </c>
      <c r="AD262">
        <f>IF($C262="","",IF(OR($Z262=TRUE(),$Z262="TRUE"),0,1))</f>
        <v/>
      </c>
      <c r="AE262">
        <f>IF($AB262=1,IFERROR(IF(VALUE($C262)&lt;100000000,VALUE($C262),1000000000),IFERROR(IF(VALUE(MID($C262,2,20))&lt;100000000,VALUE(MID($C262,2,20)),1000000000),1000000000))+ROW()/100000,"")</f>
        <v/>
      </c>
    </row>
    <row r="263">
      <c r="G263" s="7" t="n"/>
      <c r="H263" s="7" t="n"/>
      <c r="N263" s="7">
        <f>IF($C263="","",M263*Y263/100)</f>
        <v/>
      </c>
      <c r="O263" s="11" t="n"/>
      <c r="T263" s="7" t="n"/>
      <c r="V263" s="7">
        <f>IF($C263="","",Y263*AA263/100)</f>
        <v/>
      </c>
      <c r="W263" s="7">
        <f>IF($C263="","",Y263-V263)</f>
        <v/>
      </c>
      <c r="X263" s="7">
        <f>IF($C263="","",W263-N263)</f>
        <v/>
      </c>
      <c r="Y263" s="7" t="n"/>
      <c r="AA263">
        <f>IF($C263="","",IF($AD263=1,Settings!$C$6,Settings!$C$7)*100)</f>
        <v/>
      </c>
      <c r="AB263">
        <f>IF($C263="","",IF(COUNTIF($C$2:$C263,$C263)=1,1,0))</f>
        <v/>
      </c>
      <c r="AC263">
        <f>IF($AB263=1,SUMPRODUCT(--($AE$2:$AE$501&lt;$AE263))+1,"")</f>
        <v/>
      </c>
      <c r="AD263">
        <f>IF($C263="","",IF(OR($Z263=TRUE(),$Z263="TRUE"),0,1))</f>
        <v/>
      </c>
      <c r="AE263">
        <f>IF($AB263=1,IFERROR(IF(VALUE($C263)&lt;100000000,VALUE($C263),1000000000),IFERROR(IF(VALUE(MID($C263,2,20))&lt;100000000,VALUE(MID($C263,2,20)),1000000000),1000000000))+ROW()/100000,"")</f>
        <v/>
      </c>
    </row>
    <row r="264">
      <c r="G264" s="7" t="n"/>
      <c r="H264" s="7" t="n"/>
      <c r="N264" s="7">
        <f>IF($C264="","",M264*Y264/100)</f>
        <v/>
      </c>
      <c r="O264" s="11" t="n"/>
      <c r="T264" s="7" t="n"/>
      <c r="V264" s="7">
        <f>IF($C264="","",Y264*AA264/100)</f>
        <v/>
      </c>
      <c r="W264" s="7">
        <f>IF($C264="","",Y264-V264)</f>
        <v/>
      </c>
      <c r="X264" s="7">
        <f>IF($C264="","",W264-N264)</f>
        <v/>
      </c>
      <c r="Y264" s="7" t="n"/>
      <c r="AA264">
        <f>IF($C264="","",IF($AD264=1,Settings!$C$6,Settings!$C$7)*100)</f>
        <v/>
      </c>
      <c r="AB264">
        <f>IF($C264="","",IF(COUNTIF($C$2:$C264,$C264)=1,1,0))</f>
        <v/>
      </c>
      <c r="AC264">
        <f>IF($AB264=1,SUMPRODUCT(--($AE$2:$AE$501&lt;$AE264))+1,"")</f>
        <v/>
      </c>
      <c r="AD264">
        <f>IF($C264="","",IF(OR($Z264=TRUE(),$Z264="TRUE"),0,1))</f>
        <v/>
      </c>
      <c r="AE264">
        <f>IF($AB264=1,IFERROR(IF(VALUE($C264)&lt;100000000,VALUE($C264),1000000000),IFERROR(IF(VALUE(MID($C264,2,20))&lt;100000000,VALUE(MID($C264,2,20)),1000000000),1000000000))+ROW()/100000,"")</f>
        <v/>
      </c>
    </row>
    <row r="265">
      <c r="G265" s="7" t="n"/>
      <c r="H265" s="7" t="n"/>
      <c r="N265" s="7">
        <f>IF($C265="","",M265*Y265/100)</f>
        <v/>
      </c>
      <c r="O265" s="11" t="n"/>
      <c r="T265" s="7" t="n"/>
      <c r="V265" s="7">
        <f>IF($C265="","",Y265*AA265/100)</f>
        <v/>
      </c>
      <c r="W265" s="7">
        <f>IF($C265="","",Y265-V265)</f>
        <v/>
      </c>
      <c r="X265" s="7">
        <f>IF($C265="","",W265-N265)</f>
        <v/>
      </c>
      <c r="Y265" s="7" t="n"/>
      <c r="AA265">
        <f>IF($C265="","",IF($AD265=1,Settings!$C$6,Settings!$C$7)*100)</f>
        <v/>
      </c>
      <c r="AB265">
        <f>IF($C265="","",IF(COUNTIF($C$2:$C265,$C265)=1,1,0))</f>
        <v/>
      </c>
      <c r="AC265">
        <f>IF($AB265=1,SUMPRODUCT(--($AE$2:$AE$501&lt;$AE265))+1,"")</f>
        <v/>
      </c>
      <c r="AD265">
        <f>IF($C265="","",IF(OR($Z265=TRUE(),$Z265="TRUE"),0,1))</f>
        <v/>
      </c>
      <c r="AE265">
        <f>IF($AB265=1,IFERROR(IF(VALUE($C265)&lt;100000000,VALUE($C265),1000000000),IFERROR(IF(VALUE(MID($C265,2,20))&lt;100000000,VALUE(MID($C265,2,20)),1000000000),1000000000))+ROW()/100000,"")</f>
        <v/>
      </c>
    </row>
    <row r="266">
      <c r="G266" s="7" t="n"/>
      <c r="H266" s="7" t="n"/>
      <c r="N266" s="7">
        <f>IF($C266="","",M266*Y266/100)</f>
        <v/>
      </c>
      <c r="O266" s="11" t="n"/>
      <c r="T266" s="7" t="n"/>
      <c r="V266" s="7">
        <f>IF($C266="","",Y266*AA266/100)</f>
        <v/>
      </c>
      <c r="W266" s="7">
        <f>IF($C266="","",Y266-V266)</f>
        <v/>
      </c>
      <c r="X266" s="7">
        <f>IF($C266="","",W266-N266)</f>
        <v/>
      </c>
      <c r="Y266" s="7" t="n"/>
      <c r="AA266">
        <f>IF($C266="","",IF($AD266=1,Settings!$C$6,Settings!$C$7)*100)</f>
        <v/>
      </c>
      <c r="AB266">
        <f>IF($C266="","",IF(COUNTIF($C$2:$C266,$C266)=1,1,0))</f>
        <v/>
      </c>
      <c r="AC266">
        <f>IF($AB266=1,SUMPRODUCT(--($AE$2:$AE$501&lt;$AE266))+1,"")</f>
        <v/>
      </c>
      <c r="AD266">
        <f>IF($C266="","",IF(OR($Z266=TRUE(),$Z266="TRUE"),0,1))</f>
        <v/>
      </c>
      <c r="AE266">
        <f>IF($AB266=1,IFERROR(IF(VALUE($C266)&lt;100000000,VALUE($C266),1000000000),IFERROR(IF(VALUE(MID($C266,2,20))&lt;100000000,VALUE(MID($C266,2,20)),1000000000),1000000000))+ROW()/100000,"")</f>
        <v/>
      </c>
    </row>
    <row r="267">
      <c r="G267" s="7" t="n"/>
      <c r="H267" s="7" t="n"/>
      <c r="N267" s="7">
        <f>IF($C267="","",M267*Y267/100)</f>
        <v/>
      </c>
      <c r="O267" s="11" t="n"/>
      <c r="T267" s="7" t="n"/>
      <c r="V267" s="7">
        <f>IF($C267="","",Y267*AA267/100)</f>
        <v/>
      </c>
      <c r="W267" s="7">
        <f>IF($C267="","",Y267-V267)</f>
        <v/>
      </c>
      <c r="X267" s="7">
        <f>IF($C267="","",W267-N267)</f>
        <v/>
      </c>
      <c r="Y267" s="7" t="n"/>
      <c r="AA267">
        <f>IF($C267="","",IF($AD267=1,Settings!$C$6,Settings!$C$7)*100)</f>
        <v/>
      </c>
      <c r="AB267">
        <f>IF($C267="","",IF(COUNTIF($C$2:$C267,$C267)=1,1,0))</f>
        <v/>
      </c>
      <c r="AC267">
        <f>IF($AB267=1,SUMPRODUCT(--($AE$2:$AE$501&lt;$AE267))+1,"")</f>
        <v/>
      </c>
      <c r="AD267">
        <f>IF($C267="","",IF(OR($Z267=TRUE(),$Z267="TRUE"),0,1))</f>
        <v/>
      </c>
      <c r="AE267">
        <f>IF($AB267=1,IFERROR(IF(VALUE($C267)&lt;100000000,VALUE($C267),1000000000),IFERROR(IF(VALUE(MID($C267,2,20))&lt;100000000,VALUE(MID($C267,2,20)),1000000000),1000000000))+ROW()/100000,"")</f>
        <v/>
      </c>
    </row>
    <row r="268">
      <c r="G268" s="7" t="n"/>
      <c r="H268" s="7" t="n"/>
      <c r="N268" s="7">
        <f>IF($C268="","",M268*Y268/100)</f>
        <v/>
      </c>
      <c r="O268" s="11" t="n"/>
      <c r="T268" s="7" t="n"/>
      <c r="V268" s="7">
        <f>IF($C268="","",Y268*AA268/100)</f>
        <v/>
      </c>
      <c r="W268" s="7">
        <f>IF($C268="","",Y268-V268)</f>
        <v/>
      </c>
      <c r="X268" s="7">
        <f>IF($C268="","",W268-N268)</f>
        <v/>
      </c>
      <c r="Y268" s="7" t="n"/>
      <c r="AA268">
        <f>IF($C268="","",IF($AD268=1,Settings!$C$6,Settings!$C$7)*100)</f>
        <v/>
      </c>
      <c r="AB268">
        <f>IF($C268="","",IF(COUNTIF($C$2:$C268,$C268)=1,1,0))</f>
        <v/>
      </c>
      <c r="AC268">
        <f>IF($AB268=1,SUMPRODUCT(--($AE$2:$AE$501&lt;$AE268))+1,"")</f>
        <v/>
      </c>
      <c r="AD268">
        <f>IF($C268="","",IF(OR($Z268=TRUE(),$Z268="TRUE"),0,1))</f>
        <v/>
      </c>
      <c r="AE268">
        <f>IF($AB268=1,IFERROR(IF(VALUE($C268)&lt;100000000,VALUE($C268),1000000000),IFERROR(IF(VALUE(MID($C268,2,20))&lt;100000000,VALUE(MID($C268,2,20)),1000000000),1000000000))+ROW()/100000,"")</f>
        <v/>
      </c>
    </row>
    <row r="269">
      <c r="G269" s="7" t="n"/>
      <c r="H269" s="7" t="n"/>
      <c r="N269" s="7">
        <f>IF($C269="","",M269*Y269/100)</f>
        <v/>
      </c>
      <c r="O269" s="11" t="n"/>
      <c r="T269" s="7" t="n"/>
      <c r="V269" s="7">
        <f>IF($C269="","",Y269*AA269/100)</f>
        <v/>
      </c>
      <c r="W269" s="7">
        <f>IF($C269="","",Y269-V269)</f>
        <v/>
      </c>
      <c r="X269" s="7">
        <f>IF($C269="","",W269-N269)</f>
        <v/>
      </c>
      <c r="Y269" s="7" t="n"/>
      <c r="AA269">
        <f>IF($C269="","",IF($AD269=1,Settings!$C$6,Settings!$C$7)*100)</f>
        <v/>
      </c>
      <c r="AB269">
        <f>IF($C269="","",IF(COUNTIF($C$2:$C269,$C269)=1,1,0))</f>
        <v/>
      </c>
      <c r="AC269">
        <f>IF($AB269=1,SUMPRODUCT(--($AE$2:$AE$501&lt;$AE269))+1,"")</f>
        <v/>
      </c>
      <c r="AD269">
        <f>IF($C269="","",IF(OR($Z269=TRUE(),$Z269="TRUE"),0,1))</f>
        <v/>
      </c>
      <c r="AE269">
        <f>IF($AB269=1,IFERROR(IF(VALUE($C269)&lt;100000000,VALUE($C269),1000000000),IFERROR(IF(VALUE(MID($C269,2,20))&lt;100000000,VALUE(MID($C269,2,20)),1000000000),1000000000))+ROW()/100000,"")</f>
        <v/>
      </c>
    </row>
    <row r="270">
      <c r="G270" s="7" t="n"/>
      <c r="H270" s="7" t="n"/>
      <c r="N270" s="7">
        <f>IF($C270="","",M270*Y270/100)</f>
        <v/>
      </c>
      <c r="O270" s="11" t="n"/>
      <c r="T270" s="7" t="n"/>
      <c r="V270" s="7">
        <f>IF($C270="","",Y270*AA270/100)</f>
        <v/>
      </c>
      <c r="W270" s="7">
        <f>IF($C270="","",Y270-V270)</f>
        <v/>
      </c>
      <c r="X270" s="7">
        <f>IF($C270="","",W270-N270)</f>
        <v/>
      </c>
      <c r="Y270" s="7" t="n"/>
      <c r="AA270">
        <f>IF($C270="","",IF($AD270=1,Settings!$C$6,Settings!$C$7)*100)</f>
        <v/>
      </c>
      <c r="AB270">
        <f>IF($C270="","",IF(COUNTIF($C$2:$C270,$C270)=1,1,0))</f>
        <v/>
      </c>
      <c r="AC270">
        <f>IF($AB270=1,SUMPRODUCT(--($AE$2:$AE$501&lt;$AE270))+1,"")</f>
        <v/>
      </c>
      <c r="AD270">
        <f>IF($C270="","",IF(OR($Z270=TRUE(),$Z270="TRUE"),0,1))</f>
        <v/>
      </c>
      <c r="AE270">
        <f>IF($AB270=1,IFERROR(IF(VALUE($C270)&lt;100000000,VALUE($C270),1000000000),IFERROR(IF(VALUE(MID($C270,2,20))&lt;100000000,VALUE(MID($C270,2,20)),1000000000),1000000000))+ROW()/100000,"")</f>
        <v/>
      </c>
    </row>
    <row r="271">
      <c r="G271" s="7" t="n"/>
      <c r="H271" s="7" t="n"/>
      <c r="N271" s="7">
        <f>IF($C271="","",M271*Y271/100)</f>
        <v/>
      </c>
      <c r="O271" s="11" t="n"/>
      <c r="T271" s="7" t="n"/>
      <c r="V271" s="7">
        <f>IF($C271="","",Y271*AA271/100)</f>
        <v/>
      </c>
      <c r="W271" s="7">
        <f>IF($C271="","",Y271-V271)</f>
        <v/>
      </c>
      <c r="X271" s="7">
        <f>IF($C271="","",W271-N271)</f>
        <v/>
      </c>
      <c r="Y271" s="7" t="n"/>
      <c r="AA271">
        <f>IF($C271="","",IF($AD271=1,Settings!$C$6,Settings!$C$7)*100)</f>
        <v/>
      </c>
      <c r="AB271">
        <f>IF($C271="","",IF(COUNTIF($C$2:$C271,$C271)=1,1,0))</f>
        <v/>
      </c>
      <c r="AC271">
        <f>IF($AB271=1,SUMPRODUCT(--($AE$2:$AE$501&lt;$AE271))+1,"")</f>
        <v/>
      </c>
      <c r="AD271">
        <f>IF($C271="","",IF(OR($Z271=TRUE(),$Z271="TRUE"),0,1))</f>
        <v/>
      </c>
      <c r="AE271">
        <f>IF($AB271=1,IFERROR(IF(VALUE($C271)&lt;100000000,VALUE($C271),1000000000),IFERROR(IF(VALUE(MID($C271,2,20))&lt;100000000,VALUE(MID($C271,2,20)),1000000000),1000000000))+ROW()/100000,"")</f>
        <v/>
      </c>
    </row>
    <row r="272">
      <c r="G272" s="7" t="n"/>
      <c r="H272" s="7" t="n"/>
      <c r="N272" s="7">
        <f>IF($C272="","",M272*Y272/100)</f>
        <v/>
      </c>
      <c r="O272" s="11" t="n"/>
      <c r="T272" s="7" t="n"/>
      <c r="V272" s="7">
        <f>IF($C272="","",Y272*AA272/100)</f>
        <v/>
      </c>
      <c r="W272" s="7">
        <f>IF($C272="","",Y272-V272)</f>
        <v/>
      </c>
      <c r="X272" s="7">
        <f>IF($C272="","",W272-N272)</f>
        <v/>
      </c>
      <c r="Y272" s="7" t="n"/>
      <c r="AA272">
        <f>IF($C272="","",IF($AD272=1,Settings!$C$6,Settings!$C$7)*100)</f>
        <v/>
      </c>
      <c r="AB272">
        <f>IF($C272="","",IF(COUNTIF($C$2:$C272,$C272)=1,1,0))</f>
        <v/>
      </c>
      <c r="AC272">
        <f>IF($AB272=1,SUMPRODUCT(--($AE$2:$AE$501&lt;$AE272))+1,"")</f>
        <v/>
      </c>
      <c r="AD272">
        <f>IF($C272="","",IF(OR($Z272=TRUE(),$Z272="TRUE"),0,1))</f>
        <v/>
      </c>
      <c r="AE272">
        <f>IF($AB272=1,IFERROR(IF(VALUE($C272)&lt;100000000,VALUE($C272),1000000000),IFERROR(IF(VALUE(MID($C272,2,20))&lt;100000000,VALUE(MID($C272,2,20)),1000000000),1000000000))+ROW()/100000,"")</f>
        <v/>
      </c>
    </row>
    <row r="273">
      <c r="G273" s="7" t="n"/>
      <c r="H273" s="7" t="n"/>
      <c r="N273" s="7">
        <f>IF($C273="","",M273*Y273/100)</f>
        <v/>
      </c>
      <c r="O273" s="11" t="n"/>
      <c r="T273" s="7" t="n"/>
      <c r="V273" s="7">
        <f>IF($C273="","",Y273*AA273/100)</f>
        <v/>
      </c>
      <c r="W273" s="7">
        <f>IF($C273="","",Y273-V273)</f>
        <v/>
      </c>
      <c r="X273" s="7">
        <f>IF($C273="","",W273-N273)</f>
        <v/>
      </c>
      <c r="Y273" s="7" t="n"/>
      <c r="AA273">
        <f>IF($C273="","",IF($AD273=1,Settings!$C$6,Settings!$C$7)*100)</f>
        <v/>
      </c>
      <c r="AB273">
        <f>IF($C273="","",IF(COUNTIF($C$2:$C273,$C273)=1,1,0))</f>
        <v/>
      </c>
      <c r="AC273">
        <f>IF($AB273=1,SUMPRODUCT(--($AE$2:$AE$501&lt;$AE273))+1,"")</f>
        <v/>
      </c>
      <c r="AD273">
        <f>IF($C273="","",IF(OR($Z273=TRUE(),$Z273="TRUE"),0,1))</f>
        <v/>
      </c>
      <c r="AE273">
        <f>IF($AB273=1,IFERROR(IF(VALUE($C273)&lt;100000000,VALUE($C273),1000000000),IFERROR(IF(VALUE(MID($C273,2,20))&lt;100000000,VALUE(MID($C273,2,20)),1000000000),1000000000))+ROW()/100000,"")</f>
        <v/>
      </c>
    </row>
    <row r="274">
      <c r="G274" s="7" t="n"/>
      <c r="H274" s="7" t="n"/>
      <c r="N274" s="7">
        <f>IF($C274="","",M274*Y274/100)</f>
        <v/>
      </c>
      <c r="O274" s="11" t="n"/>
      <c r="T274" s="7" t="n"/>
      <c r="V274" s="7">
        <f>IF($C274="","",Y274*AA274/100)</f>
        <v/>
      </c>
      <c r="W274" s="7">
        <f>IF($C274="","",Y274-V274)</f>
        <v/>
      </c>
      <c r="X274" s="7">
        <f>IF($C274="","",W274-N274)</f>
        <v/>
      </c>
      <c r="Y274" s="7" t="n"/>
      <c r="AA274">
        <f>IF($C274="","",IF($AD274=1,Settings!$C$6,Settings!$C$7)*100)</f>
        <v/>
      </c>
      <c r="AB274">
        <f>IF($C274="","",IF(COUNTIF($C$2:$C274,$C274)=1,1,0))</f>
        <v/>
      </c>
      <c r="AC274">
        <f>IF($AB274=1,SUMPRODUCT(--($AE$2:$AE$501&lt;$AE274))+1,"")</f>
        <v/>
      </c>
      <c r="AD274">
        <f>IF($C274="","",IF(OR($Z274=TRUE(),$Z274="TRUE"),0,1))</f>
        <v/>
      </c>
      <c r="AE274">
        <f>IF($AB274=1,IFERROR(IF(VALUE($C274)&lt;100000000,VALUE($C274),1000000000),IFERROR(IF(VALUE(MID($C274,2,20))&lt;100000000,VALUE(MID($C274,2,20)),1000000000),1000000000))+ROW()/100000,"")</f>
        <v/>
      </c>
    </row>
    <row r="275">
      <c r="G275" s="7" t="n"/>
      <c r="H275" s="7" t="n"/>
      <c r="N275" s="7">
        <f>IF($C275="","",M275*Y275/100)</f>
        <v/>
      </c>
      <c r="O275" s="11" t="n"/>
      <c r="T275" s="7" t="n"/>
      <c r="V275" s="7">
        <f>IF($C275="","",Y275*AA275/100)</f>
        <v/>
      </c>
      <c r="W275" s="7">
        <f>IF($C275="","",Y275-V275)</f>
        <v/>
      </c>
      <c r="X275" s="7">
        <f>IF($C275="","",W275-N275)</f>
        <v/>
      </c>
      <c r="Y275" s="7" t="n"/>
      <c r="AA275">
        <f>IF($C275="","",IF($AD275=1,Settings!$C$6,Settings!$C$7)*100)</f>
        <v/>
      </c>
      <c r="AB275">
        <f>IF($C275="","",IF(COUNTIF($C$2:$C275,$C275)=1,1,0))</f>
        <v/>
      </c>
      <c r="AC275">
        <f>IF($AB275=1,SUMPRODUCT(--($AE$2:$AE$501&lt;$AE275))+1,"")</f>
        <v/>
      </c>
      <c r="AD275">
        <f>IF($C275="","",IF(OR($Z275=TRUE(),$Z275="TRUE"),0,1))</f>
        <v/>
      </c>
      <c r="AE275">
        <f>IF($AB275=1,IFERROR(IF(VALUE($C275)&lt;100000000,VALUE($C275),1000000000),IFERROR(IF(VALUE(MID($C275,2,20))&lt;100000000,VALUE(MID($C275,2,20)),1000000000),1000000000))+ROW()/100000,"")</f>
        <v/>
      </c>
    </row>
    <row r="276">
      <c r="G276" s="7" t="n"/>
      <c r="H276" s="7" t="n"/>
      <c r="N276" s="7">
        <f>IF($C276="","",M276*Y276/100)</f>
        <v/>
      </c>
      <c r="O276" s="11" t="n"/>
      <c r="T276" s="7" t="n"/>
      <c r="V276" s="7">
        <f>IF($C276="","",Y276*AA276/100)</f>
        <v/>
      </c>
      <c r="W276" s="7">
        <f>IF($C276="","",Y276-V276)</f>
        <v/>
      </c>
      <c r="X276" s="7">
        <f>IF($C276="","",W276-N276)</f>
        <v/>
      </c>
      <c r="Y276" s="7" t="n"/>
      <c r="AA276">
        <f>IF($C276="","",IF($AD276=1,Settings!$C$6,Settings!$C$7)*100)</f>
        <v/>
      </c>
      <c r="AB276">
        <f>IF($C276="","",IF(COUNTIF($C$2:$C276,$C276)=1,1,0))</f>
        <v/>
      </c>
      <c r="AC276">
        <f>IF($AB276=1,SUMPRODUCT(--($AE$2:$AE$501&lt;$AE276))+1,"")</f>
        <v/>
      </c>
      <c r="AD276">
        <f>IF($C276="","",IF(OR($Z276=TRUE(),$Z276="TRUE"),0,1))</f>
        <v/>
      </c>
      <c r="AE276">
        <f>IF($AB276=1,IFERROR(IF(VALUE($C276)&lt;100000000,VALUE($C276),1000000000),IFERROR(IF(VALUE(MID($C276,2,20))&lt;100000000,VALUE(MID($C276,2,20)),1000000000),1000000000))+ROW()/100000,"")</f>
        <v/>
      </c>
    </row>
    <row r="277">
      <c r="G277" s="7" t="n"/>
      <c r="H277" s="7" t="n"/>
      <c r="N277" s="7">
        <f>IF($C277="","",M277*Y277/100)</f>
        <v/>
      </c>
      <c r="O277" s="11" t="n"/>
      <c r="T277" s="7" t="n"/>
      <c r="V277" s="7">
        <f>IF($C277="","",Y277*AA277/100)</f>
        <v/>
      </c>
      <c r="W277" s="7">
        <f>IF($C277="","",Y277-V277)</f>
        <v/>
      </c>
      <c r="X277" s="7">
        <f>IF($C277="","",W277-N277)</f>
        <v/>
      </c>
      <c r="Y277" s="7" t="n"/>
      <c r="AA277">
        <f>IF($C277="","",IF($AD277=1,Settings!$C$6,Settings!$C$7)*100)</f>
        <v/>
      </c>
      <c r="AB277">
        <f>IF($C277="","",IF(COUNTIF($C$2:$C277,$C277)=1,1,0))</f>
        <v/>
      </c>
      <c r="AC277">
        <f>IF($AB277=1,SUMPRODUCT(--($AE$2:$AE$501&lt;$AE277))+1,"")</f>
        <v/>
      </c>
      <c r="AD277">
        <f>IF($C277="","",IF(OR($Z277=TRUE(),$Z277="TRUE"),0,1))</f>
        <v/>
      </c>
      <c r="AE277">
        <f>IF($AB277=1,IFERROR(IF(VALUE($C277)&lt;100000000,VALUE($C277),1000000000),IFERROR(IF(VALUE(MID($C277,2,20))&lt;100000000,VALUE(MID($C277,2,20)),1000000000),1000000000))+ROW()/100000,"")</f>
        <v/>
      </c>
    </row>
    <row r="278">
      <c r="G278" s="7" t="n"/>
      <c r="H278" s="7" t="n"/>
      <c r="N278" s="7">
        <f>IF($C278="","",M278*Y278/100)</f>
        <v/>
      </c>
      <c r="O278" s="11" t="n"/>
      <c r="T278" s="7" t="n"/>
      <c r="V278" s="7">
        <f>IF($C278="","",Y278*AA278/100)</f>
        <v/>
      </c>
      <c r="W278" s="7">
        <f>IF($C278="","",Y278-V278)</f>
        <v/>
      </c>
      <c r="X278" s="7">
        <f>IF($C278="","",W278-N278)</f>
        <v/>
      </c>
      <c r="Y278" s="7" t="n"/>
      <c r="AA278">
        <f>IF($C278="","",IF($AD278=1,Settings!$C$6,Settings!$C$7)*100)</f>
        <v/>
      </c>
      <c r="AB278">
        <f>IF($C278="","",IF(COUNTIF($C$2:$C278,$C278)=1,1,0))</f>
        <v/>
      </c>
      <c r="AC278">
        <f>IF($AB278=1,SUMPRODUCT(--($AE$2:$AE$501&lt;$AE278))+1,"")</f>
        <v/>
      </c>
      <c r="AD278">
        <f>IF($C278="","",IF(OR($Z278=TRUE(),$Z278="TRUE"),0,1))</f>
        <v/>
      </c>
      <c r="AE278">
        <f>IF($AB278=1,IFERROR(IF(VALUE($C278)&lt;100000000,VALUE($C278),1000000000),IFERROR(IF(VALUE(MID($C278,2,20))&lt;100000000,VALUE(MID($C278,2,20)),1000000000),1000000000))+ROW()/100000,"")</f>
        <v/>
      </c>
    </row>
    <row r="279">
      <c r="G279" s="7" t="n"/>
      <c r="H279" s="7" t="n"/>
      <c r="N279" s="7">
        <f>IF($C279="","",M279*Y279/100)</f>
        <v/>
      </c>
      <c r="O279" s="11" t="n"/>
      <c r="T279" s="7" t="n"/>
      <c r="V279" s="7">
        <f>IF($C279="","",Y279*AA279/100)</f>
        <v/>
      </c>
      <c r="W279" s="7">
        <f>IF($C279="","",Y279-V279)</f>
        <v/>
      </c>
      <c r="X279" s="7">
        <f>IF($C279="","",W279-N279)</f>
        <v/>
      </c>
      <c r="Y279" s="7" t="n"/>
      <c r="AA279">
        <f>IF($C279="","",IF($AD279=1,Settings!$C$6,Settings!$C$7)*100)</f>
        <v/>
      </c>
      <c r="AB279">
        <f>IF($C279="","",IF(COUNTIF($C$2:$C279,$C279)=1,1,0))</f>
        <v/>
      </c>
      <c r="AC279">
        <f>IF($AB279=1,SUMPRODUCT(--($AE$2:$AE$501&lt;$AE279))+1,"")</f>
        <v/>
      </c>
      <c r="AD279">
        <f>IF($C279="","",IF(OR($Z279=TRUE(),$Z279="TRUE"),0,1))</f>
        <v/>
      </c>
      <c r="AE279">
        <f>IF($AB279=1,IFERROR(IF(VALUE($C279)&lt;100000000,VALUE($C279),1000000000),IFERROR(IF(VALUE(MID($C279,2,20))&lt;100000000,VALUE(MID($C279,2,20)),1000000000),1000000000))+ROW()/100000,"")</f>
        <v/>
      </c>
    </row>
    <row r="280">
      <c r="G280" s="7" t="n"/>
      <c r="H280" s="7" t="n"/>
      <c r="N280" s="7">
        <f>IF($C280="","",M280*Y280/100)</f>
        <v/>
      </c>
      <c r="O280" s="11" t="n"/>
      <c r="T280" s="7" t="n"/>
      <c r="V280" s="7">
        <f>IF($C280="","",Y280*AA280/100)</f>
        <v/>
      </c>
      <c r="W280" s="7">
        <f>IF($C280="","",Y280-V280)</f>
        <v/>
      </c>
      <c r="X280" s="7">
        <f>IF($C280="","",W280-N280)</f>
        <v/>
      </c>
      <c r="Y280" s="7" t="n"/>
      <c r="AA280">
        <f>IF($C280="","",IF($AD280=1,Settings!$C$6,Settings!$C$7)*100)</f>
        <v/>
      </c>
      <c r="AB280">
        <f>IF($C280="","",IF(COUNTIF($C$2:$C280,$C280)=1,1,0))</f>
        <v/>
      </c>
      <c r="AC280">
        <f>IF($AB280=1,SUMPRODUCT(--($AE$2:$AE$501&lt;$AE280))+1,"")</f>
        <v/>
      </c>
      <c r="AD280">
        <f>IF($C280="","",IF(OR($Z280=TRUE(),$Z280="TRUE"),0,1))</f>
        <v/>
      </c>
      <c r="AE280">
        <f>IF($AB280=1,IFERROR(IF(VALUE($C280)&lt;100000000,VALUE($C280),1000000000),IFERROR(IF(VALUE(MID($C280,2,20))&lt;100000000,VALUE(MID($C280,2,20)),1000000000),1000000000))+ROW()/100000,"")</f>
        <v/>
      </c>
    </row>
    <row r="281">
      <c r="G281" s="7" t="n"/>
      <c r="H281" s="7" t="n"/>
      <c r="N281" s="7">
        <f>IF($C281="","",M281*Y281/100)</f>
        <v/>
      </c>
      <c r="O281" s="11" t="n"/>
      <c r="T281" s="7" t="n"/>
      <c r="V281" s="7">
        <f>IF($C281="","",Y281*AA281/100)</f>
        <v/>
      </c>
      <c r="W281" s="7">
        <f>IF($C281="","",Y281-V281)</f>
        <v/>
      </c>
      <c r="X281" s="7">
        <f>IF($C281="","",W281-N281)</f>
        <v/>
      </c>
      <c r="Y281" s="7" t="n"/>
      <c r="AA281">
        <f>IF($C281="","",IF($AD281=1,Settings!$C$6,Settings!$C$7)*100)</f>
        <v/>
      </c>
      <c r="AB281">
        <f>IF($C281="","",IF(COUNTIF($C$2:$C281,$C281)=1,1,0))</f>
        <v/>
      </c>
      <c r="AC281">
        <f>IF($AB281=1,SUMPRODUCT(--($AE$2:$AE$501&lt;$AE281))+1,"")</f>
        <v/>
      </c>
      <c r="AD281">
        <f>IF($C281="","",IF(OR($Z281=TRUE(),$Z281="TRUE"),0,1))</f>
        <v/>
      </c>
      <c r="AE281">
        <f>IF($AB281=1,IFERROR(IF(VALUE($C281)&lt;100000000,VALUE($C281),1000000000),IFERROR(IF(VALUE(MID($C281,2,20))&lt;100000000,VALUE(MID($C281,2,20)),1000000000),1000000000))+ROW()/100000,"")</f>
        <v/>
      </c>
    </row>
    <row r="282">
      <c r="G282" s="7" t="n"/>
      <c r="H282" s="7" t="n"/>
      <c r="N282" s="7">
        <f>IF($C282="","",M282*Y282/100)</f>
        <v/>
      </c>
      <c r="O282" s="11" t="n"/>
      <c r="T282" s="7" t="n"/>
      <c r="V282" s="7">
        <f>IF($C282="","",Y282*AA282/100)</f>
        <v/>
      </c>
      <c r="W282" s="7">
        <f>IF($C282="","",Y282-V282)</f>
        <v/>
      </c>
      <c r="X282" s="7">
        <f>IF($C282="","",W282-N282)</f>
        <v/>
      </c>
      <c r="Y282" s="7" t="n"/>
      <c r="AA282">
        <f>IF($C282="","",IF($AD282=1,Settings!$C$6,Settings!$C$7)*100)</f>
        <v/>
      </c>
      <c r="AB282">
        <f>IF($C282="","",IF(COUNTIF($C$2:$C282,$C282)=1,1,0))</f>
        <v/>
      </c>
      <c r="AC282">
        <f>IF($AB282=1,SUMPRODUCT(--($AE$2:$AE$501&lt;$AE282))+1,"")</f>
        <v/>
      </c>
      <c r="AD282">
        <f>IF($C282="","",IF(OR($Z282=TRUE(),$Z282="TRUE"),0,1))</f>
        <v/>
      </c>
      <c r="AE282">
        <f>IF($AB282=1,IFERROR(IF(VALUE($C282)&lt;100000000,VALUE($C282),1000000000),IFERROR(IF(VALUE(MID($C282,2,20))&lt;100000000,VALUE(MID($C282,2,20)),1000000000),1000000000))+ROW()/100000,"")</f>
        <v/>
      </c>
    </row>
    <row r="283">
      <c r="G283" s="7" t="n"/>
      <c r="H283" s="7" t="n"/>
      <c r="N283" s="7">
        <f>IF($C283="","",M283*Y283/100)</f>
        <v/>
      </c>
      <c r="O283" s="11" t="n"/>
      <c r="T283" s="7" t="n"/>
      <c r="V283" s="7">
        <f>IF($C283="","",Y283*AA283/100)</f>
        <v/>
      </c>
      <c r="W283" s="7">
        <f>IF($C283="","",Y283-V283)</f>
        <v/>
      </c>
      <c r="X283" s="7">
        <f>IF($C283="","",W283-N283)</f>
        <v/>
      </c>
      <c r="Y283" s="7" t="n"/>
      <c r="AA283">
        <f>IF($C283="","",IF($AD283=1,Settings!$C$6,Settings!$C$7)*100)</f>
        <v/>
      </c>
      <c r="AB283">
        <f>IF($C283="","",IF(COUNTIF($C$2:$C283,$C283)=1,1,0))</f>
        <v/>
      </c>
      <c r="AC283">
        <f>IF($AB283=1,SUMPRODUCT(--($AE$2:$AE$501&lt;$AE283))+1,"")</f>
        <v/>
      </c>
      <c r="AD283">
        <f>IF($C283="","",IF(OR($Z283=TRUE(),$Z283="TRUE"),0,1))</f>
        <v/>
      </c>
      <c r="AE283">
        <f>IF($AB283=1,IFERROR(IF(VALUE($C283)&lt;100000000,VALUE($C283),1000000000),IFERROR(IF(VALUE(MID($C283,2,20))&lt;100000000,VALUE(MID($C283,2,20)),1000000000),1000000000))+ROW()/100000,"")</f>
        <v/>
      </c>
    </row>
    <row r="284">
      <c r="G284" s="7" t="n"/>
      <c r="H284" s="7" t="n"/>
      <c r="N284" s="7">
        <f>IF($C284="","",M284*Y284/100)</f>
        <v/>
      </c>
      <c r="O284" s="11" t="n"/>
      <c r="T284" s="7" t="n"/>
      <c r="V284" s="7">
        <f>IF($C284="","",Y284*AA284/100)</f>
        <v/>
      </c>
      <c r="W284" s="7">
        <f>IF($C284="","",Y284-V284)</f>
        <v/>
      </c>
      <c r="X284" s="7">
        <f>IF($C284="","",W284-N284)</f>
        <v/>
      </c>
      <c r="Y284" s="7" t="n"/>
      <c r="AA284">
        <f>IF($C284="","",IF($AD284=1,Settings!$C$6,Settings!$C$7)*100)</f>
        <v/>
      </c>
      <c r="AB284">
        <f>IF($C284="","",IF(COUNTIF($C$2:$C284,$C284)=1,1,0))</f>
        <v/>
      </c>
      <c r="AC284">
        <f>IF($AB284=1,SUMPRODUCT(--($AE$2:$AE$501&lt;$AE284))+1,"")</f>
        <v/>
      </c>
      <c r="AD284">
        <f>IF($C284="","",IF(OR($Z284=TRUE(),$Z284="TRUE"),0,1))</f>
        <v/>
      </c>
      <c r="AE284">
        <f>IF($AB284=1,IFERROR(IF(VALUE($C284)&lt;100000000,VALUE($C284),1000000000),IFERROR(IF(VALUE(MID($C284,2,20))&lt;100000000,VALUE(MID($C284,2,20)),1000000000),1000000000))+ROW()/100000,"")</f>
        <v/>
      </c>
    </row>
    <row r="285">
      <c r="G285" s="7" t="n"/>
      <c r="H285" s="7" t="n"/>
      <c r="N285" s="7">
        <f>IF($C285="","",M285*Y285/100)</f>
        <v/>
      </c>
      <c r="O285" s="11" t="n"/>
      <c r="T285" s="7" t="n"/>
      <c r="V285" s="7">
        <f>IF($C285="","",Y285*AA285/100)</f>
        <v/>
      </c>
      <c r="W285" s="7">
        <f>IF($C285="","",Y285-V285)</f>
        <v/>
      </c>
      <c r="X285" s="7">
        <f>IF($C285="","",W285-N285)</f>
        <v/>
      </c>
      <c r="Y285" s="7" t="n"/>
      <c r="AA285">
        <f>IF($C285="","",IF($AD285=1,Settings!$C$6,Settings!$C$7)*100)</f>
        <v/>
      </c>
      <c r="AB285">
        <f>IF($C285="","",IF(COUNTIF($C$2:$C285,$C285)=1,1,0))</f>
        <v/>
      </c>
      <c r="AC285">
        <f>IF($AB285=1,SUMPRODUCT(--($AE$2:$AE$501&lt;$AE285))+1,"")</f>
        <v/>
      </c>
      <c r="AD285">
        <f>IF($C285="","",IF(OR($Z285=TRUE(),$Z285="TRUE"),0,1))</f>
        <v/>
      </c>
      <c r="AE285">
        <f>IF($AB285=1,IFERROR(IF(VALUE($C285)&lt;100000000,VALUE($C285),1000000000),IFERROR(IF(VALUE(MID($C285,2,20))&lt;100000000,VALUE(MID($C285,2,20)),1000000000),1000000000))+ROW()/100000,"")</f>
        <v/>
      </c>
    </row>
    <row r="286">
      <c r="G286" s="7" t="n"/>
      <c r="H286" s="7" t="n"/>
      <c r="N286" s="7">
        <f>IF($C286="","",M286*Y286/100)</f>
        <v/>
      </c>
      <c r="O286" s="11" t="n"/>
      <c r="T286" s="7" t="n"/>
      <c r="V286" s="7">
        <f>IF($C286="","",Y286*AA286/100)</f>
        <v/>
      </c>
      <c r="W286" s="7">
        <f>IF($C286="","",Y286-V286)</f>
        <v/>
      </c>
      <c r="X286" s="7">
        <f>IF($C286="","",W286-N286)</f>
        <v/>
      </c>
      <c r="Y286" s="7" t="n"/>
      <c r="AA286">
        <f>IF($C286="","",IF($AD286=1,Settings!$C$6,Settings!$C$7)*100)</f>
        <v/>
      </c>
      <c r="AB286">
        <f>IF($C286="","",IF(COUNTIF($C$2:$C286,$C286)=1,1,0))</f>
        <v/>
      </c>
      <c r="AC286">
        <f>IF($AB286=1,SUMPRODUCT(--($AE$2:$AE$501&lt;$AE286))+1,"")</f>
        <v/>
      </c>
      <c r="AD286">
        <f>IF($C286="","",IF(OR($Z286=TRUE(),$Z286="TRUE"),0,1))</f>
        <v/>
      </c>
      <c r="AE286">
        <f>IF($AB286=1,IFERROR(IF(VALUE($C286)&lt;100000000,VALUE($C286),1000000000),IFERROR(IF(VALUE(MID($C286,2,20))&lt;100000000,VALUE(MID($C286,2,20)),1000000000),1000000000))+ROW()/100000,"")</f>
        <v/>
      </c>
    </row>
    <row r="287">
      <c r="G287" s="7" t="n"/>
      <c r="H287" s="7" t="n"/>
      <c r="N287" s="7">
        <f>IF($C287="","",M287*Y287/100)</f>
        <v/>
      </c>
      <c r="O287" s="11" t="n"/>
      <c r="T287" s="7" t="n"/>
      <c r="V287" s="7">
        <f>IF($C287="","",Y287*AA287/100)</f>
        <v/>
      </c>
      <c r="W287" s="7">
        <f>IF($C287="","",Y287-V287)</f>
        <v/>
      </c>
      <c r="X287" s="7">
        <f>IF($C287="","",W287-N287)</f>
        <v/>
      </c>
      <c r="Y287" s="7" t="n"/>
      <c r="AA287">
        <f>IF($C287="","",IF($AD287=1,Settings!$C$6,Settings!$C$7)*100)</f>
        <v/>
      </c>
      <c r="AB287">
        <f>IF($C287="","",IF(COUNTIF($C$2:$C287,$C287)=1,1,0))</f>
        <v/>
      </c>
      <c r="AC287">
        <f>IF($AB287=1,SUMPRODUCT(--($AE$2:$AE$501&lt;$AE287))+1,"")</f>
        <v/>
      </c>
      <c r="AD287">
        <f>IF($C287="","",IF(OR($Z287=TRUE(),$Z287="TRUE"),0,1))</f>
        <v/>
      </c>
      <c r="AE287">
        <f>IF($AB287=1,IFERROR(IF(VALUE($C287)&lt;100000000,VALUE($C287),1000000000),IFERROR(IF(VALUE(MID($C287,2,20))&lt;100000000,VALUE(MID($C287,2,20)),1000000000),1000000000))+ROW()/100000,"")</f>
        <v/>
      </c>
    </row>
    <row r="288">
      <c r="G288" s="7" t="n"/>
      <c r="H288" s="7" t="n"/>
      <c r="N288" s="7">
        <f>IF($C288="","",M288*Y288/100)</f>
        <v/>
      </c>
      <c r="O288" s="11" t="n"/>
      <c r="T288" s="7" t="n"/>
      <c r="V288" s="7">
        <f>IF($C288="","",Y288*AA288/100)</f>
        <v/>
      </c>
      <c r="W288" s="7">
        <f>IF($C288="","",Y288-V288)</f>
        <v/>
      </c>
      <c r="X288" s="7">
        <f>IF($C288="","",W288-N288)</f>
        <v/>
      </c>
      <c r="Y288" s="7" t="n"/>
      <c r="AA288">
        <f>IF($C288="","",IF($AD288=1,Settings!$C$6,Settings!$C$7)*100)</f>
        <v/>
      </c>
      <c r="AB288">
        <f>IF($C288="","",IF(COUNTIF($C$2:$C288,$C288)=1,1,0))</f>
        <v/>
      </c>
      <c r="AC288">
        <f>IF($AB288=1,SUMPRODUCT(--($AE$2:$AE$501&lt;$AE288))+1,"")</f>
        <v/>
      </c>
      <c r="AD288">
        <f>IF($C288="","",IF(OR($Z288=TRUE(),$Z288="TRUE"),0,1))</f>
        <v/>
      </c>
      <c r="AE288">
        <f>IF($AB288=1,IFERROR(IF(VALUE($C288)&lt;100000000,VALUE($C288),1000000000),IFERROR(IF(VALUE(MID($C288,2,20))&lt;100000000,VALUE(MID($C288,2,20)),1000000000),1000000000))+ROW()/100000,"")</f>
        <v/>
      </c>
    </row>
    <row r="289">
      <c r="G289" s="7" t="n"/>
      <c r="H289" s="7" t="n"/>
      <c r="N289" s="7">
        <f>IF($C289="","",M289*Y289/100)</f>
        <v/>
      </c>
      <c r="O289" s="11" t="n"/>
      <c r="T289" s="7" t="n"/>
      <c r="V289" s="7">
        <f>IF($C289="","",Y289*AA289/100)</f>
        <v/>
      </c>
      <c r="W289" s="7">
        <f>IF($C289="","",Y289-V289)</f>
        <v/>
      </c>
      <c r="X289" s="7">
        <f>IF($C289="","",W289-N289)</f>
        <v/>
      </c>
      <c r="Y289" s="7" t="n"/>
      <c r="AA289">
        <f>IF($C289="","",IF($AD289=1,Settings!$C$6,Settings!$C$7)*100)</f>
        <v/>
      </c>
      <c r="AB289">
        <f>IF($C289="","",IF(COUNTIF($C$2:$C289,$C289)=1,1,0))</f>
        <v/>
      </c>
      <c r="AC289">
        <f>IF($AB289=1,SUMPRODUCT(--($AE$2:$AE$501&lt;$AE289))+1,"")</f>
        <v/>
      </c>
      <c r="AD289">
        <f>IF($C289="","",IF(OR($Z289=TRUE(),$Z289="TRUE"),0,1))</f>
        <v/>
      </c>
      <c r="AE289">
        <f>IF($AB289=1,IFERROR(IF(VALUE($C289)&lt;100000000,VALUE($C289),1000000000),IFERROR(IF(VALUE(MID($C289,2,20))&lt;100000000,VALUE(MID($C289,2,20)),1000000000),1000000000))+ROW()/100000,"")</f>
        <v/>
      </c>
    </row>
    <row r="290">
      <c r="G290" s="7" t="n"/>
      <c r="H290" s="7" t="n"/>
      <c r="N290" s="7">
        <f>IF($C290="","",M290*Y290/100)</f>
        <v/>
      </c>
      <c r="O290" s="11" t="n"/>
      <c r="T290" s="7" t="n"/>
      <c r="V290" s="7">
        <f>IF($C290="","",Y290*AA290/100)</f>
        <v/>
      </c>
      <c r="W290" s="7">
        <f>IF($C290="","",Y290-V290)</f>
        <v/>
      </c>
      <c r="X290" s="7">
        <f>IF($C290="","",W290-N290)</f>
        <v/>
      </c>
      <c r="Y290" s="7" t="n"/>
      <c r="AA290">
        <f>IF($C290="","",IF($AD290=1,Settings!$C$6,Settings!$C$7)*100)</f>
        <v/>
      </c>
      <c r="AB290">
        <f>IF($C290="","",IF(COUNTIF($C$2:$C290,$C290)=1,1,0))</f>
        <v/>
      </c>
      <c r="AC290">
        <f>IF($AB290=1,SUMPRODUCT(--($AE$2:$AE$501&lt;$AE290))+1,"")</f>
        <v/>
      </c>
      <c r="AD290">
        <f>IF($C290="","",IF(OR($Z290=TRUE(),$Z290="TRUE"),0,1))</f>
        <v/>
      </c>
      <c r="AE290">
        <f>IF($AB290=1,IFERROR(IF(VALUE($C290)&lt;100000000,VALUE($C290),1000000000),IFERROR(IF(VALUE(MID($C290,2,20))&lt;100000000,VALUE(MID($C290,2,20)),1000000000),1000000000))+ROW()/100000,"")</f>
        <v/>
      </c>
    </row>
    <row r="291">
      <c r="G291" s="7" t="n"/>
      <c r="H291" s="7" t="n"/>
      <c r="N291" s="7">
        <f>IF($C291="","",M291*Y291/100)</f>
        <v/>
      </c>
      <c r="O291" s="11" t="n"/>
      <c r="T291" s="7" t="n"/>
      <c r="V291" s="7">
        <f>IF($C291="","",Y291*AA291/100)</f>
        <v/>
      </c>
      <c r="W291" s="7">
        <f>IF($C291="","",Y291-V291)</f>
        <v/>
      </c>
      <c r="X291" s="7">
        <f>IF($C291="","",W291-N291)</f>
        <v/>
      </c>
      <c r="Y291" s="7" t="n"/>
      <c r="AA291">
        <f>IF($C291="","",IF($AD291=1,Settings!$C$6,Settings!$C$7)*100)</f>
        <v/>
      </c>
      <c r="AB291">
        <f>IF($C291="","",IF(COUNTIF($C$2:$C291,$C291)=1,1,0))</f>
        <v/>
      </c>
      <c r="AC291">
        <f>IF($AB291=1,SUMPRODUCT(--($AE$2:$AE$501&lt;$AE291))+1,"")</f>
        <v/>
      </c>
      <c r="AD291">
        <f>IF($C291="","",IF(OR($Z291=TRUE(),$Z291="TRUE"),0,1))</f>
        <v/>
      </c>
      <c r="AE291">
        <f>IF($AB291=1,IFERROR(IF(VALUE($C291)&lt;100000000,VALUE($C291),1000000000),IFERROR(IF(VALUE(MID($C291,2,20))&lt;100000000,VALUE(MID($C291,2,20)),1000000000),1000000000))+ROW()/100000,"")</f>
        <v/>
      </c>
    </row>
    <row r="292">
      <c r="G292" s="7" t="n"/>
      <c r="H292" s="7" t="n"/>
      <c r="N292" s="7">
        <f>IF($C292="","",M292*Y292/100)</f>
        <v/>
      </c>
      <c r="O292" s="11" t="n"/>
      <c r="T292" s="7" t="n"/>
      <c r="V292" s="7">
        <f>IF($C292="","",Y292*AA292/100)</f>
        <v/>
      </c>
      <c r="W292" s="7">
        <f>IF($C292="","",Y292-V292)</f>
        <v/>
      </c>
      <c r="X292" s="7">
        <f>IF($C292="","",W292-N292)</f>
        <v/>
      </c>
      <c r="Y292" s="7" t="n"/>
      <c r="AA292">
        <f>IF($C292="","",IF($AD292=1,Settings!$C$6,Settings!$C$7)*100)</f>
        <v/>
      </c>
      <c r="AB292">
        <f>IF($C292="","",IF(COUNTIF($C$2:$C292,$C292)=1,1,0))</f>
        <v/>
      </c>
      <c r="AC292">
        <f>IF($AB292=1,SUMPRODUCT(--($AE$2:$AE$501&lt;$AE292))+1,"")</f>
        <v/>
      </c>
      <c r="AD292">
        <f>IF($C292="","",IF(OR($Z292=TRUE(),$Z292="TRUE"),0,1))</f>
        <v/>
      </c>
      <c r="AE292">
        <f>IF($AB292=1,IFERROR(IF(VALUE($C292)&lt;100000000,VALUE($C292),1000000000),IFERROR(IF(VALUE(MID($C292,2,20))&lt;100000000,VALUE(MID($C292,2,20)),1000000000),1000000000))+ROW()/100000,"")</f>
        <v/>
      </c>
    </row>
    <row r="293">
      <c r="G293" s="7" t="n"/>
      <c r="H293" s="7" t="n"/>
      <c r="N293" s="7">
        <f>IF($C293="","",M293*Y293/100)</f>
        <v/>
      </c>
      <c r="O293" s="11" t="n"/>
      <c r="T293" s="7" t="n"/>
      <c r="V293" s="7">
        <f>IF($C293="","",Y293*AA293/100)</f>
        <v/>
      </c>
      <c r="W293" s="7">
        <f>IF($C293="","",Y293-V293)</f>
        <v/>
      </c>
      <c r="X293" s="7">
        <f>IF($C293="","",W293-N293)</f>
        <v/>
      </c>
      <c r="Y293" s="7" t="n"/>
      <c r="AA293">
        <f>IF($C293="","",IF($AD293=1,Settings!$C$6,Settings!$C$7)*100)</f>
        <v/>
      </c>
      <c r="AB293">
        <f>IF($C293="","",IF(COUNTIF($C$2:$C293,$C293)=1,1,0))</f>
        <v/>
      </c>
      <c r="AC293">
        <f>IF($AB293=1,SUMPRODUCT(--($AE$2:$AE$501&lt;$AE293))+1,"")</f>
        <v/>
      </c>
      <c r="AD293">
        <f>IF($C293="","",IF(OR($Z293=TRUE(),$Z293="TRUE"),0,1))</f>
        <v/>
      </c>
      <c r="AE293">
        <f>IF($AB293=1,IFERROR(IF(VALUE($C293)&lt;100000000,VALUE($C293),1000000000),IFERROR(IF(VALUE(MID($C293,2,20))&lt;100000000,VALUE(MID($C293,2,20)),1000000000),1000000000))+ROW()/100000,"")</f>
        <v/>
      </c>
    </row>
    <row r="294">
      <c r="G294" s="7" t="n"/>
      <c r="H294" s="7" t="n"/>
      <c r="N294" s="7">
        <f>IF($C294="","",M294*Y294/100)</f>
        <v/>
      </c>
      <c r="O294" s="11" t="n"/>
      <c r="T294" s="7" t="n"/>
      <c r="V294" s="7">
        <f>IF($C294="","",Y294*AA294/100)</f>
        <v/>
      </c>
      <c r="W294" s="7">
        <f>IF($C294="","",Y294-V294)</f>
        <v/>
      </c>
      <c r="X294" s="7">
        <f>IF($C294="","",W294-N294)</f>
        <v/>
      </c>
      <c r="Y294" s="7" t="n"/>
      <c r="AA294">
        <f>IF($C294="","",IF($AD294=1,Settings!$C$6,Settings!$C$7)*100)</f>
        <v/>
      </c>
      <c r="AB294">
        <f>IF($C294="","",IF(COUNTIF($C$2:$C294,$C294)=1,1,0))</f>
        <v/>
      </c>
      <c r="AC294">
        <f>IF($AB294=1,SUMPRODUCT(--($AE$2:$AE$501&lt;$AE294))+1,"")</f>
        <v/>
      </c>
      <c r="AD294">
        <f>IF($C294="","",IF(OR($Z294=TRUE(),$Z294="TRUE"),0,1))</f>
        <v/>
      </c>
      <c r="AE294">
        <f>IF($AB294=1,IFERROR(IF(VALUE($C294)&lt;100000000,VALUE($C294),1000000000),IFERROR(IF(VALUE(MID($C294,2,20))&lt;100000000,VALUE(MID($C294,2,20)),1000000000),1000000000))+ROW()/100000,"")</f>
        <v/>
      </c>
    </row>
    <row r="295">
      <c r="G295" s="7" t="n"/>
      <c r="H295" s="7" t="n"/>
      <c r="N295" s="7">
        <f>IF($C295="","",M295*Y295/100)</f>
        <v/>
      </c>
      <c r="O295" s="11" t="n"/>
      <c r="T295" s="7" t="n"/>
      <c r="V295" s="7">
        <f>IF($C295="","",Y295*AA295/100)</f>
        <v/>
      </c>
      <c r="W295" s="7">
        <f>IF($C295="","",Y295-V295)</f>
        <v/>
      </c>
      <c r="X295" s="7">
        <f>IF($C295="","",W295-N295)</f>
        <v/>
      </c>
      <c r="Y295" s="7" t="n"/>
      <c r="AA295">
        <f>IF($C295="","",IF($AD295=1,Settings!$C$6,Settings!$C$7)*100)</f>
        <v/>
      </c>
      <c r="AB295">
        <f>IF($C295="","",IF(COUNTIF($C$2:$C295,$C295)=1,1,0))</f>
        <v/>
      </c>
      <c r="AC295">
        <f>IF($AB295=1,SUMPRODUCT(--($AE$2:$AE$501&lt;$AE295))+1,"")</f>
        <v/>
      </c>
      <c r="AD295">
        <f>IF($C295="","",IF(OR($Z295=TRUE(),$Z295="TRUE"),0,1))</f>
        <v/>
      </c>
      <c r="AE295">
        <f>IF($AB295=1,IFERROR(IF(VALUE($C295)&lt;100000000,VALUE($C295),1000000000),IFERROR(IF(VALUE(MID($C295,2,20))&lt;100000000,VALUE(MID($C295,2,20)),1000000000),1000000000))+ROW()/100000,"")</f>
        <v/>
      </c>
    </row>
    <row r="296">
      <c r="G296" s="7" t="n"/>
      <c r="H296" s="7" t="n"/>
      <c r="N296" s="7">
        <f>IF($C296="","",M296*Y296/100)</f>
        <v/>
      </c>
      <c r="O296" s="11" t="n"/>
      <c r="T296" s="7" t="n"/>
      <c r="V296" s="7">
        <f>IF($C296="","",Y296*AA296/100)</f>
        <v/>
      </c>
      <c r="W296" s="7">
        <f>IF($C296="","",Y296-V296)</f>
        <v/>
      </c>
      <c r="X296" s="7">
        <f>IF($C296="","",W296-N296)</f>
        <v/>
      </c>
      <c r="Y296" s="7" t="n"/>
      <c r="AA296">
        <f>IF($C296="","",IF($AD296=1,Settings!$C$6,Settings!$C$7)*100)</f>
        <v/>
      </c>
      <c r="AB296">
        <f>IF($C296="","",IF(COUNTIF($C$2:$C296,$C296)=1,1,0))</f>
        <v/>
      </c>
      <c r="AC296">
        <f>IF($AB296=1,SUMPRODUCT(--($AE$2:$AE$501&lt;$AE296))+1,"")</f>
        <v/>
      </c>
      <c r="AD296">
        <f>IF($C296="","",IF(OR($Z296=TRUE(),$Z296="TRUE"),0,1))</f>
        <v/>
      </c>
      <c r="AE296">
        <f>IF($AB296=1,IFERROR(IF(VALUE($C296)&lt;100000000,VALUE($C296),1000000000),IFERROR(IF(VALUE(MID($C296,2,20))&lt;100000000,VALUE(MID($C296,2,20)),1000000000),1000000000))+ROW()/100000,"")</f>
        <v/>
      </c>
    </row>
    <row r="297">
      <c r="G297" s="7" t="n"/>
      <c r="H297" s="7" t="n"/>
      <c r="N297" s="7">
        <f>IF($C297="","",M297*Y297/100)</f>
        <v/>
      </c>
      <c r="O297" s="11" t="n"/>
      <c r="T297" s="7" t="n"/>
      <c r="V297" s="7">
        <f>IF($C297="","",Y297*AA297/100)</f>
        <v/>
      </c>
      <c r="W297" s="7">
        <f>IF($C297="","",Y297-V297)</f>
        <v/>
      </c>
      <c r="X297" s="7">
        <f>IF($C297="","",W297-N297)</f>
        <v/>
      </c>
      <c r="Y297" s="7" t="n"/>
      <c r="AA297">
        <f>IF($C297="","",IF($AD297=1,Settings!$C$6,Settings!$C$7)*100)</f>
        <v/>
      </c>
      <c r="AB297">
        <f>IF($C297="","",IF(COUNTIF($C$2:$C297,$C297)=1,1,0))</f>
        <v/>
      </c>
      <c r="AC297">
        <f>IF($AB297=1,SUMPRODUCT(--($AE$2:$AE$501&lt;$AE297))+1,"")</f>
        <v/>
      </c>
      <c r="AD297">
        <f>IF($C297="","",IF(OR($Z297=TRUE(),$Z297="TRUE"),0,1))</f>
        <v/>
      </c>
      <c r="AE297">
        <f>IF($AB297=1,IFERROR(IF(VALUE($C297)&lt;100000000,VALUE($C297),1000000000),IFERROR(IF(VALUE(MID($C297,2,20))&lt;100000000,VALUE(MID($C297,2,20)),1000000000),1000000000))+ROW()/100000,"")</f>
        <v/>
      </c>
    </row>
    <row r="298">
      <c r="G298" s="7" t="n"/>
      <c r="H298" s="7" t="n"/>
      <c r="N298" s="7">
        <f>IF($C298="","",M298*Y298/100)</f>
        <v/>
      </c>
      <c r="O298" s="11" t="n"/>
      <c r="T298" s="7" t="n"/>
      <c r="V298" s="7">
        <f>IF($C298="","",Y298*AA298/100)</f>
        <v/>
      </c>
      <c r="W298" s="7">
        <f>IF($C298="","",Y298-V298)</f>
        <v/>
      </c>
      <c r="X298" s="7">
        <f>IF($C298="","",W298-N298)</f>
        <v/>
      </c>
      <c r="Y298" s="7" t="n"/>
      <c r="AA298">
        <f>IF($C298="","",IF($AD298=1,Settings!$C$6,Settings!$C$7)*100)</f>
        <v/>
      </c>
      <c r="AB298">
        <f>IF($C298="","",IF(COUNTIF($C$2:$C298,$C298)=1,1,0))</f>
        <v/>
      </c>
      <c r="AC298">
        <f>IF($AB298=1,SUMPRODUCT(--($AE$2:$AE$501&lt;$AE298))+1,"")</f>
        <v/>
      </c>
      <c r="AD298">
        <f>IF($C298="","",IF(OR($Z298=TRUE(),$Z298="TRUE"),0,1))</f>
        <v/>
      </c>
      <c r="AE298">
        <f>IF($AB298=1,IFERROR(IF(VALUE($C298)&lt;100000000,VALUE($C298),1000000000),IFERROR(IF(VALUE(MID($C298,2,20))&lt;100000000,VALUE(MID($C298,2,20)),1000000000),1000000000))+ROW()/100000,"")</f>
        <v/>
      </c>
    </row>
    <row r="299">
      <c r="G299" s="7" t="n"/>
      <c r="H299" s="7" t="n"/>
      <c r="N299" s="7">
        <f>IF($C299="","",M299*Y299/100)</f>
        <v/>
      </c>
      <c r="O299" s="11" t="n"/>
      <c r="T299" s="7" t="n"/>
      <c r="V299" s="7">
        <f>IF($C299="","",Y299*AA299/100)</f>
        <v/>
      </c>
      <c r="W299" s="7">
        <f>IF($C299="","",Y299-V299)</f>
        <v/>
      </c>
      <c r="X299" s="7">
        <f>IF($C299="","",W299-N299)</f>
        <v/>
      </c>
      <c r="Y299" s="7" t="n"/>
      <c r="AA299">
        <f>IF($C299="","",IF($AD299=1,Settings!$C$6,Settings!$C$7)*100)</f>
        <v/>
      </c>
      <c r="AB299">
        <f>IF($C299="","",IF(COUNTIF($C$2:$C299,$C299)=1,1,0))</f>
        <v/>
      </c>
      <c r="AC299">
        <f>IF($AB299=1,SUMPRODUCT(--($AE$2:$AE$501&lt;$AE299))+1,"")</f>
        <v/>
      </c>
      <c r="AD299">
        <f>IF($C299="","",IF(OR($Z299=TRUE(),$Z299="TRUE"),0,1))</f>
        <v/>
      </c>
      <c r="AE299">
        <f>IF($AB299=1,IFERROR(IF(VALUE($C299)&lt;100000000,VALUE($C299),1000000000),IFERROR(IF(VALUE(MID($C299,2,20))&lt;100000000,VALUE(MID($C299,2,20)),1000000000),1000000000))+ROW()/100000,"")</f>
        <v/>
      </c>
    </row>
    <row r="300">
      <c r="G300" s="7" t="n"/>
      <c r="H300" s="7" t="n"/>
      <c r="N300" s="7">
        <f>IF($C300="","",M300*Y300/100)</f>
        <v/>
      </c>
      <c r="O300" s="11" t="n"/>
      <c r="T300" s="7" t="n"/>
      <c r="V300" s="7">
        <f>IF($C300="","",Y300*AA300/100)</f>
        <v/>
      </c>
      <c r="W300" s="7">
        <f>IF($C300="","",Y300-V300)</f>
        <v/>
      </c>
      <c r="X300" s="7">
        <f>IF($C300="","",W300-N300)</f>
        <v/>
      </c>
      <c r="Y300" s="7" t="n"/>
      <c r="AA300">
        <f>IF($C300="","",IF($AD300=1,Settings!$C$6,Settings!$C$7)*100)</f>
        <v/>
      </c>
      <c r="AB300">
        <f>IF($C300="","",IF(COUNTIF($C$2:$C300,$C300)=1,1,0))</f>
        <v/>
      </c>
      <c r="AC300">
        <f>IF($AB300=1,SUMPRODUCT(--($AE$2:$AE$501&lt;$AE300))+1,"")</f>
        <v/>
      </c>
      <c r="AD300">
        <f>IF($C300="","",IF(OR($Z300=TRUE(),$Z300="TRUE"),0,1))</f>
        <v/>
      </c>
      <c r="AE300">
        <f>IF($AB300=1,IFERROR(IF(VALUE($C300)&lt;100000000,VALUE($C300),1000000000),IFERROR(IF(VALUE(MID($C300,2,20))&lt;100000000,VALUE(MID($C300,2,20)),1000000000),1000000000))+ROW()/100000,"")</f>
        <v/>
      </c>
    </row>
    <row r="301">
      <c r="G301" s="7" t="n"/>
      <c r="H301" s="7" t="n"/>
      <c r="N301" s="7">
        <f>IF($C301="","",M301*Y301/100)</f>
        <v/>
      </c>
      <c r="O301" s="11" t="n"/>
      <c r="T301" s="7" t="n"/>
      <c r="V301" s="7">
        <f>IF($C301="","",Y301*AA301/100)</f>
        <v/>
      </c>
      <c r="W301" s="7">
        <f>IF($C301="","",Y301-V301)</f>
        <v/>
      </c>
      <c r="X301" s="7">
        <f>IF($C301="","",W301-N301)</f>
        <v/>
      </c>
      <c r="Y301" s="7" t="n"/>
      <c r="AA301">
        <f>IF($C301="","",IF($AD301=1,Settings!$C$6,Settings!$C$7)*100)</f>
        <v/>
      </c>
      <c r="AB301">
        <f>IF($C301="","",IF(COUNTIF($C$2:$C301,$C301)=1,1,0))</f>
        <v/>
      </c>
      <c r="AC301">
        <f>IF($AB301=1,SUMPRODUCT(--($AE$2:$AE$501&lt;$AE301))+1,"")</f>
        <v/>
      </c>
      <c r="AD301">
        <f>IF($C301="","",IF(OR($Z301=TRUE(),$Z301="TRUE"),0,1))</f>
        <v/>
      </c>
      <c r="AE301">
        <f>IF($AB301=1,IFERROR(IF(VALUE($C301)&lt;100000000,VALUE($C301),1000000000),IFERROR(IF(VALUE(MID($C301,2,20))&lt;100000000,VALUE(MID($C301,2,20)),1000000000),1000000000))+ROW()/100000,"")</f>
        <v/>
      </c>
    </row>
    <row r="302">
      <c r="G302" s="7" t="n"/>
      <c r="H302" s="7" t="n"/>
      <c r="N302" s="7">
        <f>IF($C302="","",M302*Y302/100)</f>
        <v/>
      </c>
      <c r="O302" s="11" t="n"/>
      <c r="T302" s="7" t="n"/>
      <c r="V302" s="7">
        <f>IF($C302="","",Y302*AA302/100)</f>
        <v/>
      </c>
      <c r="W302" s="7">
        <f>IF($C302="","",Y302-V302)</f>
        <v/>
      </c>
      <c r="X302" s="7">
        <f>IF($C302="","",W302-N302)</f>
        <v/>
      </c>
      <c r="Y302" s="7" t="n"/>
      <c r="AA302">
        <f>IF($C302="","",IF($AD302=1,Settings!$C$6,Settings!$C$7)*100)</f>
        <v/>
      </c>
      <c r="AB302">
        <f>IF($C302="","",IF(COUNTIF($C$2:$C302,$C302)=1,1,0))</f>
        <v/>
      </c>
      <c r="AC302">
        <f>IF($AB302=1,SUMPRODUCT(--($AE$2:$AE$501&lt;$AE302))+1,"")</f>
        <v/>
      </c>
      <c r="AD302">
        <f>IF($C302="","",IF(OR($Z302=TRUE(),$Z302="TRUE"),0,1))</f>
        <v/>
      </c>
      <c r="AE302">
        <f>IF($AB302=1,IFERROR(IF(VALUE($C302)&lt;100000000,VALUE($C302),1000000000),IFERROR(IF(VALUE(MID($C302,2,20))&lt;100000000,VALUE(MID($C302,2,20)),1000000000),1000000000))+ROW()/100000,"")</f>
        <v/>
      </c>
    </row>
    <row r="303">
      <c r="G303" s="7" t="n"/>
      <c r="H303" s="7" t="n"/>
      <c r="N303" s="7">
        <f>IF($C303="","",M303*Y303/100)</f>
        <v/>
      </c>
      <c r="O303" s="11" t="n"/>
      <c r="T303" s="7" t="n"/>
      <c r="V303" s="7">
        <f>IF($C303="","",Y303*AA303/100)</f>
        <v/>
      </c>
      <c r="W303" s="7">
        <f>IF($C303="","",Y303-V303)</f>
        <v/>
      </c>
      <c r="X303" s="7">
        <f>IF($C303="","",W303-N303)</f>
        <v/>
      </c>
      <c r="Y303" s="7" t="n"/>
      <c r="AA303">
        <f>IF($C303="","",IF($AD303=1,Settings!$C$6,Settings!$C$7)*100)</f>
        <v/>
      </c>
      <c r="AB303">
        <f>IF($C303="","",IF(COUNTIF($C$2:$C303,$C303)=1,1,0))</f>
        <v/>
      </c>
      <c r="AC303">
        <f>IF($AB303=1,SUMPRODUCT(--($AE$2:$AE$501&lt;$AE303))+1,"")</f>
        <v/>
      </c>
      <c r="AD303">
        <f>IF($C303="","",IF(OR($Z303=TRUE(),$Z303="TRUE"),0,1))</f>
        <v/>
      </c>
      <c r="AE303">
        <f>IF($AB303=1,IFERROR(IF(VALUE($C303)&lt;100000000,VALUE($C303),1000000000),IFERROR(IF(VALUE(MID($C303,2,20))&lt;100000000,VALUE(MID($C303,2,20)),1000000000),1000000000))+ROW()/100000,"")</f>
        <v/>
      </c>
    </row>
    <row r="304">
      <c r="G304" s="7" t="n"/>
      <c r="H304" s="7" t="n"/>
      <c r="N304" s="7">
        <f>IF($C304="","",M304*Y304/100)</f>
        <v/>
      </c>
      <c r="O304" s="11" t="n"/>
      <c r="T304" s="7" t="n"/>
      <c r="V304" s="7">
        <f>IF($C304="","",Y304*AA304/100)</f>
        <v/>
      </c>
      <c r="W304" s="7">
        <f>IF($C304="","",Y304-V304)</f>
        <v/>
      </c>
      <c r="X304" s="7">
        <f>IF($C304="","",W304-N304)</f>
        <v/>
      </c>
      <c r="Y304" s="7" t="n"/>
      <c r="AA304">
        <f>IF($C304="","",IF($AD304=1,Settings!$C$6,Settings!$C$7)*100)</f>
        <v/>
      </c>
      <c r="AB304">
        <f>IF($C304="","",IF(COUNTIF($C$2:$C304,$C304)=1,1,0))</f>
        <v/>
      </c>
      <c r="AC304">
        <f>IF($AB304=1,SUMPRODUCT(--($AE$2:$AE$501&lt;$AE304))+1,"")</f>
        <v/>
      </c>
      <c r="AD304">
        <f>IF($C304="","",IF(OR($Z304=TRUE(),$Z304="TRUE"),0,1))</f>
        <v/>
      </c>
      <c r="AE304">
        <f>IF($AB304=1,IFERROR(IF(VALUE($C304)&lt;100000000,VALUE($C304),1000000000),IFERROR(IF(VALUE(MID($C304,2,20))&lt;100000000,VALUE(MID($C304,2,20)),1000000000),1000000000))+ROW()/100000,"")</f>
        <v/>
      </c>
    </row>
    <row r="305">
      <c r="G305" s="7" t="n"/>
      <c r="H305" s="7" t="n"/>
      <c r="N305" s="7">
        <f>IF($C305="","",M305*Y305/100)</f>
        <v/>
      </c>
      <c r="O305" s="11" t="n"/>
      <c r="T305" s="7" t="n"/>
      <c r="V305" s="7">
        <f>IF($C305="","",Y305*AA305/100)</f>
        <v/>
      </c>
      <c r="W305" s="7">
        <f>IF($C305="","",Y305-V305)</f>
        <v/>
      </c>
      <c r="X305" s="7">
        <f>IF($C305="","",W305-N305)</f>
        <v/>
      </c>
      <c r="Y305" s="7" t="n"/>
      <c r="AA305">
        <f>IF($C305="","",IF($AD305=1,Settings!$C$6,Settings!$C$7)*100)</f>
        <v/>
      </c>
      <c r="AB305">
        <f>IF($C305="","",IF(COUNTIF($C$2:$C305,$C305)=1,1,0))</f>
        <v/>
      </c>
      <c r="AC305">
        <f>IF($AB305=1,SUMPRODUCT(--($AE$2:$AE$501&lt;$AE305))+1,"")</f>
        <v/>
      </c>
      <c r="AD305">
        <f>IF($C305="","",IF(OR($Z305=TRUE(),$Z305="TRUE"),0,1))</f>
        <v/>
      </c>
      <c r="AE305">
        <f>IF($AB305=1,IFERROR(IF(VALUE($C305)&lt;100000000,VALUE($C305),1000000000),IFERROR(IF(VALUE(MID($C305,2,20))&lt;100000000,VALUE(MID($C305,2,20)),1000000000),1000000000))+ROW()/100000,"")</f>
        <v/>
      </c>
    </row>
    <row r="306">
      <c r="G306" s="7" t="n"/>
      <c r="H306" s="7" t="n"/>
      <c r="N306" s="7">
        <f>IF($C306="","",M306*Y306/100)</f>
        <v/>
      </c>
      <c r="O306" s="11" t="n"/>
      <c r="T306" s="7" t="n"/>
      <c r="V306" s="7">
        <f>IF($C306="","",Y306*AA306/100)</f>
        <v/>
      </c>
      <c r="W306" s="7">
        <f>IF($C306="","",Y306-V306)</f>
        <v/>
      </c>
      <c r="X306" s="7">
        <f>IF($C306="","",W306-N306)</f>
        <v/>
      </c>
      <c r="Y306" s="7" t="n"/>
      <c r="AA306">
        <f>IF($C306="","",IF($AD306=1,Settings!$C$6,Settings!$C$7)*100)</f>
        <v/>
      </c>
      <c r="AB306">
        <f>IF($C306="","",IF(COUNTIF($C$2:$C306,$C306)=1,1,0))</f>
        <v/>
      </c>
      <c r="AC306">
        <f>IF($AB306=1,SUMPRODUCT(--($AE$2:$AE$501&lt;$AE306))+1,"")</f>
        <v/>
      </c>
      <c r="AD306">
        <f>IF($C306="","",IF(OR($Z306=TRUE(),$Z306="TRUE"),0,1))</f>
        <v/>
      </c>
      <c r="AE306">
        <f>IF($AB306=1,IFERROR(IF(VALUE($C306)&lt;100000000,VALUE($C306),1000000000),IFERROR(IF(VALUE(MID($C306,2,20))&lt;100000000,VALUE(MID($C306,2,20)),1000000000),1000000000))+ROW()/100000,"")</f>
        <v/>
      </c>
    </row>
    <row r="307">
      <c r="G307" s="7" t="n"/>
      <c r="H307" s="7" t="n"/>
      <c r="N307" s="7">
        <f>IF($C307="","",M307*Y307/100)</f>
        <v/>
      </c>
      <c r="O307" s="11" t="n"/>
      <c r="T307" s="7" t="n"/>
      <c r="V307" s="7">
        <f>IF($C307="","",Y307*AA307/100)</f>
        <v/>
      </c>
      <c r="W307" s="7">
        <f>IF($C307="","",Y307-V307)</f>
        <v/>
      </c>
      <c r="X307" s="7">
        <f>IF($C307="","",W307-N307)</f>
        <v/>
      </c>
      <c r="Y307" s="7" t="n"/>
      <c r="AA307">
        <f>IF($C307="","",IF($AD307=1,Settings!$C$6,Settings!$C$7)*100)</f>
        <v/>
      </c>
      <c r="AB307">
        <f>IF($C307="","",IF(COUNTIF($C$2:$C307,$C307)=1,1,0))</f>
        <v/>
      </c>
      <c r="AC307">
        <f>IF($AB307=1,SUMPRODUCT(--($AE$2:$AE$501&lt;$AE307))+1,"")</f>
        <v/>
      </c>
      <c r="AD307">
        <f>IF($C307="","",IF(OR($Z307=TRUE(),$Z307="TRUE"),0,1))</f>
        <v/>
      </c>
      <c r="AE307">
        <f>IF($AB307=1,IFERROR(IF(VALUE($C307)&lt;100000000,VALUE($C307),1000000000),IFERROR(IF(VALUE(MID($C307,2,20))&lt;100000000,VALUE(MID($C307,2,20)),1000000000),1000000000))+ROW()/100000,"")</f>
        <v/>
      </c>
    </row>
    <row r="308">
      <c r="G308" s="7" t="n"/>
      <c r="H308" s="7" t="n"/>
      <c r="N308" s="7">
        <f>IF($C308="","",M308*Y308/100)</f>
        <v/>
      </c>
      <c r="O308" s="11" t="n"/>
      <c r="T308" s="7" t="n"/>
      <c r="V308" s="7">
        <f>IF($C308="","",Y308*AA308/100)</f>
        <v/>
      </c>
      <c r="W308" s="7">
        <f>IF($C308="","",Y308-V308)</f>
        <v/>
      </c>
      <c r="X308" s="7">
        <f>IF($C308="","",W308-N308)</f>
        <v/>
      </c>
      <c r="Y308" s="7" t="n"/>
      <c r="AA308">
        <f>IF($C308="","",IF($AD308=1,Settings!$C$6,Settings!$C$7)*100)</f>
        <v/>
      </c>
      <c r="AB308">
        <f>IF($C308="","",IF(COUNTIF($C$2:$C308,$C308)=1,1,0))</f>
        <v/>
      </c>
      <c r="AC308">
        <f>IF($AB308=1,SUMPRODUCT(--($AE$2:$AE$501&lt;$AE308))+1,"")</f>
        <v/>
      </c>
      <c r="AD308">
        <f>IF($C308="","",IF(OR($Z308=TRUE(),$Z308="TRUE"),0,1))</f>
        <v/>
      </c>
      <c r="AE308">
        <f>IF($AB308=1,IFERROR(IF(VALUE($C308)&lt;100000000,VALUE($C308),1000000000),IFERROR(IF(VALUE(MID($C308,2,20))&lt;100000000,VALUE(MID($C308,2,20)),1000000000),1000000000))+ROW()/100000,"")</f>
        <v/>
      </c>
    </row>
    <row r="309">
      <c r="G309" s="7" t="n"/>
      <c r="H309" s="7" t="n"/>
      <c r="N309" s="7">
        <f>IF($C309="","",M309*Y309/100)</f>
        <v/>
      </c>
      <c r="O309" s="11" t="n"/>
      <c r="T309" s="7" t="n"/>
      <c r="V309" s="7">
        <f>IF($C309="","",Y309*AA309/100)</f>
        <v/>
      </c>
      <c r="W309" s="7">
        <f>IF($C309="","",Y309-V309)</f>
        <v/>
      </c>
      <c r="X309" s="7">
        <f>IF($C309="","",W309-N309)</f>
        <v/>
      </c>
      <c r="Y309" s="7" t="n"/>
      <c r="AA309">
        <f>IF($C309="","",IF($AD309=1,Settings!$C$6,Settings!$C$7)*100)</f>
        <v/>
      </c>
      <c r="AB309">
        <f>IF($C309="","",IF(COUNTIF($C$2:$C309,$C309)=1,1,0))</f>
        <v/>
      </c>
      <c r="AC309">
        <f>IF($AB309=1,SUMPRODUCT(--($AE$2:$AE$501&lt;$AE309))+1,"")</f>
        <v/>
      </c>
      <c r="AD309">
        <f>IF($C309="","",IF(OR($Z309=TRUE(),$Z309="TRUE"),0,1))</f>
        <v/>
      </c>
      <c r="AE309">
        <f>IF($AB309=1,IFERROR(IF(VALUE($C309)&lt;100000000,VALUE($C309),1000000000),IFERROR(IF(VALUE(MID($C309,2,20))&lt;100000000,VALUE(MID($C309,2,20)),1000000000),1000000000))+ROW()/100000,"")</f>
        <v/>
      </c>
    </row>
    <row r="310">
      <c r="G310" s="7" t="n"/>
      <c r="H310" s="7" t="n"/>
      <c r="N310" s="7">
        <f>IF($C310="","",M310*Y310/100)</f>
        <v/>
      </c>
      <c r="O310" s="11" t="n"/>
      <c r="T310" s="7" t="n"/>
      <c r="V310" s="7">
        <f>IF($C310="","",Y310*AA310/100)</f>
        <v/>
      </c>
      <c r="W310" s="7">
        <f>IF($C310="","",Y310-V310)</f>
        <v/>
      </c>
      <c r="X310" s="7">
        <f>IF($C310="","",W310-N310)</f>
        <v/>
      </c>
      <c r="Y310" s="7" t="n"/>
      <c r="AA310">
        <f>IF($C310="","",IF($AD310=1,Settings!$C$6,Settings!$C$7)*100)</f>
        <v/>
      </c>
      <c r="AB310">
        <f>IF($C310="","",IF(COUNTIF($C$2:$C310,$C310)=1,1,0))</f>
        <v/>
      </c>
      <c r="AC310">
        <f>IF($AB310=1,SUMPRODUCT(--($AE$2:$AE$501&lt;$AE310))+1,"")</f>
        <v/>
      </c>
      <c r="AD310">
        <f>IF($C310="","",IF(OR($Z310=TRUE(),$Z310="TRUE"),0,1))</f>
        <v/>
      </c>
      <c r="AE310">
        <f>IF($AB310=1,IFERROR(IF(VALUE($C310)&lt;100000000,VALUE($C310),1000000000),IFERROR(IF(VALUE(MID($C310,2,20))&lt;100000000,VALUE(MID($C310,2,20)),1000000000),1000000000))+ROW()/100000,"")</f>
        <v/>
      </c>
    </row>
    <row r="311">
      <c r="G311" s="7" t="n"/>
      <c r="H311" s="7" t="n"/>
      <c r="N311" s="7">
        <f>IF($C311="","",M311*Y311/100)</f>
        <v/>
      </c>
      <c r="O311" s="11" t="n"/>
      <c r="T311" s="7" t="n"/>
      <c r="V311" s="7">
        <f>IF($C311="","",Y311*AA311/100)</f>
        <v/>
      </c>
      <c r="W311" s="7">
        <f>IF($C311="","",Y311-V311)</f>
        <v/>
      </c>
      <c r="X311" s="7">
        <f>IF($C311="","",W311-N311)</f>
        <v/>
      </c>
      <c r="Y311" s="7" t="n"/>
      <c r="AA311">
        <f>IF($C311="","",IF($AD311=1,Settings!$C$6,Settings!$C$7)*100)</f>
        <v/>
      </c>
      <c r="AB311">
        <f>IF($C311="","",IF(COUNTIF($C$2:$C311,$C311)=1,1,0))</f>
        <v/>
      </c>
      <c r="AC311">
        <f>IF($AB311=1,SUMPRODUCT(--($AE$2:$AE$501&lt;$AE311))+1,"")</f>
        <v/>
      </c>
      <c r="AD311">
        <f>IF($C311="","",IF(OR($Z311=TRUE(),$Z311="TRUE"),0,1))</f>
        <v/>
      </c>
      <c r="AE311">
        <f>IF($AB311=1,IFERROR(IF(VALUE($C311)&lt;100000000,VALUE($C311),1000000000),IFERROR(IF(VALUE(MID($C311,2,20))&lt;100000000,VALUE(MID($C311,2,20)),1000000000),1000000000))+ROW()/100000,"")</f>
        <v/>
      </c>
    </row>
    <row r="312">
      <c r="G312" s="7" t="n"/>
      <c r="H312" s="7" t="n"/>
      <c r="N312" s="7">
        <f>IF($C312="","",M312*Y312/100)</f>
        <v/>
      </c>
      <c r="O312" s="11" t="n"/>
      <c r="T312" s="7" t="n"/>
      <c r="V312" s="7">
        <f>IF($C312="","",Y312*AA312/100)</f>
        <v/>
      </c>
      <c r="W312" s="7">
        <f>IF($C312="","",Y312-V312)</f>
        <v/>
      </c>
      <c r="X312" s="7">
        <f>IF($C312="","",W312-N312)</f>
        <v/>
      </c>
      <c r="Y312" s="7" t="n"/>
      <c r="AA312">
        <f>IF($C312="","",IF($AD312=1,Settings!$C$6,Settings!$C$7)*100)</f>
        <v/>
      </c>
      <c r="AB312">
        <f>IF($C312="","",IF(COUNTIF($C$2:$C312,$C312)=1,1,0))</f>
        <v/>
      </c>
      <c r="AC312">
        <f>IF($AB312=1,SUMPRODUCT(--($AE$2:$AE$501&lt;$AE312))+1,"")</f>
        <v/>
      </c>
      <c r="AD312">
        <f>IF($C312="","",IF(OR($Z312=TRUE(),$Z312="TRUE"),0,1))</f>
        <v/>
      </c>
      <c r="AE312">
        <f>IF($AB312=1,IFERROR(IF(VALUE($C312)&lt;100000000,VALUE($C312),1000000000),IFERROR(IF(VALUE(MID($C312,2,20))&lt;100000000,VALUE(MID($C312,2,20)),1000000000),1000000000))+ROW()/100000,"")</f>
        <v/>
      </c>
    </row>
    <row r="313">
      <c r="G313" s="7" t="n"/>
      <c r="H313" s="7" t="n"/>
      <c r="N313" s="7">
        <f>IF($C313="","",M313*Y313/100)</f>
        <v/>
      </c>
      <c r="O313" s="11" t="n"/>
      <c r="T313" s="7" t="n"/>
      <c r="V313" s="7">
        <f>IF($C313="","",Y313*AA313/100)</f>
        <v/>
      </c>
      <c r="W313" s="7">
        <f>IF($C313="","",Y313-V313)</f>
        <v/>
      </c>
      <c r="X313" s="7">
        <f>IF($C313="","",W313-N313)</f>
        <v/>
      </c>
      <c r="Y313" s="7" t="n"/>
      <c r="AA313">
        <f>IF($C313="","",IF($AD313=1,Settings!$C$6,Settings!$C$7)*100)</f>
        <v/>
      </c>
      <c r="AB313">
        <f>IF($C313="","",IF(COUNTIF($C$2:$C313,$C313)=1,1,0))</f>
        <v/>
      </c>
      <c r="AC313">
        <f>IF($AB313=1,SUMPRODUCT(--($AE$2:$AE$501&lt;$AE313))+1,"")</f>
        <v/>
      </c>
      <c r="AD313">
        <f>IF($C313="","",IF(OR($Z313=TRUE(),$Z313="TRUE"),0,1))</f>
        <v/>
      </c>
      <c r="AE313">
        <f>IF($AB313=1,IFERROR(IF(VALUE($C313)&lt;100000000,VALUE($C313),1000000000),IFERROR(IF(VALUE(MID($C313,2,20))&lt;100000000,VALUE(MID($C313,2,20)),1000000000),1000000000))+ROW()/100000,"")</f>
        <v/>
      </c>
    </row>
    <row r="314">
      <c r="G314" s="7" t="n"/>
      <c r="H314" s="7" t="n"/>
      <c r="N314" s="7">
        <f>IF($C314="","",M314*Y314/100)</f>
        <v/>
      </c>
      <c r="O314" s="11" t="n"/>
      <c r="T314" s="7" t="n"/>
      <c r="V314" s="7">
        <f>IF($C314="","",Y314*AA314/100)</f>
        <v/>
      </c>
      <c r="W314" s="7">
        <f>IF($C314="","",Y314-V314)</f>
        <v/>
      </c>
      <c r="X314" s="7">
        <f>IF($C314="","",W314-N314)</f>
        <v/>
      </c>
      <c r="Y314" s="7" t="n"/>
      <c r="AA314">
        <f>IF($C314="","",IF($AD314=1,Settings!$C$6,Settings!$C$7)*100)</f>
        <v/>
      </c>
      <c r="AB314">
        <f>IF($C314="","",IF(COUNTIF($C$2:$C314,$C314)=1,1,0))</f>
        <v/>
      </c>
      <c r="AC314">
        <f>IF($AB314=1,SUMPRODUCT(--($AE$2:$AE$501&lt;$AE314))+1,"")</f>
        <v/>
      </c>
      <c r="AD314">
        <f>IF($C314="","",IF(OR($Z314=TRUE(),$Z314="TRUE"),0,1))</f>
        <v/>
      </c>
      <c r="AE314">
        <f>IF($AB314=1,IFERROR(IF(VALUE($C314)&lt;100000000,VALUE($C314),1000000000),IFERROR(IF(VALUE(MID($C314,2,20))&lt;100000000,VALUE(MID($C314,2,20)),1000000000),1000000000))+ROW()/100000,"")</f>
        <v/>
      </c>
    </row>
    <row r="315">
      <c r="G315" s="7" t="n"/>
      <c r="H315" s="7" t="n"/>
      <c r="N315" s="7">
        <f>IF($C315="","",M315*Y315/100)</f>
        <v/>
      </c>
      <c r="O315" s="11" t="n"/>
      <c r="T315" s="7" t="n"/>
      <c r="V315" s="7">
        <f>IF($C315="","",Y315*AA315/100)</f>
        <v/>
      </c>
      <c r="W315" s="7">
        <f>IF($C315="","",Y315-V315)</f>
        <v/>
      </c>
      <c r="X315" s="7">
        <f>IF($C315="","",W315-N315)</f>
        <v/>
      </c>
      <c r="Y315" s="7" t="n"/>
      <c r="AA315">
        <f>IF($C315="","",IF($AD315=1,Settings!$C$6,Settings!$C$7)*100)</f>
        <v/>
      </c>
      <c r="AB315">
        <f>IF($C315="","",IF(COUNTIF($C$2:$C315,$C315)=1,1,0))</f>
        <v/>
      </c>
      <c r="AC315">
        <f>IF($AB315=1,SUMPRODUCT(--($AE$2:$AE$501&lt;$AE315))+1,"")</f>
        <v/>
      </c>
      <c r="AD315">
        <f>IF($C315="","",IF(OR($Z315=TRUE(),$Z315="TRUE"),0,1))</f>
        <v/>
      </c>
      <c r="AE315">
        <f>IF($AB315=1,IFERROR(IF(VALUE($C315)&lt;100000000,VALUE($C315),1000000000),IFERROR(IF(VALUE(MID($C315,2,20))&lt;100000000,VALUE(MID($C315,2,20)),1000000000),1000000000))+ROW()/100000,"")</f>
        <v/>
      </c>
    </row>
    <row r="316">
      <c r="G316" s="7" t="n"/>
      <c r="H316" s="7" t="n"/>
      <c r="N316" s="7">
        <f>IF($C316="","",M316*Y316/100)</f>
        <v/>
      </c>
      <c r="O316" s="11" t="n"/>
      <c r="T316" s="7" t="n"/>
      <c r="V316" s="7">
        <f>IF($C316="","",Y316*AA316/100)</f>
        <v/>
      </c>
      <c r="W316" s="7">
        <f>IF($C316="","",Y316-V316)</f>
        <v/>
      </c>
      <c r="X316" s="7">
        <f>IF($C316="","",W316-N316)</f>
        <v/>
      </c>
      <c r="Y316" s="7" t="n"/>
      <c r="AA316">
        <f>IF($C316="","",IF($AD316=1,Settings!$C$6,Settings!$C$7)*100)</f>
        <v/>
      </c>
      <c r="AB316">
        <f>IF($C316="","",IF(COUNTIF($C$2:$C316,$C316)=1,1,0))</f>
        <v/>
      </c>
      <c r="AC316">
        <f>IF($AB316=1,SUMPRODUCT(--($AE$2:$AE$501&lt;$AE316))+1,"")</f>
        <v/>
      </c>
      <c r="AD316">
        <f>IF($C316="","",IF(OR($Z316=TRUE(),$Z316="TRUE"),0,1))</f>
        <v/>
      </c>
      <c r="AE316">
        <f>IF($AB316=1,IFERROR(IF(VALUE($C316)&lt;100000000,VALUE($C316),1000000000),IFERROR(IF(VALUE(MID($C316,2,20))&lt;100000000,VALUE(MID($C316,2,20)),1000000000),1000000000))+ROW()/100000,"")</f>
        <v/>
      </c>
    </row>
    <row r="317">
      <c r="G317" s="7" t="n"/>
      <c r="H317" s="7" t="n"/>
      <c r="N317" s="7">
        <f>IF($C317="","",M317*Y317/100)</f>
        <v/>
      </c>
      <c r="O317" s="11" t="n"/>
      <c r="T317" s="7" t="n"/>
      <c r="V317" s="7">
        <f>IF($C317="","",Y317*AA317/100)</f>
        <v/>
      </c>
      <c r="W317" s="7">
        <f>IF($C317="","",Y317-V317)</f>
        <v/>
      </c>
      <c r="X317" s="7">
        <f>IF($C317="","",W317-N317)</f>
        <v/>
      </c>
      <c r="Y317" s="7" t="n"/>
      <c r="AA317">
        <f>IF($C317="","",IF($AD317=1,Settings!$C$6,Settings!$C$7)*100)</f>
        <v/>
      </c>
      <c r="AB317">
        <f>IF($C317="","",IF(COUNTIF($C$2:$C317,$C317)=1,1,0))</f>
        <v/>
      </c>
      <c r="AC317">
        <f>IF($AB317=1,SUMPRODUCT(--($AE$2:$AE$501&lt;$AE317))+1,"")</f>
        <v/>
      </c>
      <c r="AD317">
        <f>IF($C317="","",IF(OR($Z317=TRUE(),$Z317="TRUE"),0,1))</f>
        <v/>
      </c>
      <c r="AE317">
        <f>IF($AB317=1,IFERROR(IF(VALUE($C317)&lt;100000000,VALUE($C317),1000000000),IFERROR(IF(VALUE(MID($C317,2,20))&lt;100000000,VALUE(MID($C317,2,20)),1000000000),1000000000))+ROW()/100000,"")</f>
        <v/>
      </c>
    </row>
    <row r="318">
      <c r="G318" s="7" t="n"/>
      <c r="H318" s="7" t="n"/>
      <c r="N318" s="7">
        <f>IF($C318="","",M318*Y318/100)</f>
        <v/>
      </c>
      <c r="O318" s="11" t="n"/>
      <c r="T318" s="7" t="n"/>
      <c r="V318" s="7">
        <f>IF($C318="","",Y318*AA318/100)</f>
        <v/>
      </c>
      <c r="W318" s="7">
        <f>IF($C318="","",Y318-V318)</f>
        <v/>
      </c>
      <c r="X318" s="7">
        <f>IF($C318="","",W318-N318)</f>
        <v/>
      </c>
      <c r="Y318" s="7" t="n"/>
      <c r="AA318">
        <f>IF($C318="","",IF($AD318=1,Settings!$C$6,Settings!$C$7)*100)</f>
        <v/>
      </c>
      <c r="AB318">
        <f>IF($C318="","",IF(COUNTIF($C$2:$C318,$C318)=1,1,0))</f>
        <v/>
      </c>
      <c r="AC318">
        <f>IF($AB318=1,SUMPRODUCT(--($AE$2:$AE$501&lt;$AE318))+1,"")</f>
        <v/>
      </c>
      <c r="AD318">
        <f>IF($C318="","",IF(OR($Z318=TRUE(),$Z318="TRUE"),0,1))</f>
        <v/>
      </c>
      <c r="AE318">
        <f>IF($AB318=1,IFERROR(IF(VALUE($C318)&lt;100000000,VALUE($C318),1000000000),IFERROR(IF(VALUE(MID($C318,2,20))&lt;100000000,VALUE(MID($C318,2,20)),1000000000),1000000000))+ROW()/100000,"")</f>
        <v/>
      </c>
    </row>
    <row r="319">
      <c r="G319" s="7" t="n"/>
      <c r="H319" s="7" t="n"/>
      <c r="N319" s="7">
        <f>IF($C319="","",M319*Y319/100)</f>
        <v/>
      </c>
      <c r="O319" s="11" t="n"/>
      <c r="T319" s="7" t="n"/>
      <c r="V319" s="7">
        <f>IF($C319="","",Y319*AA319/100)</f>
        <v/>
      </c>
      <c r="W319" s="7">
        <f>IF($C319="","",Y319-V319)</f>
        <v/>
      </c>
      <c r="X319" s="7">
        <f>IF($C319="","",W319-N319)</f>
        <v/>
      </c>
      <c r="Y319" s="7" t="n"/>
      <c r="AA319">
        <f>IF($C319="","",IF($AD319=1,Settings!$C$6,Settings!$C$7)*100)</f>
        <v/>
      </c>
      <c r="AB319">
        <f>IF($C319="","",IF(COUNTIF($C$2:$C319,$C319)=1,1,0))</f>
        <v/>
      </c>
      <c r="AC319">
        <f>IF($AB319=1,SUMPRODUCT(--($AE$2:$AE$501&lt;$AE319))+1,"")</f>
        <v/>
      </c>
      <c r="AD319">
        <f>IF($C319="","",IF(OR($Z319=TRUE(),$Z319="TRUE"),0,1))</f>
        <v/>
      </c>
      <c r="AE319">
        <f>IF($AB319=1,IFERROR(IF(VALUE($C319)&lt;100000000,VALUE($C319),1000000000),IFERROR(IF(VALUE(MID($C319,2,20))&lt;100000000,VALUE(MID($C319,2,20)),1000000000),1000000000))+ROW()/100000,"")</f>
        <v/>
      </c>
    </row>
    <row r="320">
      <c r="G320" s="7" t="n"/>
      <c r="H320" s="7" t="n"/>
      <c r="N320" s="7">
        <f>IF($C320="","",M320*Y320/100)</f>
        <v/>
      </c>
      <c r="O320" s="11" t="n"/>
      <c r="T320" s="7" t="n"/>
      <c r="V320" s="7">
        <f>IF($C320="","",Y320*AA320/100)</f>
        <v/>
      </c>
      <c r="W320" s="7">
        <f>IF($C320="","",Y320-V320)</f>
        <v/>
      </c>
      <c r="X320" s="7">
        <f>IF($C320="","",W320-N320)</f>
        <v/>
      </c>
      <c r="Y320" s="7" t="n"/>
      <c r="AA320">
        <f>IF($C320="","",IF($AD320=1,Settings!$C$6,Settings!$C$7)*100)</f>
        <v/>
      </c>
      <c r="AB320">
        <f>IF($C320="","",IF(COUNTIF($C$2:$C320,$C320)=1,1,0))</f>
        <v/>
      </c>
      <c r="AC320">
        <f>IF($AB320=1,SUMPRODUCT(--($AE$2:$AE$501&lt;$AE320))+1,"")</f>
        <v/>
      </c>
      <c r="AD320">
        <f>IF($C320="","",IF(OR($Z320=TRUE(),$Z320="TRUE"),0,1))</f>
        <v/>
      </c>
      <c r="AE320">
        <f>IF($AB320=1,IFERROR(IF(VALUE($C320)&lt;100000000,VALUE($C320),1000000000),IFERROR(IF(VALUE(MID($C320,2,20))&lt;100000000,VALUE(MID($C320,2,20)),1000000000),1000000000))+ROW()/100000,"")</f>
        <v/>
      </c>
    </row>
    <row r="321">
      <c r="G321" s="7" t="n"/>
      <c r="H321" s="7" t="n"/>
      <c r="N321" s="7">
        <f>IF($C321="","",M321*Y321/100)</f>
        <v/>
      </c>
      <c r="O321" s="11" t="n"/>
      <c r="T321" s="7" t="n"/>
      <c r="V321" s="7">
        <f>IF($C321="","",Y321*AA321/100)</f>
        <v/>
      </c>
      <c r="W321" s="7">
        <f>IF($C321="","",Y321-V321)</f>
        <v/>
      </c>
      <c r="X321" s="7">
        <f>IF($C321="","",W321-N321)</f>
        <v/>
      </c>
      <c r="Y321" s="7" t="n"/>
      <c r="AA321">
        <f>IF($C321="","",IF($AD321=1,Settings!$C$6,Settings!$C$7)*100)</f>
        <v/>
      </c>
      <c r="AB321">
        <f>IF($C321="","",IF(COUNTIF($C$2:$C321,$C321)=1,1,0))</f>
        <v/>
      </c>
      <c r="AC321">
        <f>IF($AB321=1,SUMPRODUCT(--($AE$2:$AE$501&lt;$AE321))+1,"")</f>
        <v/>
      </c>
      <c r="AD321">
        <f>IF($C321="","",IF(OR($Z321=TRUE(),$Z321="TRUE"),0,1))</f>
        <v/>
      </c>
      <c r="AE321">
        <f>IF($AB321=1,IFERROR(IF(VALUE($C321)&lt;100000000,VALUE($C321),1000000000),IFERROR(IF(VALUE(MID($C321,2,20))&lt;100000000,VALUE(MID($C321,2,20)),1000000000),1000000000))+ROW()/100000,"")</f>
        <v/>
      </c>
    </row>
    <row r="322">
      <c r="G322" s="7" t="n"/>
      <c r="H322" s="7" t="n"/>
      <c r="N322" s="7">
        <f>IF($C322="","",M322*Y322/100)</f>
        <v/>
      </c>
      <c r="O322" s="11" t="n"/>
      <c r="T322" s="7" t="n"/>
      <c r="V322" s="7">
        <f>IF($C322="","",Y322*AA322/100)</f>
        <v/>
      </c>
      <c r="W322" s="7">
        <f>IF($C322="","",Y322-V322)</f>
        <v/>
      </c>
      <c r="X322" s="7">
        <f>IF($C322="","",W322-N322)</f>
        <v/>
      </c>
      <c r="Y322" s="7" t="n"/>
      <c r="AA322">
        <f>IF($C322="","",IF($AD322=1,Settings!$C$6,Settings!$C$7)*100)</f>
        <v/>
      </c>
      <c r="AB322">
        <f>IF($C322="","",IF(COUNTIF($C$2:$C322,$C322)=1,1,0))</f>
        <v/>
      </c>
      <c r="AC322">
        <f>IF($AB322=1,SUMPRODUCT(--($AE$2:$AE$501&lt;$AE322))+1,"")</f>
        <v/>
      </c>
      <c r="AD322">
        <f>IF($C322="","",IF(OR($Z322=TRUE(),$Z322="TRUE"),0,1))</f>
        <v/>
      </c>
      <c r="AE322">
        <f>IF($AB322=1,IFERROR(IF(VALUE($C322)&lt;100000000,VALUE($C322),1000000000),IFERROR(IF(VALUE(MID($C322,2,20))&lt;100000000,VALUE(MID($C322,2,20)),1000000000),1000000000))+ROW()/100000,"")</f>
        <v/>
      </c>
    </row>
    <row r="323">
      <c r="G323" s="7" t="n"/>
      <c r="H323" s="7" t="n"/>
      <c r="N323" s="7">
        <f>IF($C323="","",M323*Y323/100)</f>
        <v/>
      </c>
      <c r="O323" s="11" t="n"/>
      <c r="T323" s="7" t="n"/>
      <c r="V323" s="7">
        <f>IF($C323="","",Y323*AA323/100)</f>
        <v/>
      </c>
      <c r="W323" s="7">
        <f>IF($C323="","",Y323-V323)</f>
        <v/>
      </c>
      <c r="X323" s="7">
        <f>IF($C323="","",W323-N323)</f>
        <v/>
      </c>
      <c r="Y323" s="7" t="n"/>
      <c r="AA323">
        <f>IF($C323="","",IF($AD323=1,Settings!$C$6,Settings!$C$7)*100)</f>
        <v/>
      </c>
      <c r="AB323">
        <f>IF($C323="","",IF(COUNTIF($C$2:$C323,$C323)=1,1,0))</f>
        <v/>
      </c>
      <c r="AC323">
        <f>IF($AB323=1,SUMPRODUCT(--($AE$2:$AE$501&lt;$AE323))+1,"")</f>
        <v/>
      </c>
      <c r="AD323">
        <f>IF($C323="","",IF(OR($Z323=TRUE(),$Z323="TRUE"),0,1))</f>
        <v/>
      </c>
      <c r="AE323">
        <f>IF($AB323=1,IFERROR(IF(VALUE($C323)&lt;100000000,VALUE($C323),1000000000),IFERROR(IF(VALUE(MID($C323,2,20))&lt;100000000,VALUE(MID($C323,2,20)),1000000000),1000000000))+ROW()/100000,"")</f>
        <v/>
      </c>
    </row>
    <row r="324">
      <c r="G324" s="7" t="n"/>
      <c r="H324" s="7" t="n"/>
      <c r="N324" s="7">
        <f>IF($C324="","",M324*Y324/100)</f>
        <v/>
      </c>
      <c r="O324" s="11" t="n"/>
      <c r="T324" s="7" t="n"/>
      <c r="V324" s="7">
        <f>IF($C324="","",Y324*AA324/100)</f>
        <v/>
      </c>
      <c r="W324" s="7">
        <f>IF($C324="","",Y324-V324)</f>
        <v/>
      </c>
      <c r="X324" s="7">
        <f>IF($C324="","",W324-N324)</f>
        <v/>
      </c>
      <c r="Y324" s="7" t="n"/>
      <c r="AA324">
        <f>IF($C324="","",IF($AD324=1,Settings!$C$6,Settings!$C$7)*100)</f>
        <v/>
      </c>
      <c r="AB324">
        <f>IF($C324="","",IF(COUNTIF($C$2:$C324,$C324)=1,1,0))</f>
        <v/>
      </c>
      <c r="AC324">
        <f>IF($AB324=1,SUMPRODUCT(--($AE$2:$AE$501&lt;$AE324))+1,"")</f>
        <v/>
      </c>
      <c r="AD324">
        <f>IF($C324="","",IF(OR($Z324=TRUE(),$Z324="TRUE"),0,1))</f>
        <v/>
      </c>
      <c r="AE324">
        <f>IF($AB324=1,IFERROR(IF(VALUE($C324)&lt;100000000,VALUE($C324),1000000000),IFERROR(IF(VALUE(MID($C324,2,20))&lt;100000000,VALUE(MID($C324,2,20)),1000000000),1000000000))+ROW()/100000,"")</f>
        <v/>
      </c>
    </row>
    <row r="325">
      <c r="G325" s="7" t="n"/>
      <c r="H325" s="7" t="n"/>
      <c r="N325" s="7">
        <f>IF($C325="","",M325*Y325/100)</f>
        <v/>
      </c>
      <c r="O325" s="11" t="n"/>
      <c r="T325" s="7" t="n"/>
      <c r="V325" s="7">
        <f>IF($C325="","",Y325*AA325/100)</f>
        <v/>
      </c>
      <c r="W325" s="7">
        <f>IF($C325="","",Y325-V325)</f>
        <v/>
      </c>
      <c r="X325" s="7">
        <f>IF($C325="","",W325-N325)</f>
        <v/>
      </c>
      <c r="Y325" s="7" t="n"/>
      <c r="AA325">
        <f>IF($C325="","",IF($AD325=1,Settings!$C$6,Settings!$C$7)*100)</f>
        <v/>
      </c>
      <c r="AB325">
        <f>IF($C325="","",IF(COUNTIF($C$2:$C325,$C325)=1,1,0))</f>
        <v/>
      </c>
      <c r="AC325">
        <f>IF($AB325=1,SUMPRODUCT(--($AE$2:$AE$501&lt;$AE325))+1,"")</f>
        <v/>
      </c>
      <c r="AD325">
        <f>IF($C325="","",IF(OR($Z325=TRUE(),$Z325="TRUE"),0,1))</f>
        <v/>
      </c>
      <c r="AE325">
        <f>IF($AB325=1,IFERROR(IF(VALUE($C325)&lt;100000000,VALUE($C325),1000000000),IFERROR(IF(VALUE(MID($C325,2,20))&lt;100000000,VALUE(MID($C325,2,20)),1000000000),1000000000))+ROW()/100000,"")</f>
        <v/>
      </c>
    </row>
    <row r="326">
      <c r="G326" s="7" t="n"/>
      <c r="H326" s="7" t="n"/>
      <c r="N326" s="7">
        <f>IF($C326="","",M326*Y326/100)</f>
        <v/>
      </c>
      <c r="O326" s="11" t="n"/>
      <c r="T326" s="7" t="n"/>
      <c r="V326" s="7">
        <f>IF($C326="","",Y326*AA326/100)</f>
        <v/>
      </c>
      <c r="W326" s="7">
        <f>IF($C326="","",Y326-V326)</f>
        <v/>
      </c>
      <c r="X326" s="7">
        <f>IF($C326="","",W326-N326)</f>
        <v/>
      </c>
      <c r="Y326" s="7" t="n"/>
      <c r="AA326">
        <f>IF($C326="","",IF($AD326=1,Settings!$C$6,Settings!$C$7)*100)</f>
        <v/>
      </c>
      <c r="AB326">
        <f>IF($C326="","",IF(COUNTIF($C$2:$C326,$C326)=1,1,0))</f>
        <v/>
      </c>
      <c r="AC326">
        <f>IF($AB326=1,SUMPRODUCT(--($AE$2:$AE$501&lt;$AE326))+1,"")</f>
        <v/>
      </c>
      <c r="AD326">
        <f>IF($C326="","",IF(OR($Z326=TRUE(),$Z326="TRUE"),0,1))</f>
        <v/>
      </c>
      <c r="AE326">
        <f>IF($AB326=1,IFERROR(IF(VALUE($C326)&lt;100000000,VALUE($C326),1000000000),IFERROR(IF(VALUE(MID($C326,2,20))&lt;100000000,VALUE(MID($C326,2,20)),1000000000),1000000000))+ROW()/100000,"")</f>
        <v/>
      </c>
    </row>
    <row r="327">
      <c r="G327" s="7" t="n"/>
      <c r="H327" s="7" t="n"/>
      <c r="N327" s="7">
        <f>IF($C327="","",M327*Y327/100)</f>
        <v/>
      </c>
      <c r="O327" s="11" t="n"/>
      <c r="T327" s="7" t="n"/>
      <c r="V327" s="7">
        <f>IF($C327="","",Y327*AA327/100)</f>
        <v/>
      </c>
      <c r="W327" s="7">
        <f>IF($C327="","",Y327-V327)</f>
        <v/>
      </c>
      <c r="X327" s="7">
        <f>IF($C327="","",W327-N327)</f>
        <v/>
      </c>
      <c r="Y327" s="7" t="n"/>
      <c r="AA327">
        <f>IF($C327="","",IF($AD327=1,Settings!$C$6,Settings!$C$7)*100)</f>
        <v/>
      </c>
      <c r="AB327">
        <f>IF($C327="","",IF(COUNTIF($C$2:$C327,$C327)=1,1,0))</f>
        <v/>
      </c>
      <c r="AC327">
        <f>IF($AB327=1,SUMPRODUCT(--($AE$2:$AE$501&lt;$AE327))+1,"")</f>
        <v/>
      </c>
      <c r="AD327">
        <f>IF($C327="","",IF(OR($Z327=TRUE(),$Z327="TRUE"),0,1))</f>
        <v/>
      </c>
      <c r="AE327">
        <f>IF($AB327=1,IFERROR(IF(VALUE($C327)&lt;100000000,VALUE($C327),1000000000),IFERROR(IF(VALUE(MID($C327,2,20))&lt;100000000,VALUE(MID($C327,2,20)),1000000000),1000000000))+ROW()/100000,"")</f>
        <v/>
      </c>
    </row>
    <row r="328">
      <c r="G328" s="7" t="n"/>
      <c r="H328" s="7" t="n"/>
      <c r="N328" s="7">
        <f>IF($C328="","",M328*Y328/100)</f>
        <v/>
      </c>
      <c r="O328" s="11" t="n"/>
      <c r="T328" s="7" t="n"/>
      <c r="V328" s="7">
        <f>IF($C328="","",Y328*AA328/100)</f>
        <v/>
      </c>
      <c r="W328" s="7">
        <f>IF($C328="","",Y328-V328)</f>
        <v/>
      </c>
      <c r="X328" s="7">
        <f>IF($C328="","",W328-N328)</f>
        <v/>
      </c>
      <c r="Y328" s="7" t="n"/>
      <c r="AA328">
        <f>IF($C328="","",IF($AD328=1,Settings!$C$6,Settings!$C$7)*100)</f>
        <v/>
      </c>
      <c r="AB328">
        <f>IF($C328="","",IF(COUNTIF($C$2:$C328,$C328)=1,1,0))</f>
        <v/>
      </c>
      <c r="AC328">
        <f>IF($AB328=1,SUMPRODUCT(--($AE$2:$AE$501&lt;$AE328))+1,"")</f>
        <v/>
      </c>
      <c r="AD328">
        <f>IF($C328="","",IF(OR($Z328=TRUE(),$Z328="TRUE"),0,1))</f>
        <v/>
      </c>
      <c r="AE328">
        <f>IF($AB328=1,IFERROR(IF(VALUE($C328)&lt;100000000,VALUE($C328),1000000000),IFERROR(IF(VALUE(MID($C328,2,20))&lt;100000000,VALUE(MID($C328,2,20)),1000000000),1000000000))+ROW()/100000,"")</f>
        <v/>
      </c>
    </row>
    <row r="329">
      <c r="G329" s="7" t="n"/>
      <c r="H329" s="7" t="n"/>
      <c r="N329" s="7">
        <f>IF($C329="","",M329*Y329/100)</f>
        <v/>
      </c>
      <c r="O329" s="11" t="n"/>
      <c r="T329" s="7" t="n"/>
      <c r="V329" s="7">
        <f>IF($C329="","",Y329*AA329/100)</f>
        <v/>
      </c>
      <c r="W329" s="7">
        <f>IF($C329="","",Y329-V329)</f>
        <v/>
      </c>
      <c r="X329" s="7">
        <f>IF($C329="","",W329-N329)</f>
        <v/>
      </c>
      <c r="Y329" s="7" t="n"/>
      <c r="AA329">
        <f>IF($C329="","",IF($AD329=1,Settings!$C$6,Settings!$C$7)*100)</f>
        <v/>
      </c>
      <c r="AB329">
        <f>IF($C329="","",IF(COUNTIF($C$2:$C329,$C329)=1,1,0))</f>
        <v/>
      </c>
      <c r="AC329">
        <f>IF($AB329=1,SUMPRODUCT(--($AE$2:$AE$501&lt;$AE329))+1,"")</f>
        <v/>
      </c>
      <c r="AD329">
        <f>IF($C329="","",IF(OR($Z329=TRUE(),$Z329="TRUE"),0,1))</f>
        <v/>
      </c>
      <c r="AE329">
        <f>IF($AB329=1,IFERROR(IF(VALUE($C329)&lt;100000000,VALUE($C329),1000000000),IFERROR(IF(VALUE(MID($C329,2,20))&lt;100000000,VALUE(MID($C329,2,20)),1000000000),1000000000))+ROW()/100000,"")</f>
        <v/>
      </c>
    </row>
    <row r="330">
      <c r="G330" s="7" t="n"/>
      <c r="H330" s="7" t="n"/>
      <c r="N330" s="7">
        <f>IF($C330="","",M330*Y330/100)</f>
        <v/>
      </c>
      <c r="O330" s="11" t="n"/>
      <c r="T330" s="7" t="n"/>
      <c r="V330" s="7">
        <f>IF($C330="","",Y330*AA330/100)</f>
        <v/>
      </c>
      <c r="W330" s="7">
        <f>IF($C330="","",Y330-V330)</f>
        <v/>
      </c>
      <c r="X330" s="7">
        <f>IF($C330="","",W330-N330)</f>
        <v/>
      </c>
      <c r="Y330" s="7" t="n"/>
      <c r="AA330">
        <f>IF($C330="","",IF($AD330=1,Settings!$C$6,Settings!$C$7)*100)</f>
        <v/>
      </c>
      <c r="AB330">
        <f>IF($C330="","",IF(COUNTIF($C$2:$C330,$C330)=1,1,0))</f>
        <v/>
      </c>
      <c r="AC330">
        <f>IF($AB330=1,SUMPRODUCT(--($AE$2:$AE$501&lt;$AE330))+1,"")</f>
        <v/>
      </c>
      <c r="AD330">
        <f>IF($C330="","",IF(OR($Z330=TRUE(),$Z330="TRUE"),0,1))</f>
        <v/>
      </c>
      <c r="AE330">
        <f>IF($AB330=1,IFERROR(IF(VALUE($C330)&lt;100000000,VALUE($C330),1000000000),IFERROR(IF(VALUE(MID($C330,2,20))&lt;100000000,VALUE(MID($C330,2,20)),1000000000),1000000000))+ROW()/100000,"")</f>
        <v/>
      </c>
    </row>
    <row r="331">
      <c r="G331" s="7" t="n"/>
      <c r="H331" s="7" t="n"/>
      <c r="N331" s="7">
        <f>IF($C331="","",M331*Y331/100)</f>
        <v/>
      </c>
      <c r="O331" s="11" t="n"/>
      <c r="T331" s="7" t="n"/>
      <c r="V331" s="7">
        <f>IF($C331="","",Y331*AA331/100)</f>
        <v/>
      </c>
      <c r="W331" s="7">
        <f>IF($C331="","",Y331-V331)</f>
        <v/>
      </c>
      <c r="X331" s="7">
        <f>IF($C331="","",W331-N331)</f>
        <v/>
      </c>
      <c r="Y331" s="7" t="n"/>
      <c r="AA331">
        <f>IF($C331="","",IF($AD331=1,Settings!$C$6,Settings!$C$7)*100)</f>
        <v/>
      </c>
      <c r="AB331">
        <f>IF($C331="","",IF(COUNTIF($C$2:$C331,$C331)=1,1,0))</f>
        <v/>
      </c>
      <c r="AC331">
        <f>IF($AB331=1,SUMPRODUCT(--($AE$2:$AE$501&lt;$AE331))+1,"")</f>
        <v/>
      </c>
      <c r="AD331">
        <f>IF($C331="","",IF(OR($Z331=TRUE(),$Z331="TRUE"),0,1))</f>
        <v/>
      </c>
      <c r="AE331">
        <f>IF($AB331=1,IFERROR(IF(VALUE($C331)&lt;100000000,VALUE($C331),1000000000),IFERROR(IF(VALUE(MID($C331,2,20))&lt;100000000,VALUE(MID($C331,2,20)),1000000000),1000000000))+ROW()/100000,"")</f>
        <v/>
      </c>
    </row>
    <row r="332">
      <c r="G332" s="7" t="n"/>
      <c r="H332" s="7" t="n"/>
      <c r="N332" s="7">
        <f>IF($C332="","",M332*Y332/100)</f>
        <v/>
      </c>
      <c r="O332" s="11" t="n"/>
      <c r="T332" s="7" t="n"/>
      <c r="V332" s="7">
        <f>IF($C332="","",Y332*AA332/100)</f>
        <v/>
      </c>
      <c r="W332" s="7">
        <f>IF($C332="","",Y332-V332)</f>
        <v/>
      </c>
      <c r="X332" s="7">
        <f>IF($C332="","",W332-N332)</f>
        <v/>
      </c>
      <c r="Y332" s="7" t="n"/>
      <c r="AA332">
        <f>IF($C332="","",IF($AD332=1,Settings!$C$6,Settings!$C$7)*100)</f>
        <v/>
      </c>
      <c r="AB332">
        <f>IF($C332="","",IF(COUNTIF($C$2:$C332,$C332)=1,1,0))</f>
        <v/>
      </c>
      <c r="AC332">
        <f>IF($AB332=1,SUMPRODUCT(--($AE$2:$AE$501&lt;$AE332))+1,"")</f>
        <v/>
      </c>
      <c r="AD332">
        <f>IF($C332="","",IF(OR($Z332=TRUE(),$Z332="TRUE"),0,1))</f>
        <v/>
      </c>
      <c r="AE332">
        <f>IF($AB332=1,IFERROR(IF(VALUE($C332)&lt;100000000,VALUE($C332),1000000000),IFERROR(IF(VALUE(MID($C332,2,20))&lt;100000000,VALUE(MID($C332,2,20)),1000000000),1000000000))+ROW()/100000,"")</f>
        <v/>
      </c>
    </row>
    <row r="333">
      <c r="G333" s="7" t="n"/>
      <c r="H333" s="7" t="n"/>
      <c r="N333" s="7">
        <f>IF($C333="","",M333*Y333/100)</f>
        <v/>
      </c>
      <c r="O333" s="11" t="n"/>
      <c r="T333" s="7" t="n"/>
      <c r="V333" s="7">
        <f>IF($C333="","",Y333*AA333/100)</f>
        <v/>
      </c>
      <c r="W333" s="7">
        <f>IF($C333="","",Y333-V333)</f>
        <v/>
      </c>
      <c r="X333" s="7">
        <f>IF($C333="","",W333-N333)</f>
        <v/>
      </c>
      <c r="Y333" s="7" t="n"/>
      <c r="AA333">
        <f>IF($C333="","",IF($AD333=1,Settings!$C$6,Settings!$C$7)*100)</f>
        <v/>
      </c>
      <c r="AB333">
        <f>IF($C333="","",IF(COUNTIF($C$2:$C333,$C333)=1,1,0))</f>
        <v/>
      </c>
      <c r="AC333">
        <f>IF($AB333=1,SUMPRODUCT(--($AE$2:$AE$501&lt;$AE333))+1,"")</f>
        <v/>
      </c>
      <c r="AD333">
        <f>IF($C333="","",IF(OR($Z333=TRUE(),$Z333="TRUE"),0,1))</f>
        <v/>
      </c>
      <c r="AE333">
        <f>IF($AB333=1,IFERROR(IF(VALUE($C333)&lt;100000000,VALUE($C333),1000000000),IFERROR(IF(VALUE(MID($C333,2,20))&lt;100000000,VALUE(MID($C333,2,20)),1000000000),1000000000))+ROW()/100000,"")</f>
        <v/>
      </c>
    </row>
    <row r="334">
      <c r="G334" s="7" t="n"/>
      <c r="H334" s="7" t="n"/>
      <c r="N334" s="7">
        <f>IF($C334="","",M334*Y334/100)</f>
        <v/>
      </c>
      <c r="O334" s="11" t="n"/>
      <c r="T334" s="7" t="n"/>
      <c r="V334" s="7">
        <f>IF($C334="","",Y334*AA334/100)</f>
        <v/>
      </c>
      <c r="W334" s="7">
        <f>IF($C334="","",Y334-V334)</f>
        <v/>
      </c>
      <c r="X334" s="7">
        <f>IF($C334="","",W334-N334)</f>
        <v/>
      </c>
      <c r="Y334" s="7" t="n"/>
      <c r="AA334">
        <f>IF($C334="","",IF($AD334=1,Settings!$C$6,Settings!$C$7)*100)</f>
        <v/>
      </c>
      <c r="AB334">
        <f>IF($C334="","",IF(COUNTIF($C$2:$C334,$C334)=1,1,0))</f>
        <v/>
      </c>
      <c r="AC334">
        <f>IF($AB334=1,SUMPRODUCT(--($AE$2:$AE$501&lt;$AE334))+1,"")</f>
        <v/>
      </c>
      <c r="AD334">
        <f>IF($C334="","",IF(OR($Z334=TRUE(),$Z334="TRUE"),0,1))</f>
        <v/>
      </c>
      <c r="AE334">
        <f>IF($AB334=1,IFERROR(IF(VALUE($C334)&lt;100000000,VALUE($C334),1000000000),IFERROR(IF(VALUE(MID($C334,2,20))&lt;100000000,VALUE(MID($C334,2,20)),1000000000),1000000000))+ROW()/100000,"")</f>
        <v/>
      </c>
    </row>
    <row r="335">
      <c r="G335" s="7" t="n"/>
      <c r="H335" s="7" t="n"/>
      <c r="N335" s="7">
        <f>IF($C335="","",M335*Y335/100)</f>
        <v/>
      </c>
      <c r="O335" s="11" t="n"/>
      <c r="T335" s="7" t="n"/>
      <c r="V335" s="7">
        <f>IF($C335="","",Y335*AA335/100)</f>
        <v/>
      </c>
      <c r="W335" s="7">
        <f>IF($C335="","",Y335-V335)</f>
        <v/>
      </c>
      <c r="X335" s="7">
        <f>IF($C335="","",W335-N335)</f>
        <v/>
      </c>
      <c r="Y335" s="7" t="n"/>
      <c r="AA335">
        <f>IF($C335="","",IF($AD335=1,Settings!$C$6,Settings!$C$7)*100)</f>
        <v/>
      </c>
      <c r="AB335">
        <f>IF($C335="","",IF(COUNTIF($C$2:$C335,$C335)=1,1,0))</f>
        <v/>
      </c>
      <c r="AC335">
        <f>IF($AB335=1,SUMPRODUCT(--($AE$2:$AE$501&lt;$AE335))+1,"")</f>
        <v/>
      </c>
      <c r="AD335">
        <f>IF($C335="","",IF(OR($Z335=TRUE(),$Z335="TRUE"),0,1))</f>
        <v/>
      </c>
      <c r="AE335">
        <f>IF($AB335=1,IFERROR(IF(VALUE($C335)&lt;100000000,VALUE($C335),1000000000),IFERROR(IF(VALUE(MID($C335,2,20))&lt;100000000,VALUE(MID($C335,2,20)),1000000000),1000000000))+ROW()/100000,"")</f>
        <v/>
      </c>
    </row>
    <row r="336">
      <c r="G336" s="7" t="n"/>
      <c r="H336" s="7" t="n"/>
      <c r="N336" s="7">
        <f>IF($C336="","",M336*Y336/100)</f>
        <v/>
      </c>
      <c r="O336" s="11" t="n"/>
      <c r="T336" s="7" t="n"/>
      <c r="V336" s="7">
        <f>IF($C336="","",Y336*AA336/100)</f>
        <v/>
      </c>
      <c r="W336" s="7">
        <f>IF($C336="","",Y336-V336)</f>
        <v/>
      </c>
      <c r="X336" s="7">
        <f>IF($C336="","",W336-N336)</f>
        <v/>
      </c>
      <c r="Y336" s="7" t="n"/>
      <c r="AA336">
        <f>IF($C336="","",IF($AD336=1,Settings!$C$6,Settings!$C$7)*100)</f>
        <v/>
      </c>
      <c r="AB336">
        <f>IF($C336="","",IF(COUNTIF($C$2:$C336,$C336)=1,1,0))</f>
        <v/>
      </c>
      <c r="AC336">
        <f>IF($AB336=1,SUMPRODUCT(--($AE$2:$AE$501&lt;$AE336))+1,"")</f>
        <v/>
      </c>
      <c r="AD336">
        <f>IF($C336="","",IF(OR($Z336=TRUE(),$Z336="TRUE"),0,1))</f>
        <v/>
      </c>
      <c r="AE336">
        <f>IF($AB336=1,IFERROR(IF(VALUE($C336)&lt;100000000,VALUE($C336),1000000000),IFERROR(IF(VALUE(MID($C336,2,20))&lt;100000000,VALUE(MID($C336,2,20)),1000000000),1000000000))+ROW()/100000,"")</f>
        <v/>
      </c>
    </row>
    <row r="337">
      <c r="G337" s="7" t="n"/>
      <c r="H337" s="7" t="n"/>
      <c r="N337" s="7">
        <f>IF($C337="","",M337*Y337/100)</f>
        <v/>
      </c>
      <c r="O337" s="11" t="n"/>
      <c r="T337" s="7" t="n"/>
      <c r="V337" s="7">
        <f>IF($C337="","",Y337*AA337/100)</f>
        <v/>
      </c>
      <c r="W337" s="7">
        <f>IF($C337="","",Y337-V337)</f>
        <v/>
      </c>
      <c r="X337" s="7">
        <f>IF($C337="","",W337-N337)</f>
        <v/>
      </c>
      <c r="Y337" s="7" t="n"/>
      <c r="AA337">
        <f>IF($C337="","",IF($AD337=1,Settings!$C$6,Settings!$C$7)*100)</f>
        <v/>
      </c>
      <c r="AB337">
        <f>IF($C337="","",IF(COUNTIF($C$2:$C337,$C337)=1,1,0))</f>
        <v/>
      </c>
      <c r="AC337">
        <f>IF($AB337=1,SUMPRODUCT(--($AE$2:$AE$501&lt;$AE337))+1,"")</f>
        <v/>
      </c>
      <c r="AD337">
        <f>IF($C337="","",IF(OR($Z337=TRUE(),$Z337="TRUE"),0,1))</f>
        <v/>
      </c>
      <c r="AE337">
        <f>IF($AB337=1,IFERROR(IF(VALUE($C337)&lt;100000000,VALUE($C337),1000000000),IFERROR(IF(VALUE(MID($C337,2,20))&lt;100000000,VALUE(MID($C337,2,20)),1000000000),1000000000))+ROW()/100000,"")</f>
        <v/>
      </c>
    </row>
    <row r="338">
      <c r="G338" s="7" t="n"/>
      <c r="H338" s="7" t="n"/>
      <c r="N338" s="7">
        <f>IF($C338="","",M338*Y338/100)</f>
        <v/>
      </c>
      <c r="O338" s="11" t="n"/>
      <c r="T338" s="7" t="n"/>
      <c r="V338" s="7">
        <f>IF($C338="","",Y338*AA338/100)</f>
        <v/>
      </c>
      <c r="W338" s="7">
        <f>IF($C338="","",Y338-V338)</f>
        <v/>
      </c>
      <c r="X338" s="7">
        <f>IF($C338="","",W338-N338)</f>
        <v/>
      </c>
      <c r="Y338" s="7" t="n"/>
      <c r="AA338">
        <f>IF($C338="","",IF($AD338=1,Settings!$C$6,Settings!$C$7)*100)</f>
        <v/>
      </c>
      <c r="AB338">
        <f>IF($C338="","",IF(COUNTIF($C$2:$C338,$C338)=1,1,0))</f>
        <v/>
      </c>
      <c r="AC338">
        <f>IF($AB338=1,SUMPRODUCT(--($AE$2:$AE$501&lt;$AE338))+1,"")</f>
        <v/>
      </c>
      <c r="AD338">
        <f>IF($C338="","",IF(OR($Z338=TRUE(),$Z338="TRUE"),0,1))</f>
        <v/>
      </c>
      <c r="AE338">
        <f>IF($AB338=1,IFERROR(IF(VALUE($C338)&lt;100000000,VALUE($C338),1000000000),IFERROR(IF(VALUE(MID($C338,2,20))&lt;100000000,VALUE(MID($C338,2,20)),1000000000),1000000000))+ROW()/100000,"")</f>
        <v/>
      </c>
    </row>
    <row r="339">
      <c r="G339" s="7" t="n"/>
      <c r="H339" s="7" t="n"/>
      <c r="N339" s="7">
        <f>IF($C339="","",M339*Y339/100)</f>
        <v/>
      </c>
      <c r="O339" s="11" t="n"/>
      <c r="T339" s="7" t="n"/>
      <c r="V339" s="7">
        <f>IF($C339="","",Y339*AA339/100)</f>
        <v/>
      </c>
      <c r="W339" s="7">
        <f>IF($C339="","",Y339-V339)</f>
        <v/>
      </c>
      <c r="X339" s="7">
        <f>IF($C339="","",W339-N339)</f>
        <v/>
      </c>
      <c r="Y339" s="7" t="n"/>
      <c r="AA339">
        <f>IF($C339="","",IF($AD339=1,Settings!$C$6,Settings!$C$7)*100)</f>
        <v/>
      </c>
      <c r="AB339">
        <f>IF($C339="","",IF(COUNTIF($C$2:$C339,$C339)=1,1,0))</f>
        <v/>
      </c>
      <c r="AC339">
        <f>IF($AB339=1,SUMPRODUCT(--($AE$2:$AE$501&lt;$AE339))+1,"")</f>
        <v/>
      </c>
      <c r="AD339">
        <f>IF($C339="","",IF(OR($Z339=TRUE(),$Z339="TRUE"),0,1))</f>
        <v/>
      </c>
      <c r="AE339">
        <f>IF($AB339=1,IFERROR(IF(VALUE($C339)&lt;100000000,VALUE($C339),1000000000),IFERROR(IF(VALUE(MID($C339,2,20))&lt;100000000,VALUE(MID($C339,2,20)),1000000000),1000000000))+ROW()/100000,"")</f>
        <v/>
      </c>
    </row>
    <row r="340">
      <c r="G340" s="7" t="n"/>
      <c r="H340" s="7" t="n"/>
      <c r="N340" s="7">
        <f>IF($C340="","",M340*Y340/100)</f>
        <v/>
      </c>
      <c r="O340" s="11" t="n"/>
      <c r="T340" s="7" t="n"/>
      <c r="V340" s="7">
        <f>IF($C340="","",Y340*AA340/100)</f>
        <v/>
      </c>
      <c r="W340" s="7">
        <f>IF($C340="","",Y340-V340)</f>
        <v/>
      </c>
      <c r="X340" s="7">
        <f>IF($C340="","",W340-N340)</f>
        <v/>
      </c>
      <c r="Y340" s="7" t="n"/>
      <c r="AA340">
        <f>IF($C340="","",IF($AD340=1,Settings!$C$6,Settings!$C$7)*100)</f>
        <v/>
      </c>
      <c r="AB340">
        <f>IF($C340="","",IF(COUNTIF($C$2:$C340,$C340)=1,1,0))</f>
        <v/>
      </c>
      <c r="AC340">
        <f>IF($AB340=1,SUMPRODUCT(--($AE$2:$AE$501&lt;$AE340))+1,"")</f>
        <v/>
      </c>
      <c r="AD340">
        <f>IF($C340="","",IF(OR($Z340=TRUE(),$Z340="TRUE"),0,1))</f>
        <v/>
      </c>
      <c r="AE340">
        <f>IF($AB340=1,IFERROR(IF(VALUE($C340)&lt;100000000,VALUE($C340),1000000000),IFERROR(IF(VALUE(MID($C340,2,20))&lt;100000000,VALUE(MID($C340,2,20)),1000000000),1000000000))+ROW()/100000,"")</f>
        <v/>
      </c>
    </row>
    <row r="341">
      <c r="G341" s="7" t="n"/>
      <c r="H341" s="7" t="n"/>
      <c r="N341" s="7">
        <f>IF($C341="","",M341*Y341/100)</f>
        <v/>
      </c>
      <c r="O341" s="11" t="n"/>
      <c r="T341" s="7" t="n"/>
      <c r="V341" s="7">
        <f>IF($C341="","",Y341*AA341/100)</f>
        <v/>
      </c>
      <c r="W341" s="7">
        <f>IF($C341="","",Y341-V341)</f>
        <v/>
      </c>
      <c r="X341" s="7">
        <f>IF($C341="","",W341-N341)</f>
        <v/>
      </c>
      <c r="Y341" s="7" t="n"/>
      <c r="AA341">
        <f>IF($C341="","",IF($AD341=1,Settings!$C$6,Settings!$C$7)*100)</f>
        <v/>
      </c>
      <c r="AB341">
        <f>IF($C341="","",IF(COUNTIF($C$2:$C341,$C341)=1,1,0))</f>
        <v/>
      </c>
      <c r="AC341">
        <f>IF($AB341=1,SUMPRODUCT(--($AE$2:$AE$501&lt;$AE341))+1,"")</f>
        <v/>
      </c>
      <c r="AD341">
        <f>IF($C341="","",IF(OR($Z341=TRUE(),$Z341="TRUE"),0,1))</f>
        <v/>
      </c>
      <c r="AE341">
        <f>IF($AB341=1,IFERROR(IF(VALUE($C341)&lt;100000000,VALUE($C341),1000000000),IFERROR(IF(VALUE(MID($C341,2,20))&lt;100000000,VALUE(MID($C341,2,20)),1000000000),1000000000))+ROW()/100000,"")</f>
        <v/>
      </c>
    </row>
    <row r="342">
      <c r="G342" s="7" t="n"/>
      <c r="H342" s="7" t="n"/>
      <c r="N342" s="7">
        <f>IF($C342="","",M342*Y342/100)</f>
        <v/>
      </c>
      <c r="O342" s="11" t="n"/>
      <c r="T342" s="7" t="n"/>
      <c r="V342" s="7">
        <f>IF($C342="","",Y342*AA342/100)</f>
        <v/>
      </c>
      <c r="W342" s="7">
        <f>IF($C342="","",Y342-V342)</f>
        <v/>
      </c>
      <c r="X342" s="7">
        <f>IF($C342="","",W342-N342)</f>
        <v/>
      </c>
      <c r="Y342" s="7" t="n"/>
      <c r="AA342">
        <f>IF($C342="","",IF($AD342=1,Settings!$C$6,Settings!$C$7)*100)</f>
        <v/>
      </c>
      <c r="AB342">
        <f>IF($C342="","",IF(COUNTIF($C$2:$C342,$C342)=1,1,0))</f>
        <v/>
      </c>
      <c r="AC342">
        <f>IF($AB342=1,SUMPRODUCT(--($AE$2:$AE$501&lt;$AE342))+1,"")</f>
        <v/>
      </c>
      <c r="AD342">
        <f>IF($C342="","",IF(OR($Z342=TRUE(),$Z342="TRUE"),0,1))</f>
        <v/>
      </c>
      <c r="AE342">
        <f>IF($AB342=1,IFERROR(IF(VALUE($C342)&lt;100000000,VALUE($C342),1000000000),IFERROR(IF(VALUE(MID($C342,2,20))&lt;100000000,VALUE(MID($C342,2,20)),1000000000),1000000000))+ROW()/100000,"")</f>
        <v/>
      </c>
    </row>
    <row r="343">
      <c r="G343" s="7" t="n"/>
      <c r="H343" s="7" t="n"/>
      <c r="N343" s="7">
        <f>IF($C343="","",M343*Y343/100)</f>
        <v/>
      </c>
      <c r="O343" s="11" t="n"/>
      <c r="T343" s="7" t="n"/>
      <c r="V343" s="7">
        <f>IF($C343="","",Y343*AA343/100)</f>
        <v/>
      </c>
      <c r="W343" s="7">
        <f>IF($C343="","",Y343-V343)</f>
        <v/>
      </c>
      <c r="X343" s="7">
        <f>IF($C343="","",W343-N343)</f>
        <v/>
      </c>
      <c r="Y343" s="7" t="n"/>
      <c r="AA343">
        <f>IF($C343="","",IF($AD343=1,Settings!$C$6,Settings!$C$7)*100)</f>
        <v/>
      </c>
      <c r="AB343">
        <f>IF($C343="","",IF(COUNTIF($C$2:$C343,$C343)=1,1,0))</f>
        <v/>
      </c>
      <c r="AC343">
        <f>IF($AB343=1,SUMPRODUCT(--($AE$2:$AE$501&lt;$AE343))+1,"")</f>
        <v/>
      </c>
      <c r="AD343">
        <f>IF($C343="","",IF(OR($Z343=TRUE(),$Z343="TRUE"),0,1))</f>
        <v/>
      </c>
      <c r="AE343">
        <f>IF($AB343=1,IFERROR(IF(VALUE($C343)&lt;100000000,VALUE($C343),1000000000),IFERROR(IF(VALUE(MID($C343,2,20))&lt;100000000,VALUE(MID($C343,2,20)),1000000000),1000000000))+ROW()/100000,"")</f>
        <v/>
      </c>
    </row>
    <row r="344">
      <c r="G344" s="7" t="n"/>
      <c r="H344" s="7" t="n"/>
      <c r="N344" s="7">
        <f>IF($C344="","",M344*Y344/100)</f>
        <v/>
      </c>
      <c r="O344" s="11" t="n"/>
      <c r="T344" s="7" t="n"/>
      <c r="V344" s="7">
        <f>IF($C344="","",Y344*AA344/100)</f>
        <v/>
      </c>
      <c r="W344" s="7">
        <f>IF($C344="","",Y344-V344)</f>
        <v/>
      </c>
      <c r="X344" s="7">
        <f>IF($C344="","",W344-N344)</f>
        <v/>
      </c>
      <c r="Y344" s="7" t="n"/>
      <c r="AA344">
        <f>IF($C344="","",IF($AD344=1,Settings!$C$6,Settings!$C$7)*100)</f>
        <v/>
      </c>
      <c r="AB344">
        <f>IF($C344="","",IF(COUNTIF($C$2:$C344,$C344)=1,1,0))</f>
        <v/>
      </c>
      <c r="AC344">
        <f>IF($AB344=1,SUMPRODUCT(--($AE$2:$AE$501&lt;$AE344))+1,"")</f>
        <v/>
      </c>
      <c r="AD344">
        <f>IF($C344="","",IF(OR($Z344=TRUE(),$Z344="TRUE"),0,1))</f>
        <v/>
      </c>
      <c r="AE344">
        <f>IF($AB344=1,IFERROR(IF(VALUE($C344)&lt;100000000,VALUE($C344),1000000000),IFERROR(IF(VALUE(MID($C344,2,20))&lt;100000000,VALUE(MID($C344,2,20)),1000000000),1000000000))+ROW()/100000,"")</f>
        <v/>
      </c>
    </row>
    <row r="345">
      <c r="G345" s="7" t="n"/>
      <c r="H345" s="7" t="n"/>
      <c r="N345" s="7">
        <f>IF($C345="","",M345*Y345/100)</f>
        <v/>
      </c>
      <c r="O345" s="11" t="n"/>
      <c r="T345" s="7" t="n"/>
      <c r="V345" s="7">
        <f>IF($C345="","",Y345*AA345/100)</f>
        <v/>
      </c>
      <c r="W345" s="7">
        <f>IF($C345="","",Y345-V345)</f>
        <v/>
      </c>
      <c r="X345" s="7">
        <f>IF($C345="","",W345-N345)</f>
        <v/>
      </c>
      <c r="Y345" s="7" t="n"/>
      <c r="AA345">
        <f>IF($C345="","",IF($AD345=1,Settings!$C$6,Settings!$C$7)*100)</f>
        <v/>
      </c>
      <c r="AB345">
        <f>IF($C345="","",IF(COUNTIF($C$2:$C345,$C345)=1,1,0))</f>
        <v/>
      </c>
      <c r="AC345">
        <f>IF($AB345=1,SUMPRODUCT(--($AE$2:$AE$501&lt;$AE345))+1,"")</f>
        <v/>
      </c>
      <c r="AD345">
        <f>IF($C345="","",IF(OR($Z345=TRUE(),$Z345="TRUE"),0,1))</f>
        <v/>
      </c>
      <c r="AE345">
        <f>IF($AB345=1,IFERROR(IF(VALUE($C345)&lt;100000000,VALUE($C345),1000000000),IFERROR(IF(VALUE(MID($C345,2,20))&lt;100000000,VALUE(MID($C345,2,20)),1000000000),1000000000))+ROW()/100000,"")</f>
        <v/>
      </c>
    </row>
    <row r="346">
      <c r="G346" s="7" t="n"/>
      <c r="H346" s="7" t="n"/>
      <c r="N346" s="7">
        <f>IF($C346="","",M346*Y346/100)</f>
        <v/>
      </c>
      <c r="O346" s="11" t="n"/>
      <c r="T346" s="7" t="n"/>
      <c r="V346" s="7">
        <f>IF($C346="","",Y346*AA346/100)</f>
        <v/>
      </c>
      <c r="W346" s="7">
        <f>IF($C346="","",Y346-V346)</f>
        <v/>
      </c>
      <c r="X346" s="7">
        <f>IF($C346="","",W346-N346)</f>
        <v/>
      </c>
      <c r="Y346" s="7" t="n"/>
      <c r="AA346">
        <f>IF($C346="","",IF($AD346=1,Settings!$C$6,Settings!$C$7)*100)</f>
        <v/>
      </c>
      <c r="AB346">
        <f>IF($C346="","",IF(COUNTIF($C$2:$C346,$C346)=1,1,0))</f>
        <v/>
      </c>
      <c r="AC346">
        <f>IF($AB346=1,SUMPRODUCT(--($AE$2:$AE$501&lt;$AE346))+1,"")</f>
        <v/>
      </c>
      <c r="AD346">
        <f>IF($C346="","",IF(OR($Z346=TRUE(),$Z346="TRUE"),0,1))</f>
        <v/>
      </c>
      <c r="AE346">
        <f>IF($AB346=1,IFERROR(IF(VALUE($C346)&lt;100000000,VALUE($C346),1000000000),IFERROR(IF(VALUE(MID($C346,2,20))&lt;100000000,VALUE(MID($C346,2,20)),1000000000),1000000000))+ROW()/100000,"")</f>
        <v/>
      </c>
    </row>
    <row r="347">
      <c r="G347" s="7" t="n"/>
      <c r="H347" s="7" t="n"/>
      <c r="N347" s="7">
        <f>IF($C347="","",M347*Y347/100)</f>
        <v/>
      </c>
      <c r="O347" s="11" t="n"/>
      <c r="T347" s="7" t="n"/>
      <c r="V347" s="7">
        <f>IF($C347="","",Y347*AA347/100)</f>
        <v/>
      </c>
      <c r="W347" s="7">
        <f>IF($C347="","",Y347-V347)</f>
        <v/>
      </c>
      <c r="X347" s="7">
        <f>IF($C347="","",W347-N347)</f>
        <v/>
      </c>
      <c r="Y347" s="7" t="n"/>
      <c r="AA347">
        <f>IF($C347="","",IF($AD347=1,Settings!$C$6,Settings!$C$7)*100)</f>
        <v/>
      </c>
      <c r="AB347">
        <f>IF($C347="","",IF(COUNTIF($C$2:$C347,$C347)=1,1,0))</f>
        <v/>
      </c>
      <c r="AC347">
        <f>IF($AB347=1,SUMPRODUCT(--($AE$2:$AE$501&lt;$AE347))+1,"")</f>
        <v/>
      </c>
      <c r="AD347">
        <f>IF($C347="","",IF(OR($Z347=TRUE(),$Z347="TRUE"),0,1))</f>
        <v/>
      </c>
      <c r="AE347">
        <f>IF($AB347=1,IFERROR(IF(VALUE($C347)&lt;100000000,VALUE($C347),1000000000),IFERROR(IF(VALUE(MID($C347,2,20))&lt;100000000,VALUE(MID($C347,2,20)),1000000000),1000000000))+ROW()/100000,"")</f>
        <v/>
      </c>
    </row>
    <row r="348">
      <c r="G348" s="7" t="n"/>
      <c r="H348" s="7" t="n"/>
      <c r="N348" s="7">
        <f>IF($C348="","",M348*Y348/100)</f>
        <v/>
      </c>
      <c r="O348" s="11" t="n"/>
      <c r="T348" s="7" t="n"/>
      <c r="V348" s="7">
        <f>IF($C348="","",Y348*AA348/100)</f>
        <v/>
      </c>
      <c r="W348" s="7">
        <f>IF($C348="","",Y348-V348)</f>
        <v/>
      </c>
      <c r="X348" s="7">
        <f>IF($C348="","",W348-N348)</f>
        <v/>
      </c>
      <c r="Y348" s="7" t="n"/>
      <c r="AA348">
        <f>IF($C348="","",IF($AD348=1,Settings!$C$6,Settings!$C$7)*100)</f>
        <v/>
      </c>
      <c r="AB348">
        <f>IF($C348="","",IF(COUNTIF($C$2:$C348,$C348)=1,1,0))</f>
        <v/>
      </c>
      <c r="AC348">
        <f>IF($AB348=1,SUMPRODUCT(--($AE$2:$AE$501&lt;$AE348))+1,"")</f>
        <v/>
      </c>
      <c r="AD348">
        <f>IF($C348="","",IF(OR($Z348=TRUE(),$Z348="TRUE"),0,1))</f>
        <v/>
      </c>
      <c r="AE348">
        <f>IF($AB348=1,IFERROR(IF(VALUE($C348)&lt;100000000,VALUE($C348),1000000000),IFERROR(IF(VALUE(MID($C348,2,20))&lt;100000000,VALUE(MID($C348,2,20)),1000000000),1000000000))+ROW()/100000,"")</f>
        <v/>
      </c>
    </row>
    <row r="349">
      <c r="G349" s="7" t="n"/>
      <c r="H349" s="7" t="n"/>
      <c r="N349" s="7">
        <f>IF($C349="","",M349*Y349/100)</f>
        <v/>
      </c>
      <c r="O349" s="11" t="n"/>
      <c r="T349" s="7" t="n"/>
      <c r="V349" s="7">
        <f>IF($C349="","",Y349*AA349/100)</f>
        <v/>
      </c>
      <c r="W349" s="7">
        <f>IF($C349="","",Y349-V349)</f>
        <v/>
      </c>
      <c r="X349" s="7">
        <f>IF($C349="","",W349-N349)</f>
        <v/>
      </c>
      <c r="Y349" s="7" t="n"/>
      <c r="AA349">
        <f>IF($C349="","",IF($AD349=1,Settings!$C$6,Settings!$C$7)*100)</f>
        <v/>
      </c>
      <c r="AB349">
        <f>IF($C349="","",IF(COUNTIF($C$2:$C349,$C349)=1,1,0))</f>
        <v/>
      </c>
      <c r="AC349">
        <f>IF($AB349=1,SUMPRODUCT(--($AE$2:$AE$501&lt;$AE349))+1,"")</f>
        <v/>
      </c>
      <c r="AD349">
        <f>IF($C349="","",IF(OR($Z349=TRUE(),$Z349="TRUE"),0,1))</f>
        <v/>
      </c>
      <c r="AE349">
        <f>IF($AB349=1,IFERROR(IF(VALUE($C349)&lt;100000000,VALUE($C349),1000000000),IFERROR(IF(VALUE(MID($C349,2,20))&lt;100000000,VALUE(MID($C349,2,20)),1000000000),1000000000))+ROW()/100000,"")</f>
        <v/>
      </c>
    </row>
    <row r="350">
      <c r="G350" s="7" t="n"/>
      <c r="H350" s="7" t="n"/>
      <c r="N350" s="7">
        <f>IF($C350="","",M350*Y350/100)</f>
        <v/>
      </c>
      <c r="O350" s="11" t="n"/>
      <c r="T350" s="7" t="n"/>
      <c r="V350" s="7">
        <f>IF($C350="","",Y350*AA350/100)</f>
        <v/>
      </c>
      <c r="W350" s="7">
        <f>IF($C350="","",Y350-V350)</f>
        <v/>
      </c>
      <c r="X350" s="7">
        <f>IF($C350="","",W350-N350)</f>
        <v/>
      </c>
      <c r="Y350" s="7" t="n"/>
      <c r="AA350">
        <f>IF($C350="","",IF($AD350=1,Settings!$C$6,Settings!$C$7)*100)</f>
        <v/>
      </c>
      <c r="AB350">
        <f>IF($C350="","",IF(COUNTIF($C$2:$C350,$C350)=1,1,0))</f>
        <v/>
      </c>
      <c r="AC350">
        <f>IF($AB350=1,SUMPRODUCT(--($AE$2:$AE$501&lt;$AE350))+1,"")</f>
        <v/>
      </c>
      <c r="AD350">
        <f>IF($C350="","",IF(OR($Z350=TRUE(),$Z350="TRUE"),0,1))</f>
        <v/>
      </c>
      <c r="AE350">
        <f>IF($AB350=1,IFERROR(IF(VALUE($C350)&lt;100000000,VALUE($C350),1000000000),IFERROR(IF(VALUE(MID($C350,2,20))&lt;100000000,VALUE(MID($C350,2,20)),1000000000),1000000000))+ROW()/100000,"")</f>
        <v/>
      </c>
    </row>
    <row r="351">
      <c r="G351" s="7" t="n"/>
      <c r="H351" s="7" t="n"/>
      <c r="N351" s="7">
        <f>IF($C351="","",M351*Y351/100)</f>
        <v/>
      </c>
      <c r="O351" s="11" t="n"/>
      <c r="T351" s="7" t="n"/>
      <c r="V351" s="7">
        <f>IF($C351="","",Y351*AA351/100)</f>
        <v/>
      </c>
      <c r="W351" s="7">
        <f>IF($C351="","",Y351-V351)</f>
        <v/>
      </c>
      <c r="X351" s="7">
        <f>IF($C351="","",W351-N351)</f>
        <v/>
      </c>
      <c r="Y351" s="7" t="n"/>
      <c r="AA351">
        <f>IF($C351="","",IF($AD351=1,Settings!$C$6,Settings!$C$7)*100)</f>
        <v/>
      </c>
      <c r="AB351">
        <f>IF($C351="","",IF(COUNTIF($C$2:$C351,$C351)=1,1,0))</f>
        <v/>
      </c>
      <c r="AC351">
        <f>IF($AB351=1,SUMPRODUCT(--($AE$2:$AE$501&lt;$AE351))+1,"")</f>
        <v/>
      </c>
      <c r="AD351">
        <f>IF($C351="","",IF(OR($Z351=TRUE(),$Z351="TRUE"),0,1))</f>
        <v/>
      </c>
      <c r="AE351">
        <f>IF($AB351=1,IFERROR(IF(VALUE($C351)&lt;100000000,VALUE($C351),1000000000),IFERROR(IF(VALUE(MID($C351,2,20))&lt;100000000,VALUE(MID($C351,2,20)),1000000000),1000000000))+ROW()/100000,"")</f>
        <v/>
      </c>
    </row>
    <row r="352">
      <c r="G352" s="7" t="n"/>
      <c r="H352" s="7" t="n"/>
      <c r="N352" s="7">
        <f>IF($C352="","",M352*Y352/100)</f>
        <v/>
      </c>
      <c r="O352" s="11" t="n"/>
      <c r="T352" s="7" t="n"/>
      <c r="V352" s="7">
        <f>IF($C352="","",Y352*AA352/100)</f>
        <v/>
      </c>
      <c r="W352" s="7">
        <f>IF($C352="","",Y352-V352)</f>
        <v/>
      </c>
      <c r="X352" s="7">
        <f>IF($C352="","",W352-N352)</f>
        <v/>
      </c>
      <c r="Y352" s="7" t="n"/>
      <c r="AA352">
        <f>IF($C352="","",IF($AD352=1,Settings!$C$6,Settings!$C$7)*100)</f>
        <v/>
      </c>
      <c r="AB352">
        <f>IF($C352="","",IF(COUNTIF($C$2:$C352,$C352)=1,1,0))</f>
        <v/>
      </c>
      <c r="AC352">
        <f>IF($AB352=1,SUMPRODUCT(--($AE$2:$AE$501&lt;$AE352))+1,"")</f>
        <v/>
      </c>
      <c r="AD352">
        <f>IF($C352="","",IF(OR($Z352=TRUE(),$Z352="TRUE"),0,1))</f>
        <v/>
      </c>
      <c r="AE352">
        <f>IF($AB352=1,IFERROR(IF(VALUE($C352)&lt;100000000,VALUE($C352),1000000000),IFERROR(IF(VALUE(MID($C352,2,20))&lt;100000000,VALUE(MID($C352,2,20)),1000000000),1000000000))+ROW()/100000,"")</f>
        <v/>
      </c>
    </row>
    <row r="353">
      <c r="G353" s="7" t="n"/>
      <c r="H353" s="7" t="n"/>
      <c r="N353" s="7">
        <f>IF($C353="","",M353*Y353/100)</f>
        <v/>
      </c>
      <c r="O353" s="11" t="n"/>
      <c r="T353" s="7" t="n"/>
      <c r="V353" s="7">
        <f>IF($C353="","",Y353*AA353/100)</f>
        <v/>
      </c>
      <c r="W353" s="7">
        <f>IF($C353="","",Y353-V353)</f>
        <v/>
      </c>
      <c r="X353" s="7">
        <f>IF($C353="","",W353-N353)</f>
        <v/>
      </c>
      <c r="Y353" s="7" t="n"/>
      <c r="AA353">
        <f>IF($C353="","",IF($AD353=1,Settings!$C$6,Settings!$C$7)*100)</f>
        <v/>
      </c>
      <c r="AB353">
        <f>IF($C353="","",IF(COUNTIF($C$2:$C353,$C353)=1,1,0))</f>
        <v/>
      </c>
      <c r="AC353">
        <f>IF($AB353=1,SUMPRODUCT(--($AE$2:$AE$501&lt;$AE353))+1,"")</f>
        <v/>
      </c>
      <c r="AD353">
        <f>IF($C353="","",IF(OR($Z353=TRUE(),$Z353="TRUE"),0,1))</f>
        <v/>
      </c>
      <c r="AE353">
        <f>IF($AB353=1,IFERROR(IF(VALUE($C353)&lt;100000000,VALUE($C353),1000000000),IFERROR(IF(VALUE(MID($C353,2,20))&lt;100000000,VALUE(MID($C353,2,20)),1000000000),1000000000))+ROW()/100000,"")</f>
        <v/>
      </c>
    </row>
    <row r="354">
      <c r="G354" s="7" t="n"/>
      <c r="H354" s="7" t="n"/>
      <c r="N354" s="7">
        <f>IF($C354="","",M354*Y354/100)</f>
        <v/>
      </c>
      <c r="O354" s="11" t="n"/>
      <c r="T354" s="7" t="n"/>
      <c r="V354" s="7">
        <f>IF($C354="","",Y354*AA354/100)</f>
        <v/>
      </c>
      <c r="W354" s="7">
        <f>IF($C354="","",Y354-V354)</f>
        <v/>
      </c>
      <c r="X354" s="7">
        <f>IF($C354="","",W354-N354)</f>
        <v/>
      </c>
      <c r="Y354" s="7" t="n"/>
      <c r="AA354">
        <f>IF($C354="","",IF($AD354=1,Settings!$C$6,Settings!$C$7)*100)</f>
        <v/>
      </c>
      <c r="AB354">
        <f>IF($C354="","",IF(COUNTIF($C$2:$C354,$C354)=1,1,0))</f>
        <v/>
      </c>
      <c r="AC354">
        <f>IF($AB354=1,SUMPRODUCT(--($AE$2:$AE$501&lt;$AE354))+1,"")</f>
        <v/>
      </c>
      <c r="AD354">
        <f>IF($C354="","",IF(OR($Z354=TRUE(),$Z354="TRUE"),0,1))</f>
        <v/>
      </c>
      <c r="AE354">
        <f>IF($AB354=1,IFERROR(IF(VALUE($C354)&lt;100000000,VALUE($C354),1000000000),IFERROR(IF(VALUE(MID($C354,2,20))&lt;100000000,VALUE(MID($C354,2,20)),1000000000),1000000000))+ROW()/100000,"")</f>
        <v/>
      </c>
    </row>
    <row r="355">
      <c r="G355" s="7" t="n"/>
      <c r="H355" s="7" t="n"/>
      <c r="N355" s="7">
        <f>IF($C355="","",M355*Y355/100)</f>
        <v/>
      </c>
      <c r="O355" s="11" t="n"/>
      <c r="T355" s="7" t="n"/>
      <c r="V355" s="7">
        <f>IF($C355="","",Y355*AA355/100)</f>
        <v/>
      </c>
      <c r="W355" s="7">
        <f>IF($C355="","",Y355-V355)</f>
        <v/>
      </c>
      <c r="X355" s="7">
        <f>IF($C355="","",W355-N355)</f>
        <v/>
      </c>
      <c r="Y355" s="7" t="n"/>
      <c r="AA355">
        <f>IF($C355="","",IF($AD355=1,Settings!$C$6,Settings!$C$7)*100)</f>
        <v/>
      </c>
      <c r="AB355">
        <f>IF($C355="","",IF(COUNTIF($C$2:$C355,$C355)=1,1,0))</f>
        <v/>
      </c>
      <c r="AC355">
        <f>IF($AB355=1,SUMPRODUCT(--($AE$2:$AE$501&lt;$AE355))+1,"")</f>
        <v/>
      </c>
      <c r="AD355">
        <f>IF($C355="","",IF(OR($Z355=TRUE(),$Z355="TRUE"),0,1))</f>
        <v/>
      </c>
      <c r="AE355">
        <f>IF($AB355=1,IFERROR(IF(VALUE($C355)&lt;100000000,VALUE($C355),1000000000),IFERROR(IF(VALUE(MID($C355,2,20))&lt;100000000,VALUE(MID($C355,2,20)),1000000000),1000000000))+ROW()/100000,"")</f>
        <v/>
      </c>
    </row>
    <row r="356">
      <c r="G356" s="7" t="n"/>
      <c r="H356" s="7" t="n"/>
      <c r="N356" s="7">
        <f>IF($C356="","",M356*Y356/100)</f>
        <v/>
      </c>
      <c r="O356" s="11" t="n"/>
      <c r="T356" s="7" t="n"/>
      <c r="V356" s="7">
        <f>IF($C356="","",Y356*AA356/100)</f>
        <v/>
      </c>
      <c r="W356" s="7">
        <f>IF($C356="","",Y356-V356)</f>
        <v/>
      </c>
      <c r="X356" s="7">
        <f>IF($C356="","",W356-N356)</f>
        <v/>
      </c>
      <c r="Y356" s="7" t="n"/>
      <c r="AA356">
        <f>IF($C356="","",IF($AD356=1,Settings!$C$6,Settings!$C$7)*100)</f>
        <v/>
      </c>
      <c r="AB356">
        <f>IF($C356="","",IF(COUNTIF($C$2:$C356,$C356)=1,1,0))</f>
        <v/>
      </c>
      <c r="AC356">
        <f>IF($AB356=1,SUMPRODUCT(--($AE$2:$AE$501&lt;$AE356))+1,"")</f>
        <v/>
      </c>
      <c r="AD356">
        <f>IF($C356="","",IF(OR($Z356=TRUE(),$Z356="TRUE"),0,1))</f>
        <v/>
      </c>
      <c r="AE356">
        <f>IF($AB356=1,IFERROR(IF(VALUE($C356)&lt;100000000,VALUE($C356),1000000000),IFERROR(IF(VALUE(MID($C356,2,20))&lt;100000000,VALUE(MID($C356,2,20)),1000000000),1000000000))+ROW()/100000,"")</f>
        <v/>
      </c>
    </row>
    <row r="357">
      <c r="G357" s="7" t="n"/>
      <c r="H357" s="7" t="n"/>
      <c r="N357" s="7">
        <f>IF($C357="","",M357*Y357/100)</f>
        <v/>
      </c>
      <c r="O357" s="11" t="n"/>
      <c r="T357" s="7" t="n"/>
      <c r="V357" s="7">
        <f>IF($C357="","",Y357*AA357/100)</f>
        <v/>
      </c>
      <c r="W357" s="7">
        <f>IF($C357="","",Y357-V357)</f>
        <v/>
      </c>
      <c r="X357" s="7">
        <f>IF($C357="","",W357-N357)</f>
        <v/>
      </c>
      <c r="Y357" s="7" t="n"/>
      <c r="AA357">
        <f>IF($C357="","",IF($AD357=1,Settings!$C$6,Settings!$C$7)*100)</f>
        <v/>
      </c>
      <c r="AB357">
        <f>IF($C357="","",IF(COUNTIF($C$2:$C357,$C357)=1,1,0))</f>
        <v/>
      </c>
      <c r="AC357">
        <f>IF($AB357=1,SUMPRODUCT(--($AE$2:$AE$501&lt;$AE357))+1,"")</f>
        <v/>
      </c>
      <c r="AD357">
        <f>IF($C357="","",IF(OR($Z357=TRUE(),$Z357="TRUE"),0,1))</f>
        <v/>
      </c>
      <c r="AE357">
        <f>IF($AB357=1,IFERROR(IF(VALUE($C357)&lt;100000000,VALUE($C357),1000000000),IFERROR(IF(VALUE(MID($C357,2,20))&lt;100000000,VALUE(MID($C357,2,20)),1000000000),1000000000))+ROW()/100000,"")</f>
        <v/>
      </c>
    </row>
    <row r="358">
      <c r="G358" s="7" t="n"/>
      <c r="H358" s="7" t="n"/>
      <c r="N358" s="7">
        <f>IF($C358="","",M358*Y358/100)</f>
        <v/>
      </c>
      <c r="O358" s="11" t="n"/>
      <c r="T358" s="7" t="n"/>
      <c r="V358" s="7">
        <f>IF($C358="","",Y358*AA358/100)</f>
        <v/>
      </c>
      <c r="W358" s="7">
        <f>IF($C358="","",Y358-V358)</f>
        <v/>
      </c>
      <c r="X358" s="7">
        <f>IF($C358="","",W358-N358)</f>
        <v/>
      </c>
      <c r="Y358" s="7" t="n"/>
      <c r="AA358">
        <f>IF($C358="","",IF($AD358=1,Settings!$C$6,Settings!$C$7)*100)</f>
        <v/>
      </c>
      <c r="AB358">
        <f>IF($C358="","",IF(COUNTIF($C$2:$C358,$C358)=1,1,0))</f>
        <v/>
      </c>
      <c r="AC358">
        <f>IF($AB358=1,SUMPRODUCT(--($AE$2:$AE$501&lt;$AE358))+1,"")</f>
        <v/>
      </c>
      <c r="AD358">
        <f>IF($C358="","",IF(OR($Z358=TRUE(),$Z358="TRUE"),0,1))</f>
        <v/>
      </c>
      <c r="AE358">
        <f>IF($AB358=1,IFERROR(IF(VALUE($C358)&lt;100000000,VALUE($C358),1000000000),IFERROR(IF(VALUE(MID($C358,2,20))&lt;100000000,VALUE(MID($C358,2,20)),1000000000),1000000000))+ROW()/100000,"")</f>
        <v/>
      </c>
    </row>
    <row r="359">
      <c r="G359" s="7" t="n"/>
      <c r="H359" s="7" t="n"/>
      <c r="N359" s="7">
        <f>IF($C359="","",M359*Y359/100)</f>
        <v/>
      </c>
      <c r="O359" s="11" t="n"/>
      <c r="T359" s="7" t="n"/>
      <c r="V359" s="7">
        <f>IF($C359="","",Y359*AA359/100)</f>
        <v/>
      </c>
      <c r="W359" s="7">
        <f>IF($C359="","",Y359-V359)</f>
        <v/>
      </c>
      <c r="X359" s="7">
        <f>IF($C359="","",W359-N359)</f>
        <v/>
      </c>
      <c r="Y359" s="7" t="n"/>
      <c r="AA359">
        <f>IF($C359="","",IF($AD359=1,Settings!$C$6,Settings!$C$7)*100)</f>
        <v/>
      </c>
      <c r="AB359">
        <f>IF($C359="","",IF(COUNTIF($C$2:$C359,$C359)=1,1,0))</f>
        <v/>
      </c>
      <c r="AC359">
        <f>IF($AB359=1,SUMPRODUCT(--($AE$2:$AE$501&lt;$AE359))+1,"")</f>
        <v/>
      </c>
      <c r="AD359">
        <f>IF($C359="","",IF(OR($Z359=TRUE(),$Z359="TRUE"),0,1))</f>
        <v/>
      </c>
      <c r="AE359">
        <f>IF($AB359=1,IFERROR(IF(VALUE($C359)&lt;100000000,VALUE($C359),1000000000),IFERROR(IF(VALUE(MID($C359,2,20))&lt;100000000,VALUE(MID($C359,2,20)),1000000000),1000000000))+ROW()/100000,"")</f>
        <v/>
      </c>
    </row>
    <row r="360">
      <c r="G360" s="7" t="n"/>
      <c r="H360" s="7" t="n"/>
      <c r="N360" s="7">
        <f>IF($C360="","",M360*Y360/100)</f>
        <v/>
      </c>
      <c r="O360" s="11" t="n"/>
      <c r="T360" s="7" t="n"/>
      <c r="V360" s="7">
        <f>IF($C360="","",Y360*AA360/100)</f>
        <v/>
      </c>
      <c r="W360" s="7">
        <f>IF($C360="","",Y360-V360)</f>
        <v/>
      </c>
      <c r="X360" s="7">
        <f>IF($C360="","",W360-N360)</f>
        <v/>
      </c>
      <c r="Y360" s="7" t="n"/>
      <c r="AA360">
        <f>IF($C360="","",IF($AD360=1,Settings!$C$6,Settings!$C$7)*100)</f>
        <v/>
      </c>
      <c r="AB360">
        <f>IF($C360="","",IF(COUNTIF($C$2:$C360,$C360)=1,1,0))</f>
        <v/>
      </c>
      <c r="AC360">
        <f>IF($AB360=1,SUMPRODUCT(--($AE$2:$AE$501&lt;$AE360))+1,"")</f>
        <v/>
      </c>
      <c r="AD360">
        <f>IF($C360="","",IF(OR($Z360=TRUE(),$Z360="TRUE"),0,1))</f>
        <v/>
      </c>
      <c r="AE360">
        <f>IF($AB360=1,IFERROR(IF(VALUE($C360)&lt;100000000,VALUE($C360),1000000000),IFERROR(IF(VALUE(MID($C360,2,20))&lt;100000000,VALUE(MID($C360,2,20)),1000000000),1000000000))+ROW()/100000,"")</f>
        <v/>
      </c>
    </row>
    <row r="361">
      <c r="G361" s="7" t="n"/>
      <c r="H361" s="7" t="n"/>
      <c r="N361" s="7">
        <f>IF($C361="","",M361*Y361/100)</f>
        <v/>
      </c>
      <c r="O361" s="11" t="n"/>
      <c r="T361" s="7" t="n"/>
      <c r="V361" s="7">
        <f>IF($C361="","",Y361*AA361/100)</f>
        <v/>
      </c>
      <c r="W361" s="7">
        <f>IF($C361="","",Y361-V361)</f>
        <v/>
      </c>
      <c r="X361" s="7">
        <f>IF($C361="","",W361-N361)</f>
        <v/>
      </c>
      <c r="Y361" s="7" t="n"/>
      <c r="AA361">
        <f>IF($C361="","",IF($AD361=1,Settings!$C$6,Settings!$C$7)*100)</f>
        <v/>
      </c>
      <c r="AB361">
        <f>IF($C361="","",IF(COUNTIF($C$2:$C361,$C361)=1,1,0))</f>
        <v/>
      </c>
      <c r="AC361">
        <f>IF($AB361=1,SUMPRODUCT(--($AE$2:$AE$501&lt;$AE361))+1,"")</f>
        <v/>
      </c>
      <c r="AD361">
        <f>IF($C361="","",IF(OR($Z361=TRUE(),$Z361="TRUE"),0,1))</f>
        <v/>
      </c>
      <c r="AE361">
        <f>IF($AB361=1,IFERROR(IF(VALUE($C361)&lt;100000000,VALUE($C361),1000000000),IFERROR(IF(VALUE(MID($C361,2,20))&lt;100000000,VALUE(MID($C361,2,20)),1000000000),1000000000))+ROW()/100000,"")</f>
        <v/>
      </c>
    </row>
    <row r="362">
      <c r="G362" s="7" t="n"/>
      <c r="H362" s="7" t="n"/>
      <c r="N362" s="7">
        <f>IF($C362="","",M362*Y362/100)</f>
        <v/>
      </c>
      <c r="O362" s="11" t="n"/>
      <c r="T362" s="7" t="n"/>
      <c r="V362" s="7">
        <f>IF($C362="","",Y362*AA362/100)</f>
        <v/>
      </c>
      <c r="W362" s="7">
        <f>IF($C362="","",Y362-V362)</f>
        <v/>
      </c>
      <c r="X362" s="7">
        <f>IF($C362="","",W362-N362)</f>
        <v/>
      </c>
      <c r="Y362" s="7" t="n"/>
      <c r="AA362">
        <f>IF($C362="","",IF($AD362=1,Settings!$C$6,Settings!$C$7)*100)</f>
        <v/>
      </c>
      <c r="AB362">
        <f>IF($C362="","",IF(COUNTIF($C$2:$C362,$C362)=1,1,0))</f>
        <v/>
      </c>
      <c r="AC362">
        <f>IF($AB362=1,SUMPRODUCT(--($AE$2:$AE$501&lt;$AE362))+1,"")</f>
        <v/>
      </c>
      <c r="AD362">
        <f>IF($C362="","",IF(OR($Z362=TRUE(),$Z362="TRUE"),0,1))</f>
        <v/>
      </c>
      <c r="AE362">
        <f>IF($AB362=1,IFERROR(IF(VALUE($C362)&lt;100000000,VALUE($C362),1000000000),IFERROR(IF(VALUE(MID($C362,2,20))&lt;100000000,VALUE(MID($C362,2,20)),1000000000),1000000000))+ROW()/100000,"")</f>
        <v/>
      </c>
    </row>
    <row r="363">
      <c r="G363" s="7" t="n"/>
      <c r="H363" s="7" t="n"/>
      <c r="N363" s="7">
        <f>IF($C363="","",M363*Y363/100)</f>
        <v/>
      </c>
      <c r="O363" s="11" t="n"/>
      <c r="T363" s="7" t="n"/>
      <c r="V363" s="7">
        <f>IF($C363="","",Y363*AA363/100)</f>
        <v/>
      </c>
      <c r="W363" s="7">
        <f>IF($C363="","",Y363-V363)</f>
        <v/>
      </c>
      <c r="X363" s="7">
        <f>IF($C363="","",W363-N363)</f>
        <v/>
      </c>
      <c r="Y363" s="7" t="n"/>
      <c r="AA363">
        <f>IF($C363="","",IF($AD363=1,Settings!$C$6,Settings!$C$7)*100)</f>
        <v/>
      </c>
      <c r="AB363">
        <f>IF($C363="","",IF(COUNTIF($C$2:$C363,$C363)=1,1,0))</f>
        <v/>
      </c>
      <c r="AC363">
        <f>IF($AB363=1,SUMPRODUCT(--($AE$2:$AE$501&lt;$AE363))+1,"")</f>
        <v/>
      </c>
      <c r="AD363">
        <f>IF($C363="","",IF(OR($Z363=TRUE(),$Z363="TRUE"),0,1))</f>
        <v/>
      </c>
      <c r="AE363">
        <f>IF($AB363=1,IFERROR(IF(VALUE($C363)&lt;100000000,VALUE($C363),1000000000),IFERROR(IF(VALUE(MID($C363,2,20))&lt;100000000,VALUE(MID($C363,2,20)),1000000000),1000000000))+ROW()/100000,"")</f>
        <v/>
      </c>
    </row>
    <row r="364">
      <c r="G364" s="7" t="n"/>
      <c r="H364" s="7" t="n"/>
      <c r="N364" s="7">
        <f>IF($C364="","",M364*Y364/100)</f>
        <v/>
      </c>
      <c r="O364" s="11" t="n"/>
      <c r="T364" s="7" t="n"/>
      <c r="V364" s="7">
        <f>IF($C364="","",Y364*AA364/100)</f>
        <v/>
      </c>
      <c r="W364" s="7">
        <f>IF($C364="","",Y364-V364)</f>
        <v/>
      </c>
      <c r="X364" s="7">
        <f>IF($C364="","",W364-N364)</f>
        <v/>
      </c>
      <c r="Y364" s="7" t="n"/>
      <c r="AA364">
        <f>IF($C364="","",IF($AD364=1,Settings!$C$6,Settings!$C$7)*100)</f>
        <v/>
      </c>
      <c r="AB364">
        <f>IF($C364="","",IF(COUNTIF($C$2:$C364,$C364)=1,1,0))</f>
        <v/>
      </c>
      <c r="AC364">
        <f>IF($AB364=1,SUMPRODUCT(--($AE$2:$AE$501&lt;$AE364))+1,"")</f>
        <v/>
      </c>
      <c r="AD364">
        <f>IF($C364="","",IF(OR($Z364=TRUE(),$Z364="TRUE"),0,1))</f>
        <v/>
      </c>
      <c r="AE364">
        <f>IF($AB364=1,IFERROR(IF(VALUE($C364)&lt;100000000,VALUE($C364),1000000000),IFERROR(IF(VALUE(MID($C364,2,20))&lt;100000000,VALUE(MID($C364,2,20)),1000000000),1000000000))+ROW()/100000,"")</f>
        <v/>
      </c>
    </row>
    <row r="365">
      <c r="G365" s="7" t="n"/>
      <c r="H365" s="7" t="n"/>
      <c r="N365" s="7">
        <f>IF($C365="","",M365*Y365/100)</f>
        <v/>
      </c>
      <c r="O365" s="11" t="n"/>
      <c r="T365" s="7" t="n"/>
      <c r="V365" s="7">
        <f>IF($C365="","",Y365*AA365/100)</f>
        <v/>
      </c>
      <c r="W365" s="7">
        <f>IF($C365="","",Y365-V365)</f>
        <v/>
      </c>
      <c r="X365" s="7">
        <f>IF($C365="","",W365-N365)</f>
        <v/>
      </c>
      <c r="Y365" s="7" t="n"/>
      <c r="AA365">
        <f>IF($C365="","",IF($AD365=1,Settings!$C$6,Settings!$C$7)*100)</f>
        <v/>
      </c>
      <c r="AB365">
        <f>IF($C365="","",IF(COUNTIF($C$2:$C365,$C365)=1,1,0))</f>
        <v/>
      </c>
      <c r="AC365">
        <f>IF($AB365=1,SUMPRODUCT(--($AE$2:$AE$501&lt;$AE365))+1,"")</f>
        <v/>
      </c>
      <c r="AD365">
        <f>IF($C365="","",IF(OR($Z365=TRUE(),$Z365="TRUE"),0,1))</f>
        <v/>
      </c>
      <c r="AE365">
        <f>IF($AB365=1,IFERROR(IF(VALUE($C365)&lt;100000000,VALUE($C365),1000000000),IFERROR(IF(VALUE(MID($C365,2,20))&lt;100000000,VALUE(MID($C365,2,20)),1000000000),1000000000))+ROW()/100000,"")</f>
        <v/>
      </c>
    </row>
    <row r="366">
      <c r="G366" s="7" t="n"/>
      <c r="H366" s="7" t="n"/>
      <c r="N366" s="7">
        <f>IF($C366="","",M366*Y366/100)</f>
        <v/>
      </c>
      <c r="O366" s="11" t="n"/>
      <c r="T366" s="7" t="n"/>
      <c r="V366" s="7">
        <f>IF($C366="","",Y366*AA366/100)</f>
        <v/>
      </c>
      <c r="W366" s="7">
        <f>IF($C366="","",Y366-V366)</f>
        <v/>
      </c>
      <c r="X366" s="7">
        <f>IF($C366="","",W366-N366)</f>
        <v/>
      </c>
      <c r="Y366" s="7" t="n"/>
      <c r="AA366">
        <f>IF($C366="","",IF($AD366=1,Settings!$C$6,Settings!$C$7)*100)</f>
        <v/>
      </c>
      <c r="AB366">
        <f>IF($C366="","",IF(COUNTIF($C$2:$C366,$C366)=1,1,0))</f>
        <v/>
      </c>
      <c r="AC366">
        <f>IF($AB366=1,SUMPRODUCT(--($AE$2:$AE$501&lt;$AE366))+1,"")</f>
        <v/>
      </c>
      <c r="AD366">
        <f>IF($C366="","",IF(OR($Z366=TRUE(),$Z366="TRUE"),0,1))</f>
        <v/>
      </c>
      <c r="AE366">
        <f>IF($AB366=1,IFERROR(IF(VALUE($C366)&lt;100000000,VALUE($C366),1000000000),IFERROR(IF(VALUE(MID($C366,2,20))&lt;100000000,VALUE(MID($C366,2,20)),1000000000),1000000000))+ROW()/100000,"")</f>
        <v/>
      </c>
    </row>
    <row r="367">
      <c r="G367" s="7" t="n"/>
      <c r="H367" s="7" t="n"/>
      <c r="N367" s="7">
        <f>IF($C367="","",M367*Y367/100)</f>
        <v/>
      </c>
      <c r="O367" s="11" t="n"/>
      <c r="T367" s="7" t="n"/>
      <c r="V367" s="7">
        <f>IF($C367="","",Y367*AA367/100)</f>
        <v/>
      </c>
      <c r="W367" s="7">
        <f>IF($C367="","",Y367-V367)</f>
        <v/>
      </c>
      <c r="X367" s="7">
        <f>IF($C367="","",W367-N367)</f>
        <v/>
      </c>
      <c r="Y367" s="7" t="n"/>
      <c r="AA367">
        <f>IF($C367="","",IF($AD367=1,Settings!$C$6,Settings!$C$7)*100)</f>
        <v/>
      </c>
      <c r="AB367">
        <f>IF($C367="","",IF(COUNTIF($C$2:$C367,$C367)=1,1,0))</f>
        <v/>
      </c>
      <c r="AC367">
        <f>IF($AB367=1,SUMPRODUCT(--($AE$2:$AE$501&lt;$AE367))+1,"")</f>
        <v/>
      </c>
      <c r="AD367">
        <f>IF($C367="","",IF(OR($Z367=TRUE(),$Z367="TRUE"),0,1))</f>
        <v/>
      </c>
      <c r="AE367">
        <f>IF($AB367=1,IFERROR(IF(VALUE($C367)&lt;100000000,VALUE($C367),1000000000),IFERROR(IF(VALUE(MID($C367,2,20))&lt;100000000,VALUE(MID($C367,2,20)),1000000000),1000000000))+ROW()/100000,"")</f>
        <v/>
      </c>
    </row>
    <row r="368">
      <c r="G368" s="7" t="n"/>
      <c r="H368" s="7" t="n"/>
      <c r="N368" s="7">
        <f>IF($C368="","",M368*Y368/100)</f>
        <v/>
      </c>
      <c r="O368" s="11" t="n"/>
      <c r="T368" s="7" t="n"/>
      <c r="V368" s="7">
        <f>IF($C368="","",Y368*AA368/100)</f>
        <v/>
      </c>
      <c r="W368" s="7">
        <f>IF($C368="","",Y368-V368)</f>
        <v/>
      </c>
      <c r="X368" s="7">
        <f>IF($C368="","",W368-N368)</f>
        <v/>
      </c>
      <c r="Y368" s="7" t="n"/>
      <c r="AA368">
        <f>IF($C368="","",IF($AD368=1,Settings!$C$6,Settings!$C$7)*100)</f>
        <v/>
      </c>
      <c r="AB368">
        <f>IF($C368="","",IF(COUNTIF($C$2:$C368,$C368)=1,1,0))</f>
        <v/>
      </c>
      <c r="AC368">
        <f>IF($AB368=1,SUMPRODUCT(--($AE$2:$AE$501&lt;$AE368))+1,"")</f>
        <v/>
      </c>
      <c r="AD368">
        <f>IF($C368="","",IF(OR($Z368=TRUE(),$Z368="TRUE"),0,1))</f>
        <v/>
      </c>
      <c r="AE368">
        <f>IF($AB368=1,IFERROR(IF(VALUE($C368)&lt;100000000,VALUE($C368),1000000000),IFERROR(IF(VALUE(MID($C368,2,20))&lt;100000000,VALUE(MID($C368,2,20)),1000000000),1000000000))+ROW()/100000,"")</f>
        <v/>
      </c>
    </row>
    <row r="369">
      <c r="G369" s="7" t="n"/>
      <c r="H369" s="7" t="n"/>
      <c r="N369" s="7">
        <f>IF($C369="","",M369*Y369/100)</f>
        <v/>
      </c>
      <c r="O369" s="11" t="n"/>
      <c r="T369" s="7" t="n"/>
      <c r="V369" s="7">
        <f>IF($C369="","",Y369*AA369/100)</f>
        <v/>
      </c>
      <c r="W369" s="7">
        <f>IF($C369="","",Y369-V369)</f>
        <v/>
      </c>
      <c r="X369" s="7">
        <f>IF($C369="","",W369-N369)</f>
        <v/>
      </c>
      <c r="Y369" s="7" t="n"/>
      <c r="AA369">
        <f>IF($C369="","",IF($AD369=1,Settings!$C$6,Settings!$C$7)*100)</f>
        <v/>
      </c>
      <c r="AB369">
        <f>IF($C369="","",IF(COUNTIF($C$2:$C369,$C369)=1,1,0))</f>
        <v/>
      </c>
      <c r="AC369">
        <f>IF($AB369=1,SUMPRODUCT(--($AE$2:$AE$501&lt;$AE369))+1,"")</f>
        <v/>
      </c>
      <c r="AD369">
        <f>IF($C369="","",IF(OR($Z369=TRUE(),$Z369="TRUE"),0,1))</f>
        <v/>
      </c>
      <c r="AE369">
        <f>IF($AB369=1,IFERROR(IF(VALUE($C369)&lt;100000000,VALUE($C369),1000000000),IFERROR(IF(VALUE(MID($C369,2,20))&lt;100000000,VALUE(MID($C369,2,20)),1000000000),1000000000))+ROW()/100000,"")</f>
        <v/>
      </c>
    </row>
    <row r="370">
      <c r="G370" s="7" t="n"/>
      <c r="H370" s="7" t="n"/>
      <c r="N370" s="7">
        <f>IF($C370="","",M370*Y370/100)</f>
        <v/>
      </c>
      <c r="O370" s="11" t="n"/>
      <c r="T370" s="7" t="n"/>
      <c r="V370" s="7">
        <f>IF($C370="","",Y370*AA370/100)</f>
        <v/>
      </c>
      <c r="W370" s="7">
        <f>IF($C370="","",Y370-V370)</f>
        <v/>
      </c>
      <c r="X370" s="7">
        <f>IF($C370="","",W370-N370)</f>
        <v/>
      </c>
      <c r="Y370" s="7" t="n"/>
      <c r="AA370">
        <f>IF($C370="","",IF($AD370=1,Settings!$C$6,Settings!$C$7)*100)</f>
        <v/>
      </c>
      <c r="AB370">
        <f>IF($C370="","",IF(COUNTIF($C$2:$C370,$C370)=1,1,0))</f>
        <v/>
      </c>
      <c r="AC370">
        <f>IF($AB370=1,SUMPRODUCT(--($AE$2:$AE$501&lt;$AE370))+1,"")</f>
        <v/>
      </c>
      <c r="AD370">
        <f>IF($C370="","",IF(OR($Z370=TRUE(),$Z370="TRUE"),0,1))</f>
        <v/>
      </c>
      <c r="AE370">
        <f>IF($AB370=1,IFERROR(IF(VALUE($C370)&lt;100000000,VALUE($C370),1000000000),IFERROR(IF(VALUE(MID($C370,2,20))&lt;100000000,VALUE(MID($C370,2,20)),1000000000),1000000000))+ROW()/100000,"")</f>
        <v/>
      </c>
    </row>
    <row r="371">
      <c r="G371" s="7" t="n"/>
      <c r="H371" s="7" t="n"/>
      <c r="N371" s="7">
        <f>IF($C371="","",M371*Y371/100)</f>
        <v/>
      </c>
      <c r="O371" s="11" t="n"/>
      <c r="T371" s="7" t="n"/>
      <c r="V371" s="7">
        <f>IF($C371="","",Y371*AA371/100)</f>
        <v/>
      </c>
      <c r="W371" s="7">
        <f>IF($C371="","",Y371-V371)</f>
        <v/>
      </c>
      <c r="X371" s="7">
        <f>IF($C371="","",W371-N371)</f>
        <v/>
      </c>
      <c r="Y371" s="7" t="n"/>
      <c r="AA371">
        <f>IF($C371="","",IF($AD371=1,Settings!$C$6,Settings!$C$7)*100)</f>
        <v/>
      </c>
      <c r="AB371">
        <f>IF($C371="","",IF(COUNTIF($C$2:$C371,$C371)=1,1,0))</f>
        <v/>
      </c>
      <c r="AC371">
        <f>IF($AB371=1,SUMPRODUCT(--($AE$2:$AE$501&lt;$AE371))+1,"")</f>
        <v/>
      </c>
      <c r="AD371">
        <f>IF($C371="","",IF(OR($Z371=TRUE(),$Z371="TRUE"),0,1))</f>
        <v/>
      </c>
      <c r="AE371">
        <f>IF($AB371=1,IFERROR(IF(VALUE($C371)&lt;100000000,VALUE($C371),1000000000),IFERROR(IF(VALUE(MID($C371,2,20))&lt;100000000,VALUE(MID($C371,2,20)),1000000000),1000000000))+ROW()/100000,"")</f>
        <v/>
      </c>
    </row>
    <row r="372">
      <c r="G372" s="7" t="n"/>
      <c r="H372" s="7" t="n"/>
      <c r="N372" s="7">
        <f>IF($C372="","",M372*Y372/100)</f>
        <v/>
      </c>
      <c r="O372" s="11" t="n"/>
      <c r="T372" s="7" t="n"/>
      <c r="V372" s="7">
        <f>IF($C372="","",Y372*AA372/100)</f>
        <v/>
      </c>
      <c r="W372" s="7">
        <f>IF($C372="","",Y372-V372)</f>
        <v/>
      </c>
      <c r="X372" s="7">
        <f>IF($C372="","",W372-N372)</f>
        <v/>
      </c>
      <c r="Y372" s="7" t="n"/>
      <c r="AA372">
        <f>IF($C372="","",IF($AD372=1,Settings!$C$6,Settings!$C$7)*100)</f>
        <v/>
      </c>
      <c r="AB372">
        <f>IF($C372="","",IF(COUNTIF($C$2:$C372,$C372)=1,1,0))</f>
        <v/>
      </c>
      <c r="AC372">
        <f>IF($AB372=1,SUMPRODUCT(--($AE$2:$AE$501&lt;$AE372))+1,"")</f>
        <v/>
      </c>
      <c r="AD372">
        <f>IF($C372="","",IF(OR($Z372=TRUE(),$Z372="TRUE"),0,1))</f>
        <v/>
      </c>
      <c r="AE372">
        <f>IF($AB372=1,IFERROR(IF(VALUE($C372)&lt;100000000,VALUE($C372),1000000000),IFERROR(IF(VALUE(MID($C372,2,20))&lt;100000000,VALUE(MID($C372,2,20)),1000000000),1000000000))+ROW()/100000,"")</f>
        <v/>
      </c>
    </row>
    <row r="373">
      <c r="G373" s="7" t="n"/>
      <c r="H373" s="7" t="n"/>
      <c r="N373" s="7">
        <f>IF($C373="","",M373*Y373/100)</f>
        <v/>
      </c>
      <c r="O373" s="11" t="n"/>
      <c r="T373" s="7" t="n"/>
      <c r="V373" s="7">
        <f>IF($C373="","",Y373*AA373/100)</f>
        <v/>
      </c>
      <c r="W373" s="7">
        <f>IF($C373="","",Y373-V373)</f>
        <v/>
      </c>
      <c r="X373" s="7">
        <f>IF($C373="","",W373-N373)</f>
        <v/>
      </c>
      <c r="Y373" s="7" t="n"/>
      <c r="AA373">
        <f>IF($C373="","",IF($AD373=1,Settings!$C$6,Settings!$C$7)*100)</f>
        <v/>
      </c>
      <c r="AB373">
        <f>IF($C373="","",IF(COUNTIF($C$2:$C373,$C373)=1,1,0))</f>
        <v/>
      </c>
      <c r="AC373">
        <f>IF($AB373=1,SUMPRODUCT(--($AE$2:$AE$501&lt;$AE373))+1,"")</f>
        <v/>
      </c>
      <c r="AD373">
        <f>IF($C373="","",IF(OR($Z373=TRUE(),$Z373="TRUE"),0,1))</f>
        <v/>
      </c>
      <c r="AE373">
        <f>IF($AB373=1,IFERROR(IF(VALUE($C373)&lt;100000000,VALUE($C373),1000000000),IFERROR(IF(VALUE(MID($C373,2,20))&lt;100000000,VALUE(MID($C373,2,20)),1000000000),1000000000))+ROW()/100000,"")</f>
        <v/>
      </c>
    </row>
    <row r="374">
      <c r="G374" s="7" t="n"/>
      <c r="H374" s="7" t="n"/>
      <c r="N374" s="7">
        <f>IF($C374="","",M374*Y374/100)</f>
        <v/>
      </c>
      <c r="O374" s="11" t="n"/>
      <c r="T374" s="7" t="n"/>
      <c r="V374" s="7">
        <f>IF($C374="","",Y374*AA374/100)</f>
        <v/>
      </c>
      <c r="W374" s="7">
        <f>IF($C374="","",Y374-V374)</f>
        <v/>
      </c>
      <c r="X374" s="7">
        <f>IF($C374="","",W374-N374)</f>
        <v/>
      </c>
      <c r="Y374" s="7" t="n"/>
      <c r="AA374">
        <f>IF($C374="","",IF($AD374=1,Settings!$C$6,Settings!$C$7)*100)</f>
        <v/>
      </c>
      <c r="AB374">
        <f>IF($C374="","",IF(COUNTIF($C$2:$C374,$C374)=1,1,0))</f>
        <v/>
      </c>
      <c r="AC374">
        <f>IF($AB374=1,SUMPRODUCT(--($AE$2:$AE$501&lt;$AE374))+1,"")</f>
        <v/>
      </c>
      <c r="AD374">
        <f>IF($C374="","",IF(OR($Z374=TRUE(),$Z374="TRUE"),0,1))</f>
        <v/>
      </c>
      <c r="AE374">
        <f>IF($AB374=1,IFERROR(IF(VALUE($C374)&lt;100000000,VALUE($C374),1000000000),IFERROR(IF(VALUE(MID($C374,2,20))&lt;100000000,VALUE(MID($C374,2,20)),1000000000),1000000000))+ROW()/100000,"")</f>
        <v/>
      </c>
    </row>
    <row r="375">
      <c r="G375" s="7" t="n"/>
      <c r="H375" s="7" t="n"/>
      <c r="N375" s="7">
        <f>IF($C375="","",M375*Y375/100)</f>
        <v/>
      </c>
      <c r="O375" s="11" t="n"/>
      <c r="T375" s="7" t="n"/>
      <c r="V375" s="7">
        <f>IF($C375="","",Y375*AA375/100)</f>
        <v/>
      </c>
      <c r="W375" s="7">
        <f>IF($C375="","",Y375-V375)</f>
        <v/>
      </c>
      <c r="X375" s="7">
        <f>IF($C375="","",W375-N375)</f>
        <v/>
      </c>
      <c r="Y375" s="7" t="n"/>
      <c r="AA375">
        <f>IF($C375="","",IF($AD375=1,Settings!$C$6,Settings!$C$7)*100)</f>
        <v/>
      </c>
      <c r="AB375">
        <f>IF($C375="","",IF(COUNTIF($C$2:$C375,$C375)=1,1,0))</f>
        <v/>
      </c>
      <c r="AC375">
        <f>IF($AB375=1,SUMPRODUCT(--($AE$2:$AE$501&lt;$AE375))+1,"")</f>
        <v/>
      </c>
      <c r="AD375">
        <f>IF($C375="","",IF(OR($Z375=TRUE(),$Z375="TRUE"),0,1))</f>
        <v/>
      </c>
      <c r="AE375">
        <f>IF($AB375=1,IFERROR(IF(VALUE($C375)&lt;100000000,VALUE($C375),1000000000),IFERROR(IF(VALUE(MID($C375,2,20))&lt;100000000,VALUE(MID($C375,2,20)),1000000000),1000000000))+ROW()/100000,"")</f>
        <v/>
      </c>
    </row>
    <row r="376">
      <c r="G376" s="7" t="n"/>
      <c r="H376" s="7" t="n"/>
      <c r="N376" s="7">
        <f>IF($C376="","",M376*Y376/100)</f>
        <v/>
      </c>
      <c r="O376" s="11" t="n"/>
      <c r="T376" s="7" t="n"/>
      <c r="V376" s="7">
        <f>IF($C376="","",Y376*AA376/100)</f>
        <v/>
      </c>
      <c r="W376" s="7">
        <f>IF($C376="","",Y376-V376)</f>
        <v/>
      </c>
      <c r="X376" s="7">
        <f>IF($C376="","",W376-N376)</f>
        <v/>
      </c>
      <c r="Y376" s="7" t="n"/>
      <c r="AA376">
        <f>IF($C376="","",IF($AD376=1,Settings!$C$6,Settings!$C$7)*100)</f>
        <v/>
      </c>
      <c r="AB376">
        <f>IF($C376="","",IF(COUNTIF($C$2:$C376,$C376)=1,1,0))</f>
        <v/>
      </c>
      <c r="AC376">
        <f>IF($AB376=1,SUMPRODUCT(--($AE$2:$AE$501&lt;$AE376))+1,"")</f>
        <v/>
      </c>
      <c r="AD376">
        <f>IF($C376="","",IF(OR($Z376=TRUE(),$Z376="TRUE"),0,1))</f>
        <v/>
      </c>
      <c r="AE376">
        <f>IF($AB376=1,IFERROR(IF(VALUE($C376)&lt;100000000,VALUE($C376),1000000000),IFERROR(IF(VALUE(MID($C376,2,20))&lt;100000000,VALUE(MID($C376,2,20)),1000000000),1000000000))+ROW()/100000,"")</f>
        <v/>
      </c>
    </row>
    <row r="377">
      <c r="G377" s="7" t="n"/>
      <c r="H377" s="7" t="n"/>
      <c r="N377" s="7">
        <f>IF($C377="","",M377*Y377/100)</f>
        <v/>
      </c>
      <c r="O377" s="11" t="n"/>
      <c r="T377" s="7" t="n"/>
      <c r="V377" s="7">
        <f>IF($C377="","",Y377*AA377/100)</f>
        <v/>
      </c>
      <c r="W377" s="7">
        <f>IF($C377="","",Y377-V377)</f>
        <v/>
      </c>
      <c r="X377" s="7">
        <f>IF($C377="","",W377-N377)</f>
        <v/>
      </c>
      <c r="Y377" s="7" t="n"/>
      <c r="AA377">
        <f>IF($C377="","",IF($AD377=1,Settings!$C$6,Settings!$C$7)*100)</f>
        <v/>
      </c>
      <c r="AB377">
        <f>IF($C377="","",IF(COUNTIF($C$2:$C377,$C377)=1,1,0))</f>
        <v/>
      </c>
      <c r="AC377">
        <f>IF($AB377=1,SUMPRODUCT(--($AE$2:$AE$501&lt;$AE377))+1,"")</f>
        <v/>
      </c>
      <c r="AD377">
        <f>IF($C377="","",IF(OR($Z377=TRUE(),$Z377="TRUE"),0,1))</f>
        <v/>
      </c>
      <c r="AE377">
        <f>IF($AB377=1,IFERROR(IF(VALUE($C377)&lt;100000000,VALUE($C377),1000000000),IFERROR(IF(VALUE(MID($C377,2,20))&lt;100000000,VALUE(MID($C377,2,20)),1000000000),1000000000))+ROW()/100000,"")</f>
        <v/>
      </c>
    </row>
    <row r="378">
      <c r="G378" s="7" t="n"/>
      <c r="H378" s="7" t="n"/>
      <c r="N378" s="7">
        <f>IF($C378="","",M378*Y378/100)</f>
        <v/>
      </c>
      <c r="O378" s="11" t="n"/>
      <c r="T378" s="7" t="n"/>
      <c r="V378" s="7">
        <f>IF($C378="","",Y378*AA378/100)</f>
        <v/>
      </c>
      <c r="W378" s="7">
        <f>IF($C378="","",Y378-V378)</f>
        <v/>
      </c>
      <c r="X378" s="7">
        <f>IF($C378="","",W378-N378)</f>
        <v/>
      </c>
      <c r="Y378" s="7" t="n"/>
      <c r="AA378">
        <f>IF($C378="","",IF($AD378=1,Settings!$C$6,Settings!$C$7)*100)</f>
        <v/>
      </c>
      <c r="AB378">
        <f>IF($C378="","",IF(COUNTIF($C$2:$C378,$C378)=1,1,0))</f>
        <v/>
      </c>
      <c r="AC378">
        <f>IF($AB378=1,SUMPRODUCT(--($AE$2:$AE$501&lt;$AE378))+1,"")</f>
        <v/>
      </c>
      <c r="AD378">
        <f>IF($C378="","",IF(OR($Z378=TRUE(),$Z378="TRUE"),0,1))</f>
        <v/>
      </c>
      <c r="AE378">
        <f>IF($AB378=1,IFERROR(IF(VALUE($C378)&lt;100000000,VALUE($C378),1000000000),IFERROR(IF(VALUE(MID($C378,2,20))&lt;100000000,VALUE(MID($C378,2,20)),1000000000),1000000000))+ROW()/100000,"")</f>
        <v/>
      </c>
    </row>
    <row r="379">
      <c r="G379" s="7" t="n"/>
      <c r="H379" s="7" t="n"/>
      <c r="N379" s="7">
        <f>IF($C379="","",M379*Y379/100)</f>
        <v/>
      </c>
      <c r="O379" s="11" t="n"/>
      <c r="T379" s="7" t="n"/>
      <c r="V379" s="7">
        <f>IF($C379="","",Y379*AA379/100)</f>
        <v/>
      </c>
      <c r="W379" s="7">
        <f>IF($C379="","",Y379-V379)</f>
        <v/>
      </c>
      <c r="X379" s="7">
        <f>IF($C379="","",W379-N379)</f>
        <v/>
      </c>
      <c r="Y379" s="7" t="n"/>
      <c r="AA379">
        <f>IF($C379="","",IF($AD379=1,Settings!$C$6,Settings!$C$7)*100)</f>
        <v/>
      </c>
      <c r="AB379">
        <f>IF($C379="","",IF(COUNTIF($C$2:$C379,$C379)=1,1,0))</f>
        <v/>
      </c>
      <c r="AC379">
        <f>IF($AB379=1,SUMPRODUCT(--($AE$2:$AE$501&lt;$AE379))+1,"")</f>
        <v/>
      </c>
      <c r="AD379">
        <f>IF($C379="","",IF(OR($Z379=TRUE(),$Z379="TRUE"),0,1))</f>
        <v/>
      </c>
      <c r="AE379">
        <f>IF($AB379=1,IFERROR(IF(VALUE($C379)&lt;100000000,VALUE($C379),1000000000),IFERROR(IF(VALUE(MID($C379,2,20))&lt;100000000,VALUE(MID($C379,2,20)),1000000000),1000000000))+ROW()/100000,"")</f>
        <v/>
      </c>
    </row>
    <row r="380">
      <c r="G380" s="7" t="n"/>
      <c r="H380" s="7" t="n"/>
      <c r="N380" s="7">
        <f>IF($C380="","",M380*Y380/100)</f>
        <v/>
      </c>
      <c r="O380" s="11" t="n"/>
      <c r="T380" s="7" t="n"/>
      <c r="V380" s="7">
        <f>IF($C380="","",Y380*AA380/100)</f>
        <v/>
      </c>
      <c r="W380" s="7">
        <f>IF($C380="","",Y380-V380)</f>
        <v/>
      </c>
      <c r="X380" s="7">
        <f>IF($C380="","",W380-N380)</f>
        <v/>
      </c>
      <c r="Y380" s="7" t="n"/>
      <c r="AA380">
        <f>IF($C380="","",IF($AD380=1,Settings!$C$6,Settings!$C$7)*100)</f>
        <v/>
      </c>
      <c r="AB380">
        <f>IF($C380="","",IF(COUNTIF($C$2:$C380,$C380)=1,1,0))</f>
        <v/>
      </c>
      <c r="AC380">
        <f>IF($AB380=1,SUMPRODUCT(--($AE$2:$AE$501&lt;$AE380))+1,"")</f>
        <v/>
      </c>
      <c r="AD380">
        <f>IF($C380="","",IF(OR($Z380=TRUE(),$Z380="TRUE"),0,1))</f>
        <v/>
      </c>
      <c r="AE380">
        <f>IF($AB380=1,IFERROR(IF(VALUE($C380)&lt;100000000,VALUE($C380),1000000000),IFERROR(IF(VALUE(MID($C380,2,20))&lt;100000000,VALUE(MID($C380,2,20)),1000000000),1000000000))+ROW()/100000,"")</f>
        <v/>
      </c>
    </row>
    <row r="381">
      <c r="G381" s="7" t="n"/>
      <c r="H381" s="7" t="n"/>
      <c r="N381" s="7">
        <f>IF($C381="","",M381*Y381/100)</f>
        <v/>
      </c>
      <c r="O381" s="11" t="n"/>
      <c r="T381" s="7" t="n"/>
      <c r="V381" s="7">
        <f>IF($C381="","",Y381*AA381/100)</f>
        <v/>
      </c>
      <c r="W381" s="7">
        <f>IF($C381="","",Y381-V381)</f>
        <v/>
      </c>
      <c r="X381" s="7">
        <f>IF($C381="","",W381-N381)</f>
        <v/>
      </c>
      <c r="Y381" s="7" t="n"/>
      <c r="AA381">
        <f>IF($C381="","",IF($AD381=1,Settings!$C$6,Settings!$C$7)*100)</f>
        <v/>
      </c>
      <c r="AB381">
        <f>IF($C381="","",IF(COUNTIF($C$2:$C381,$C381)=1,1,0))</f>
        <v/>
      </c>
      <c r="AC381">
        <f>IF($AB381=1,SUMPRODUCT(--($AE$2:$AE$501&lt;$AE381))+1,"")</f>
        <v/>
      </c>
      <c r="AD381">
        <f>IF($C381="","",IF(OR($Z381=TRUE(),$Z381="TRUE"),0,1))</f>
        <v/>
      </c>
      <c r="AE381">
        <f>IF($AB381=1,IFERROR(IF(VALUE($C381)&lt;100000000,VALUE($C381),1000000000),IFERROR(IF(VALUE(MID($C381,2,20))&lt;100000000,VALUE(MID($C381,2,20)),1000000000),1000000000))+ROW()/100000,"")</f>
        <v/>
      </c>
    </row>
    <row r="382">
      <c r="G382" s="7" t="n"/>
      <c r="H382" s="7" t="n"/>
      <c r="N382" s="7">
        <f>IF($C382="","",M382*Y382/100)</f>
        <v/>
      </c>
      <c r="O382" s="11" t="n"/>
      <c r="T382" s="7" t="n"/>
      <c r="V382" s="7">
        <f>IF($C382="","",Y382*AA382/100)</f>
        <v/>
      </c>
      <c r="W382" s="7">
        <f>IF($C382="","",Y382-V382)</f>
        <v/>
      </c>
      <c r="X382" s="7">
        <f>IF($C382="","",W382-N382)</f>
        <v/>
      </c>
      <c r="Y382" s="7" t="n"/>
      <c r="AA382">
        <f>IF($C382="","",IF($AD382=1,Settings!$C$6,Settings!$C$7)*100)</f>
        <v/>
      </c>
      <c r="AB382">
        <f>IF($C382="","",IF(COUNTIF($C$2:$C382,$C382)=1,1,0))</f>
        <v/>
      </c>
      <c r="AC382">
        <f>IF($AB382=1,SUMPRODUCT(--($AE$2:$AE$501&lt;$AE382))+1,"")</f>
        <v/>
      </c>
      <c r="AD382">
        <f>IF($C382="","",IF(OR($Z382=TRUE(),$Z382="TRUE"),0,1))</f>
        <v/>
      </c>
      <c r="AE382">
        <f>IF($AB382=1,IFERROR(IF(VALUE($C382)&lt;100000000,VALUE($C382),1000000000),IFERROR(IF(VALUE(MID($C382,2,20))&lt;100000000,VALUE(MID($C382,2,20)),1000000000),1000000000))+ROW()/100000,"")</f>
        <v/>
      </c>
    </row>
    <row r="383">
      <c r="G383" s="7" t="n"/>
      <c r="H383" s="7" t="n"/>
      <c r="N383" s="7">
        <f>IF($C383="","",M383*Y383/100)</f>
        <v/>
      </c>
      <c r="O383" s="11" t="n"/>
      <c r="T383" s="7" t="n"/>
      <c r="V383" s="7">
        <f>IF($C383="","",Y383*AA383/100)</f>
        <v/>
      </c>
      <c r="W383" s="7">
        <f>IF($C383="","",Y383-V383)</f>
        <v/>
      </c>
      <c r="X383" s="7">
        <f>IF($C383="","",W383-N383)</f>
        <v/>
      </c>
      <c r="Y383" s="7" t="n"/>
      <c r="AA383">
        <f>IF($C383="","",IF($AD383=1,Settings!$C$6,Settings!$C$7)*100)</f>
        <v/>
      </c>
      <c r="AB383">
        <f>IF($C383="","",IF(COUNTIF($C$2:$C383,$C383)=1,1,0))</f>
        <v/>
      </c>
      <c r="AC383">
        <f>IF($AB383=1,SUMPRODUCT(--($AE$2:$AE$501&lt;$AE383))+1,"")</f>
        <v/>
      </c>
      <c r="AD383">
        <f>IF($C383="","",IF(OR($Z383=TRUE(),$Z383="TRUE"),0,1))</f>
        <v/>
      </c>
      <c r="AE383">
        <f>IF($AB383=1,IFERROR(IF(VALUE($C383)&lt;100000000,VALUE($C383),1000000000),IFERROR(IF(VALUE(MID($C383,2,20))&lt;100000000,VALUE(MID($C383,2,20)),1000000000),1000000000))+ROW()/100000,"")</f>
        <v/>
      </c>
    </row>
    <row r="384">
      <c r="G384" s="7" t="n"/>
      <c r="H384" s="7" t="n"/>
      <c r="N384" s="7">
        <f>IF($C384="","",M384*Y384/100)</f>
        <v/>
      </c>
      <c r="O384" s="11" t="n"/>
      <c r="T384" s="7" t="n"/>
      <c r="V384" s="7">
        <f>IF($C384="","",Y384*AA384/100)</f>
        <v/>
      </c>
      <c r="W384" s="7">
        <f>IF($C384="","",Y384-V384)</f>
        <v/>
      </c>
      <c r="X384" s="7">
        <f>IF($C384="","",W384-N384)</f>
        <v/>
      </c>
      <c r="Y384" s="7" t="n"/>
      <c r="AA384">
        <f>IF($C384="","",IF($AD384=1,Settings!$C$6,Settings!$C$7)*100)</f>
        <v/>
      </c>
      <c r="AB384">
        <f>IF($C384="","",IF(COUNTIF($C$2:$C384,$C384)=1,1,0))</f>
        <v/>
      </c>
      <c r="AC384">
        <f>IF($AB384=1,SUMPRODUCT(--($AE$2:$AE$501&lt;$AE384))+1,"")</f>
        <v/>
      </c>
      <c r="AD384">
        <f>IF($C384="","",IF(OR($Z384=TRUE(),$Z384="TRUE"),0,1))</f>
        <v/>
      </c>
      <c r="AE384">
        <f>IF($AB384=1,IFERROR(IF(VALUE($C384)&lt;100000000,VALUE($C384),1000000000),IFERROR(IF(VALUE(MID($C384,2,20))&lt;100000000,VALUE(MID($C384,2,20)),1000000000),1000000000))+ROW()/100000,"")</f>
        <v/>
      </c>
    </row>
    <row r="385">
      <c r="G385" s="7" t="n"/>
      <c r="H385" s="7" t="n"/>
      <c r="N385" s="7">
        <f>IF($C385="","",M385*Y385/100)</f>
        <v/>
      </c>
      <c r="O385" s="11" t="n"/>
      <c r="T385" s="7" t="n"/>
      <c r="V385" s="7">
        <f>IF($C385="","",Y385*AA385/100)</f>
        <v/>
      </c>
      <c r="W385" s="7">
        <f>IF($C385="","",Y385-V385)</f>
        <v/>
      </c>
      <c r="X385" s="7">
        <f>IF($C385="","",W385-N385)</f>
        <v/>
      </c>
      <c r="Y385" s="7" t="n"/>
      <c r="AA385">
        <f>IF($C385="","",IF($AD385=1,Settings!$C$6,Settings!$C$7)*100)</f>
        <v/>
      </c>
      <c r="AB385">
        <f>IF($C385="","",IF(COUNTIF($C$2:$C385,$C385)=1,1,0))</f>
        <v/>
      </c>
      <c r="AC385">
        <f>IF($AB385=1,SUMPRODUCT(--($AE$2:$AE$501&lt;$AE385))+1,"")</f>
        <v/>
      </c>
      <c r="AD385">
        <f>IF($C385="","",IF(OR($Z385=TRUE(),$Z385="TRUE"),0,1))</f>
        <v/>
      </c>
      <c r="AE385">
        <f>IF($AB385=1,IFERROR(IF(VALUE($C385)&lt;100000000,VALUE($C385),1000000000),IFERROR(IF(VALUE(MID($C385,2,20))&lt;100000000,VALUE(MID($C385,2,20)),1000000000),1000000000))+ROW()/100000,"")</f>
        <v/>
      </c>
    </row>
    <row r="386">
      <c r="G386" s="7" t="n"/>
      <c r="H386" s="7" t="n"/>
      <c r="N386" s="7">
        <f>IF($C386="","",M386*Y386/100)</f>
        <v/>
      </c>
      <c r="O386" s="11" t="n"/>
      <c r="T386" s="7" t="n"/>
      <c r="V386" s="7">
        <f>IF($C386="","",Y386*AA386/100)</f>
        <v/>
      </c>
      <c r="W386" s="7">
        <f>IF($C386="","",Y386-V386)</f>
        <v/>
      </c>
      <c r="X386" s="7">
        <f>IF($C386="","",W386-N386)</f>
        <v/>
      </c>
      <c r="Y386" s="7" t="n"/>
      <c r="AA386">
        <f>IF($C386="","",IF($AD386=1,Settings!$C$6,Settings!$C$7)*100)</f>
        <v/>
      </c>
      <c r="AB386">
        <f>IF($C386="","",IF(COUNTIF($C$2:$C386,$C386)=1,1,0))</f>
        <v/>
      </c>
      <c r="AC386">
        <f>IF($AB386=1,SUMPRODUCT(--($AE$2:$AE$501&lt;$AE386))+1,"")</f>
        <v/>
      </c>
      <c r="AD386">
        <f>IF($C386="","",IF(OR($Z386=TRUE(),$Z386="TRUE"),0,1))</f>
        <v/>
      </c>
      <c r="AE386">
        <f>IF($AB386=1,IFERROR(IF(VALUE($C386)&lt;100000000,VALUE($C386),1000000000),IFERROR(IF(VALUE(MID($C386,2,20))&lt;100000000,VALUE(MID($C386,2,20)),1000000000),1000000000))+ROW()/100000,"")</f>
        <v/>
      </c>
    </row>
    <row r="387">
      <c r="G387" s="7" t="n"/>
      <c r="H387" s="7" t="n"/>
      <c r="N387" s="7">
        <f>IF($C387="","",M387*Y387/100)</f>
        <v/>
      </c>
      <c r="O387" s="11" t="n"/>
      <c r="T387" s="7" t="n"/>
      <c r="V387" s="7">
        <f>IF($C387="","",Y387*AA387/100)</f>
        <v/>
      </c>
      <c r="W387" s="7">
        <f>IF($C387="","",Y387-V387)</f>
        <v/>
      </c>
      <c r="X387" s="7">
        <f>IF($C387="","",W387-N387)</f>
        <v/>
      </c>
      <c r="Y387" s="7" t="n"/>
      <c r="AA387">
        <f>IF($C387="","",IF($AD387=1,Settings!$C$6,Settings!$C$7)*100)</f>
        <v/>
      </c>
      <c r="AB387">
        <f>IF($C387="","",IF(COUNTIF($C$2:$C387,$C387)=1,1,0))</f>
        <v/>
      </c>
      <c r="AC387">
        <f>IF($AB387=1,SUMPRODUCT(--($AE$2:$AE$501&lt;$AE387))+1,"")</f>
        <v/>
      </c>
      <c r="AD387">
        <f>IF($C387="","",IF(OR($Z387=TRUE(),$Z387="TRUE"),0,1))</f>
        <v/>
      </c>
      <c r="AE387">
        <f>IF($AB387=1,IFERROR(IF(VALUE($C387)&lt;100000000,VALUE($C387),1000000000),IFERROR(IF(VALUE(MID($C387,2,20))&lt;100000000,VALUE(MID($C387,2,20)),1000000000),1000000000))+ROW()/100000,"")</f>
        <v/>
      </c>
    </row>
    <row r="388">
      <c r="G388" s="7" t="n"/>
      <c r="H388" s="7" t="n"/>
      <c r="N388" s="7">
        <f>IF($C388="","",M388*Y388/100)</f>
        <v/>
      </c>
      <c r="O388" s="11" t="n"/>
      <c r="T388" s="7" t="n"/>
      <c r="V388" s="7">
        <f>IF($C388="","",Y388*AA388/100)</f>
        <v/>
      </c>
      <c r="W388" s="7">
        <f>IF($C388="","",Y388-V388)</f>
        <v/>
      </c>
      <c r="X388" s="7">
        <f>IF($C388="","",W388-N388)</f>
        <v/>
      </c>
      <c r="Y388" s="7" t="n"/>
      <c r="AA388">
        <f>IF($C388="","",IF($AD388=1,Settings!$C$6,Settings!$C$7)*100)</f>
        <v/>
      </c>
      <c r="AB388">
        <f>IF($C388="","",IF(COUNTIF($C$2:$C388,$C388)=1,1,0))</f>
        <v/>
      </c>
      <c r="AC388">
        <f>IF($AB388=1,SUMPRODUCT(--($AE$2:$AE$501&lt;$AE388))+1,"")</f>
        <v/>
      </c>
      <c r="AD388">
        <f>IF($C388="","",IF(OR($Z388=TRUE(),$Z388="TRUE"),0,1))</f>
        <v/>
      </c>
      <c r="AE388">
        <f>IF($AB388=1,IFERROR(IF(VALUE($C388)&lt;100000000,VALUE($C388),1000000000),IFERROR(IF(VALUE(MID($C388,2,20))&lt;100000000,VALUE(MID($C388,2,20)),1000000000),1000000000))+ROW()/100000,"")</f>
        <v/>
      </c>
    </row>
    <row r="389">
      <c r="G389" s="7" t="n"/>
      <c r="H389" s="7" t="n"/>
      <c r="N389" s="7">
        <f>IF($C389="","",M389*Y389/100)</f>
        <v/>
      </c>
      <c r="O389" s="11" t="n"/>
      <c r="T389" s="7" t="n"/>
      <c r="V389" s="7">
        <f>IF($C389="","",Y389*AA389/100)</f>
        <v/>
      </c>
      <c r="W389" s="7">
        <f>IF($C389="","",Y389-V389)</f>
        <v/>
      </c>
      <c r="X389" s="7">
        <f>IF($C389="","",W389-N389)</f>
        <v/>
      </c>
      <c r="Y389" s="7" t="n"/>
      <c r="AA389">
        <f>IF($C389="","",IF($AD389=1,Settings!$C$6,Settings!$C$7)*100)</f>
        <v/>
      </c>
      <c r="AB389">
        <f>IF($C389="","",IF(COUNTIF($C$2:$C389,$C389)=1,1,0))</f>
        <v/>
      </c>
      <c r="AC389">
        <f>IF($AB389=1,SUMPRODUCT(--($AE$2:$AE$501&lt;$AE389))+1,"")</f>
        <v/>
      </c>
      <c r="AD389">
        <f>IF($C389="","",IF(OR($Z389=TRUE(),$Z389="TRUE"),0,1))</f>
        <v/>
      </c>
      <c r="AE389">
        <f>IF($AB389=1,IFERROR(IF(VALUE($C389)&lt;100000000,VALUE($C389),1000000000),IFERROR(IF(VALUE(MID($C389,2,20))&lt;100000000,VALUE(MID($C389,2,20)),1000000000),1000000000))+ROW()/100000,"")</f>
        <v/>
      </c>
    </row>
    <row r="390">
      <c r="G390" s="7" t="n"/>
      <c r="H390" s="7" t="n"/>
      <c r="N390" s="7">
        <f>IF($C390="","",M390*Y390/100)</f>
        <v/>
      </c>
      <c r="O390" s="11" t="n"/>
      <c r="T390" s="7" t="n"/>
      <c r="V390" s="7">
        <f>IF($C390="","",Y390*AA390/100)</f>
        <v/>
      </c>
      <c r="W390" s="7">
        <f>IF($C390="","",Y390-V390)</f>
        <v/>
      </c>
      <c r="X390" s="7">
        <f>IF($C390="","",W390-N390)</f>
        <v/>
      </c>
      <c r="Y390" s="7" t="n"/>
      <c r="AA390">
        <f>IF($C390="","",IF($AD390=1,Settings!$C$6,Settings!$C$7)*100)</f>
        <v/>
      </c>
      <c r="AB390">
        <f>IF($C390="","",IF(COUNTIF($C$2:$C390,$C390)=1,1,0))</f>
        <v/>
      </c>
      <c r="AC390">
        <f>IF($AB390=1,SUMPRODUCT(--($AE$2:$AE$501&lt;$AE390))+1,"")</f>
        <v/>
      </c>
      <c r="AD390">
        <f>IF($C390="","",IF(OR($Z390=TRUE(),$Z390="TRUE"),0,1))</f>
        <v/>
      </c>
      <c r="AE390">
        <f>IF($AB390=1,IFERROR(IF(VALUE($C390)&lt;100000000,VALUE($C390),1000000000),IFERROR(IF(VALUE(MID($C390,2,20))&lt;100000000,VALUE(MID($C390,2,20)),1000000000),1000000000))+ROW()/100000,"")</f>
        <v/>
      </c>
    </row>
    <row r="391">
      <c r="G391" s="7" t="n"/>
      <c r="H391" s="7" t="n"/>
      <c r="N391" s="7">
        <f>IF($C391="","",M391*Y391/100)</f>
        <v/>
      </c>
      <c r="O391" s="11" t="n"/>
      <c r="T391" s="7" t="n"/>
      <c r="V391" s="7">
        <f>IF($C391="","",Y391*AA391/100)</f>
        <v/>
      </c>
      <c r="W391" s="7">
        <f>IF($C391="","",Y391-V391)</f>
        <v/>
      </c>
      <c r="X391" s="7">
        <f>IF($C391="","",W391-N391)</f>
        <v/>
      </c>
      <c r="Y391" s="7" t="n"/>
      <c r="AA391">
        <f>IF($C391="","",IF($AD391=1,Settings!$C$6,Settings!$C$7)*100)</f>
        <v/>
      </c>
      <c r="AB391">
        <f>IF($C391="","",IF(COUNTIF($C$2:$C391,$C391)=1,1,0))</f>
        <v/>
      </c>
      <c r="AC391">
        <f>IF($AB391=1,SUMPRODUCT(--($AE$2:$AE$501&lt;$AE391))+1,"")</f>
        <v/>
      </c>
      <c r="AD391">
        <f>IF($C391="","",IF(OR($Z391=TRUE(),$Z391="TRUE"),0,1))</f>
        <v/>
      </c>
      <c r="AE391">
        <f>IF($AB391=1,IFERROR(IF(VALUE($C391)&lt;100000000,VALUE($C391),1000000000),IFERROR(IF(VALUE(MID($C391,2,20))&lt;100000000,VALUE(MID($C391,2,20)),1000000000),1000000000))+ROW()/100000,"")</f>
        <v/>
      </c>
    </row>
    <row r="392">
      <c r="G392" s="7" t="n"/>
      <c r="H392" s="7" t="n"/>
      <c r="N392" s="7">
        <f>IF($C392="","",M392*Y392/100)</f>
        <v/>
      </c>
      <c r="O392" s="11" t="n"/>
      <c r="T392" s="7" t="n"/>
      <c r="V392" s="7">
        <f>IF($C392="","",Y392*AA392/100)</f>
        <v/>
      </c>
      <c r="W392" s="7">
        <f>IF($C392="","",Y392-V392)</f>
        <v/>
      </c>
      <c r="X392" s="7">
        <f>IF($C392="","",W392-N392)</f>
        <v/>
      </c>
      <c r="Y392" s="7" t="n"/>
      <c r="AA392">
        <f>IF($C392="","",IF($AD392=1,Settings!$C$6,Settings!$C$7)*100)</f>
        <v/>
      </c>
      <c r="AB392">
        <f>IF($C392="","",IF(COUNTIF($C$2:$C392,$C392)=1,1,0))</f>
        <v/>
      </c>
      <c r="AC392">
        <f>IF($AB392=1,SUMPRODUCT(--($AE$2:$AE$501&lt;$AE392))+1,"")</f>
        <v/>
      </c>
      <c r="AD392">
        <f>IF($C392="","",IF(OR($Z392=TRUE(),$Z392="TRUE"),0,1))</f>
        <v/>
      </c>
      <c r="AE392">
        <f>IF($AB392=1,IFERROR(IF(VALUE($C392)&lt;100000000,VALUE($C392),1000000000),IFERROR(IF(VALUE(MID($C392,2,20))&lt;100000000,VALUE(MID($C392,2,20)),1000000000),1000000000))+ROW()/100000,"")</f>
        <v/>
      </c>
    </row>
    <row r="393">
      <c r="G393" s="7" t="n"/>
      <c r="H393" s="7" t="n"/>
      <c r="N393" s="7">
        <f>IF($C393="","",M393*Y393/100)</f>
        <v/>
      </c>
      <c r="O393" s="11" t="n"/>
      <c r="T393" s="7" t="n"/>
      <c r="V393" s="7">
        <f>IF($C393="","",Y393*AA393/100)</f>
        <v/>
      </c>
      <c r="W393" s="7">
        <f>IF($C393="","",Y393-V393)</f>
        <v/>
      </c>
      <c r="X393" s="7">
        <f>IF($C393="","",W393-N393)</f>
        <v/>
      </c>
      <c r="Y393" s="7" t="n"/>
      <c r="AA393">
        <f>IF($C393="","",IF($AD393=1,Settings!$C$6,Settings!$C$7)*100)</f>
        <v/>
      </c>
      <c r="AB393">
        <f>IF($C393="","",IF(COUNTIF($C$2:$C393,$C393)=1,1,0))</f>
        <v/>
      </c>
      <c r="AC393">
        <f>IF($AB393=1,SUMPRODUCT(--($AE$2:$AE$501&lt;$AE393))+1,"")</f>
        <v/>
      </c>
      <c r="AD393">
        <f>IF($C393="","",IF(OR($Z393=TRUE(),$Z393="TRUE"),0,1))</f>
        <v/>
      </c>
      <c r="AE393">
        <f>IF($AB393=1,IFERROR(IF(VALUE($C393)&lt;100000000,VALUE($C393),1000000000),IFERROR(IF(VALUE(MID($C393,2,20))&lt;100000000,VALUE(MID($C393,2,20)),1000000000),1000000000))+ROW()/100000,"")</f>
        <v/>
      </c>
    </row>
    <row r="394">
      <c r="G394" s="7" t="n"/>
      <c r="H394" s="7" t="n"/>
      <c r="N394" s="7">
        <f>IF($C394="","",M394*Y394/100)</f>
        <v/>
      </c>
      <c r="O394" s="11" t="n"/>
      <c r="T394" s="7" t="n"/>
      <c r="V394" s="7">
        <f>IF($C394="","",Y394*AA394/100)</f>
        <v/>
      </c>
      <c r="W394" s="7">
        <f>IF($C394="","",Y394-V394)</f>
        <v/>
      </c>
      <c r="X394" s="7">
        <f>IF($C394="","",W394-N394)</f>
        <v/>
      </c>
      <c r="Y394" s="7" t="n"/>
      <c r="AA394">
        <f>IF($C394="","",IF($AD394=1,Settings!$C$6,Settings!$C$7)*100)</f>
        <v/>
      </c>
      <c r="AB394">
        <f>IF($C394="","",IF(COUNTIF($C$2:$C394,$C394)=1,1,0))</f>
        <v/>
      </c>
      <c r="AC394">
        <f>IF($AB394=1,SUMPRODUCT(--($AE$2:$AE$501&lt;$AE394))+1,"")</f>
        <v/>
      </c>
      <c r="AD394">
        <f>IF($C394="","",IF(OR($Z394=TRUE(),$Z394="TRUE"),0,1))</f>
        <v/>
      </c>
      <c r="AE394">
        <f>IF($AB394=1,IFERROR(IF(VALUE($C394)&lt;100000000,VALUE($C394),1000000000),IFERROR(IF(VALUE(MID($C394,2,20))&lt;100000000,VALUE(MID($C394,2,20)),1000000000),1000000000))+ROW()/100000,"")</f>
        <v/>
      </c>
    </row>
    <row r="395">
      <c r="G395" s="7" t="n"/>
      <c r="H395" s="7" t="n"/>
      <c r="N395" s="7">
        <f>IF($C395="","",M395*Y395/100)</f>
        <v/>
      </c>
      <c r="O395" s="11" t="n"/>
      <c r="T395" s="7" t="n"/>
      <c r="V395" s="7">
        <f>IF($C395="","",Y395*AA395/100)</f>
        <v/>
      </c>
      <c r="W395" s="7">
        <f>IF($C395="","",Y395-V395)</f>
        <v/>
      </c>
      <c r="X395" s="7">
        <f>IF($C395="","",W395-N395)</f>
        <v/>
      </c>
      <c r="Y395" s="7" t="n"/>
      <c r="AA395">
        <f>IF($C395="","",IF($AD395=1,Settings!$C$6,Settings!$C$7)*100)</f>
        <v/>
      </c>
      <c r="AB395">
        <f>IF($C395="","",IF(COUNTIF($C$2:$C395,$C395)=1,1,0))</f>
        <v/>
      </c>
      <c r="AC395">
        <f>IF($AB395=1,SUMPRODUCT(--($AE$2:$AE$501&lt;$AE395))+1,"")</f>
        <v/>
      </c>
      <c r="AD395">
        <f>IF($C395="","",IF(OR($Z395=TRUE(),$Z395="TRUE"),0,1))</f>
        <v/>
      </c>
      <c r="AE395">
        <f>IF($AB395=1,IFERROR(IF(VALUE($C395)&lt;100000000,VALUE($C395),1000000000),IFERROR(IF(VALUE(MID($C395,2,20))&lt;100000000,VALUE(MID($C395,2,20)),1000000000),1000000000))+ROW()/100000,"")</f>
        <v/>
      </c>
    </row>
    <row r="396">
      <c r="G396" s="7" t="n"/>
      <c r="H396" s="7" t="n"/>
      <c r="N396" s="7">
        <f>IF($C396="","",M396*Y396/100)</f>
        <v/>
      </c>
      <c r="O396" s="11" t="n"/>
      <c r="T396" s="7" t="n"/>
      <c r="V396" s="7">
        <f>IF($C396="","",Y396*AA396/100)</f>
        <v/>
      </c>
      <c r="W396" s="7">
        <f>IF($C396="","",Y396-V396)</f>
        <v/>
      </c>
      <c r="X396" s="7">
        <f>IF($C396="","",W396-N396)</f>
        <v/>
      </c>
      <c r="Y396" s="7" t="n"/>
      <c r="AA396">
        <f>IF($C396="","",IF($AD396=1,Settings!$C$6,Settings!$C$7)*100)</f>
        <v/>
      </c>
      <c r="AB396">
        <f>IF($C396="","",IF(COUNTIF($C$2:$C396,$C396)=1,1,0))</f>
        <v/>
      </c>
      <c r="AC396">
        <f>IF($AB396=1,SUMPRODUCT(--($AE$2:$AE$501&lt;$AE396))+1,"")</f>
        <v/>
      </c>
      <c r="AD396">
        <f>IF($C396="","",IF(OR($Z396=TRUE(),$Z396="TRUE"),0,1))</f>
        <v/>
      </c>
      <c r="AE396">
        <f>IF($AB396=1,IFERROR(IF(VALUE($C396)&lt;100000000,VALUE($C396),1000000000),IFERROR(IF(VALUE(MID($C396,2,20))&lt;100000000,VALUE(MID($C396,2,20)),1000000000),1000000000))+ROW()/100000,"")</f>
        <v/>
      </c>
    </row>
    <row r="397">
      <c r="G397" s="7" t="n"/>
      <c r="H397" s="7" t="n"/>
      <c r="N397" s="7">
        <f>IF($C397="","",M397*Y397/100)</f>
        <v/>
      </c>
      <c r="O397" s="11" t="n"/>
      <c r="T397" s="7" t="n"/>
      <c r="V397" s="7">
        <f>IF($C397="","",Y397*AA397/100)</f>
        <v/>
      </c>
      <c r="W397" s="7">
        <f>IF($C397="","",Y397-V397)</f>
        <v/>
      </c>
      <c r="X397" s="7">
        <f>IF($C397="","",W397-N397)</f>
        <v/>
      </c>
      <c r="Y397" s="7" t="n"/>
      <c r="AA397">
        <f>IF($C397="","",IF($AD397=1,Settings!$C$6,Settings!$C$7)*100)</f>
        <v/>
      </c>
      <c r="AB397">
        <f>IF($C397="","",IF(COUNTIF($C$2:$C397,$C397)=1,1,0))</f>
        <v/>
      </c>
      <c r="AC397">
        <f>IF($AB397=1,SUMPRODUCT(--($AE$2:$AE$501&lt;$AE397))+1,"")</f>
        <v/>
      </c>
      <c r="AD397">
        <f>IF($C397="","",IF(OR($Z397=TRUE(),$Z397="TRUE"),0,1))</f>
        <v/>
      </c>
      <c r="AE397">
        <f>IF($AB397=1,IFERROR(IF(VALUE($C397)&lt;100000000,VALUE($C397),1000000000),IFERROR(IF(VALUE(MID($C397,2,20))&lt;100000000,VALUE(MID($C397,2,20)),1000000000),1000000000))+ROW()/100000,"")</f>
        <v/>
      </c>
    </row>
    <row r="398">
      <c r="G398" s="7" t="n"/>
      <c r="H398" s="7" t="n"/>
      <c r="N398" s="7">
        <f>IF($C398="","",M398*Y398/100)</f>
        <v/>
      </c>
      <c r="O398" s="11" t="n"/>
      <c r="T398" s="7" t="n"/>
      <c r="V398" s="7">
        <f>IF($C398="","",Y398*AA398/100)</f>
        <v/>
      </c>
      <c r="W398" s="7">
        <f>IF($C398="","",Y398-V398)</f>
        <v/>
      </c>
      <c r="X398" s="7">
        <f>IF($C398="","",W398-N398)</f>
        <v/>
      </c>
      <c r="Y398" s="7" t="n"/>
      <c r="AA398">
        <f>IF($C398="","",IF($AD398=1,Settings!$C$6,Settings!$C$7)*100)</f>
        <v/>
      </c>
      <c r="AB398">
        <f>IF($C398="","",IF(COUNTIF($C$2:$C398,$C398)=1,1,0))</f>
        <v/>
      </c>
      <c r="AC398">
        <f>IF($AB398=1,SUMPRODUCT(--($AE$2:$AE$501&lt;$AE398))+1,"")</f>
        <v/>
      </c>
      <c r="AD398">
        <f>IF($C398="","",IF(OR($Z398=TRUE(),$Z398="TRUE"),0,1))</f>
        <v/>
      </c>
      <c r="AE398">
        <f>IF($AB398=1,IFERROR(IF(VALUE($C398)&lt;100000000,VALUE($C398),1000000000),IFERROR(IF(VALUE(MID($C398,2,20))&lt;100000000,VALUE(MID($C398,2,20)),1000000000),1000000000))+ROW()/100000,"")</f>
        <v/>
      </c>
    </row>
    <row r="399">
      <c r="G399" s="7" t="n"/>
      <c r="H399" s="7" t="n"/>
      <c r="N399" s="7">
        <f>IF($C399="","",M399*Y399/100)</f>
        <v/>
      </c>
      <c r="O399" s="11" t="n"/>
      <c r="T399" s="7" t="n"/>
      <c r="V399" s="7">
        <f>IF($C399="","",Y399*AA399/100)</f>
        <v/>
      </c>
      <c r="W399" s="7">
        <f>IF($C399="","",Y399-V399)</f>
        <v/>
      </c>
      <c r="X399" s="7">
        <f>IF($C399="","",W399-N399)</f>
        <v/>
      </c>
      <c r="Y399" s="7" t="n"/>
      <c r="AA399">
        <f>IF($C399="","",IF($AD399=1,Settings!$C$6,Settings!$C$7)*100)</f>
        <v/>
      </c>
      <c r="AB399">
        <f>IF($C399="","",IF(COUNTIF($C$2:$C399,$C399)=1,1,0))</f>
        <v/>
      </c>
      <c r="AC399">
        <f>IF($AB399=1,SUMPRODUCT(--($AE$2:$AE$501&lt;$AE399))+1,"")</f>
        <v/>
      </c>
      <c r="AD399">
        <f>IF($C399="","",IF(OR($Z399=TRUE(),$Z399="TRUE"),0,1))</f>
        <v/>
      </c>
      <c r="AE399">
        <f>IF($AB399=1,IFERROR(IF(VALUE($C399)&lt;100000000,VALUE($C399),1000000000),IFERROR(IF(VALUE(MID($C399,2,20))&lt;100000000,VALUE(MID($C399,2,20)),1000000000),1000000000))+ROW()/100000,"")</f>
        <v/>
      </c>
    </row>
    <row r="400">
      <c r="G400" s="7" t="n"/>
      <c r="H400" s="7" t="n"/>
      <c r="N400" s="7">
        <f>IF($C400="","",M400*Y400/100)</f>
        <v/>
      </c>
      <c r="O400" s="11" t="n"/>
      <c r="T400" s="7" t="n"/>
      <c r="V400" s="7">
        <f>IF($C400="","",Y400*AA400/100)</f>
        <v/>
      </c>
      <c r="W400" s="7">
        <f>IF($C400="","",Y400-V400)</f>
        <v/>
      </c>
      <c r="X400" s="7">
        <f>IF($C400="","",W400-N400)</f>
        <v/>
      </c>
      <c r="Y400" s="7" t="n"/>
      <c r="AA400">
        <f>IF($C400="","",IF($AD400=1,Settings!$C$6,Settings!$C$7)*100)</f>
        <v/>
      </c>
      <c r="AB400">
        <f>IF($C400="","",IF(COUNTIF($C$2:$C400,$C400)=1,1,0))</f>
        <v/>
      </c>
      <c r="AC400">
        <f>IF($AB400=1,SUMPRODUCT(--($AE$2:$AE$501&lt;$AE400))+1,"")</f>
        <v/>
      </c>
      <c r="AD400">
        <f>IF($C400="","",IF(OR($Z400=TRUE(),$Z400="TRUE"),0,1))</f>
        <v/>
      </c>
      <c r="AE400">
        <f>IF($AB400=1,IFERROR(IF(VALUE($C400)&lt;100000000,VALUE($C400),1000000000),IFERROR(IF(VALUE(MID($C400,2,20))&lt;100000000,VALUE(MID($C400,2,20)),1000000000),1000000000))+ROW()/100000,"")</f>
        <v/>
      </c>
    </row>
    <row r="401">
      <c r="G401" s="7" t="n"/>
      <c r="H401" s="7" t="n"/>
      <c r="N401" s="7">
        <f>IF($C401="","",M401*Y401/100)</f>
        <v/>
      </c>
      <c r="O401" s="11" t="n"/>
      <c r="T401" s="7" t="n"/>
      <c r="V401" s="7">
        <f>IF($C401="","",Y401*AA401/100)</f>
        <v/>
      </c>
      <c r="W401" s="7">
        <f>IF($C401="","",Y401-V401)</f>
        <v/>
      </c>
      <c r="X401" s="7">
        <f>IF($C401="","",W401-N401)</f>
        <v/>
      </c>
      <c r="Y401" s="7" t="n"/>
      <c r="AA401">
        <f>IF($C401="","",IF($AD401=1,Settings!$C$6,Settings!$C$7)*100)</f>
        <v/>
      </c>
      <c r="AB401">
        <f>IF($C401="","",IF(COUNTIF($C$2:$C401,$C401)=1,1,0))</f>
        <v/>
      </c>
      <c r="AC401">
        <f>IF($AB401=1,SUMPRODUCT(--($AE$2:$AE$501&lt;$AE401))+1,"")</f>
        <v/>
      </c>
      <c r="AD401">
        <f>IF($C401="","",IF(OR($Z401=TRUE(),$Z401="TRUE"),0,1))</f>
        <v/>
      </c>
      <c r="AE401">
        <f>IF($AB401=1,IFERROR(IF(VALUE($C401)&lt;100000000,VALUE($C401),1000000000),IFERROR(IF(VALUE(MID($C401,2,20))&lt;100000000,VALUE(MID($C401,2,20)),1000000000),1000000000))+ROW()/100000,"")</f>
        <v/>
      </c>
    </row>
    <row r="402">
      <c r="G402" s="7" t="n"/>
      <c r="H402" s="7" t="n"/>
      <c r="N402" s="7">
        <f>IF($C402="","",M402*Y402/100)</f>
        <v/>
      </c>
      <c r="O402" s="11" t="n"/>
      <c r="T402" s="7" t="n"/>
      <c r="V402" s="7">
        <f>IF($C402="","",Y402*AA402/100)</f>
        <v/>
      </c>
      <c r="W402" s="7">
        <f>IF($C402="","",Y402-V402)</f>
        <v/>
      </c>
      <c r="X402" s="7">
        <f>IF($C402="","",W402-N402)</f>
        <v/>
      </c>
      <c r="Y402" s="7" t="n"/>
      <c r="AA402">
        <f>IF($C402="","",IF($AD402=1,Settings!$C$6,Settings!$C$7)*100)</f>
        <v/>
      </c>
      <c r="AB402">
        <f>IF($C402="","",IF(COUNTIF($C$2:$C402,$C402)=1,1,0))</f>
        <v/>
      </c>
      <c r="AC402">
        <f>IF($AB402=1,SUMPRODUCT(--($AE$2:$AE$501&lt;$AE402))+1,"")</f>
        <v/>
      </c>
      <c r="AD402">
        <f>IF($C402="","",IF(OR($Z402=TRUE(),$Z402="TRUE"),0,1))</f>
        <v/>
      </c>
      <c r="AE402">
        <f>IF($AB402=1,IFERROR(IF(VALUE($C402)&lt;100000000,VALUE($C402),1000000000),IFERROR(IF(VALUE(MID($C402,2,20))&lt;100000000,VALUE(MID($C402,2,20)),1000000000),1000000000))+ROW()/100000,"")</f>
        <v/>
      </c>
    </row>
    <row r="403">
      <c r="G403" s="7" t="n"/>
      <c r="H403" s="7" t="n"/>
      <c r="N403" s="7">
        <f>IF($C403="","",M403*Y403/100)</f>
        <v/>
      </c>
      <c r="O403" s="11" t="n"/>
      <c r="T403" s="7" t="n"/>
      <c r="V403" s="7">
        <f>IF($C403="","",Y403*AA403/100)</f>
        <v/>
      </c>
      <c r="W403" s="7">
        <f>IF($C403="","",Y403-V403)</f>
        <v/>
      </c>
      <c r="X403" s="7">
        <f>IF($C403="","",W403-N403)</f>
        <v/>
      </c>
      <c r="Y403" s="7" t="n"/>
      <c r="AA403">
        <f>IF($C403="","",IF($AD403=1,Settings!$C$6,Settings!$C$7)*100)</f>
        <v/>
      </c>
      <c r="AB403">
        <f>IF($C403="","",IF(COUNTIF($C$2:$C403,$C403)=1,1,0))</f>
        <v/>
      </c>
      <c r="AC403">
        <f>IF($AB403=1,SUMPRODUCT(--($AE$2:$AE$501&lt;$AE403))+1,"")</f>
        <v/>
      </c>
      <c r="AD403">
        <f>IF($C403="","",IF(OR($Z403=TRUE(),$Z403="TRUE"),0,1))</f>
        <v/>
      </c>
      <c r="AE403">
        <f>IF($AB403=1,IFERROR(IF(VALUE($C403)&lt;100000000,VALUE($C403),1000000000),IFERROR(IF(VALUE(MID($C403,2,20))&lt;100000000,VALUE(MID($C403,2,20)),1000000000),1000000000))+ROW()/100000,"")</f>
        <v/>
      </c>
    </row>
    <row r="404">
      <c r="G404" s="7" t="n"/>
      <c r="H404" s="7" t="n"/>
      <c r="N404" s="7">
        <f>IF($C404="","",M404*Y404/100)</f>
        <v/>
      </c>
      <c r="O404" s="11" t="n"/>
      <c r="T404" s="7" t="n"/>
      <c r="V404" s="7">
        <f>IF($C404="","",Y404*AA404/100)</f>
        <v/>
      </c>
      <c r="W404" s="7">
        <f>IF($C404="","",Y404-V404)</f>
        <v/>
      </c>
      <c r="X404" s="7">
        <f>IF($C404="","",W404-N404)</f>
        <v/>
      </c>
      <c r="Y404" s="7" t="n"/>
      <c r="AA404">
        <f>IF($C404="","",IF($AD404=1,Settings!$C$6,Settings!$C$7)*100)</f>
        <v/>
      </c>
      <c r="AB404">
        <f>IF($C404="","",IF(COUNTIF($C$2:$C404,$C404)=1,1,0))</f>
        <v/>
      </c>
      <c r="AC404">
        <f>IF($AB404=1,SUMPRODUCT(--($AE$2:$AE$501&lt;$AE404))+1,"")</f>
        <v/>
      </c>
      <c r="AD404">
        <f>IF($C404="","",IF(OR($Z404=TRUE(),$Z404="TRUE"),0,1))</f>
        <v/>
      </c>
      <c r="AE404">
        <f>IF($AB404=1,IFERROR(IF(VALUE($C404)&lt;100000000,VALUE($C404),1000000000),IFERROR(IF(VALUE(MID($C404,2,20))&lt;100000000,VALUE(MID($C404,2,20)),1000000000),1000000000))+ROW()/100000,"")</f>
        <v/>
      </c>
    </row>
    <row r="405">
      <c r="G405" s="7" t="n"/>
      <c r="H405" s="7" t="n"/>
      <c r="N405" s="7">
        <f>IF($C405="","",M405*Y405/100)</f>
        <v/>
      </c>
      <c r="O405" s="11" t="n"/>
      <c r="T405" s="7" t="n"/>
      <c r="V405" s="7">
        <f>IF($C405="","",Y405*AA405/100)</f>
        <v/>
      </c>
      <c r="W405" s="7">
        <f>IF($C405="","",Y405-V405)</f>
        <v/>
      </c>
      <c r="X405" s="7">
        <f>IF($C405="","",W405-N405)</f>
        <v/>
      </c>
      <c r="Y405" s="7" t="n"/>
      <c r="AA405">
        <f>IF($C405="","",IF($AD405=1,Settings!$C$6,Settings!$C$7)*100)</f>
        <v/>
      </c>
      <c r="AB405">
        <f>IF($C405="","",IF(COUNTIF($C$2:$C405,$C405)=1,1,0))</f>
        <v/>
      </c>
      <c r="AC405">
        <f>IF($AB405=1,SUMPRODUCT(--($AE$2:$AE$501&lt;$AE405))+1,"")</f>
        <v/>
      </c>
      <c r="AD405">
        <f>IF($C405="","",IF(OR($Z405=TRUE(),$Z405="TRUE"),0,1))</f>
        <v/>
      </c>
      <c r="AE405">
        <f>IF($AB405=1,IFERROR(IF(VALUE($C405)&lt;100000000,VALUE($C405),1000000000),IFERROR(IF(VALUE(MID($C405,2,20))&lt;100000000,VALUE(MID($C405,2,20)),1000000000),1000000000))+ROW()/100000,"")</f>
        <v/>
      </c>
    </row>
    <row r="406">
      <c r="G406" s="7" t="n"/>
      <c r="H406" s="7" t="n"/>
      <c r="N406" s="7">
        <f>IF($C406="","",M406*Y406/100)</f>
        <v/>
      </c>
      <c r="O406" s="11" t="n"/>
      <c r="T406" s="7" t="n"/>
      <c r="V406" s="7">
        <f>IF($C406="","",Y406*AA406/100)</f>
        <v/>
      </c>
      <c r="W406" s="7">
        <f>IF($C406="","",Y406-V406)</f>
        <v/>
      </c>
      <c r="X406" s="7">
        <f>IF($C406="","",W406-N406)</f>
        <v/>
      </c>
      <c r="Y406" s="7" t="n"/>
      <c r="AA406">
        <f>IF($C406="","",IF($AD406=1,Settings!$C$6,Settings!$C$7)*100)</f>
        <v/>
      </c>
      <c r="AB406">
        <f>IF($C406="","",IF(COUNTIF($C$2:$C406,$C406)=1,1,0))</f>
        <v/>
      </c>
      <c r="AC406">
        <f>IF($AB406=1,SUMPRODUCT(--($AE$2:$AE$501&lt;$AE406))+1,"")</f>
        <v/>
      </c>
      <c r="AD406">
        <f>IF($C406="","",IF(OR($Z406=TRUE(),$Z406="TRUE"),0,1))</f>
        <v/>
      </c>
      <c r="AE406">
        <f>IF($AB406=1,IFERROR(IF(VALUE($C406)&lt;100000000,VALUE($C406),1000000000),IFERROR(IF(VALUE(MID($C406,2,20))&lt;100000000,VALUE(MID($C406,2,20)),1000000000),1000000000))+ROW()/100000,"")</f>
        <v/>
      </c>
    </row>
    <row r="407">
      <c r="G407" s="7" t="n"/>
      <c r="H407" s="7" t="n"/>
      <c r="N407" s="7">
        <f>IF($C407="","",M407*Y407/100)</f>
        <v/>
      </c>
      <c r="O407" s="11" t="n"/>
      <c r="T407" s="7" t="n"/>
      <c r="V407" s="7">
        <f>IF($C407="","",Y407*AA407/100)</f>
        <v/>
      </c>
      <c r="W407" s="7">
        <f>IF($C407="","",Y407-V407)</f>
        <v/>
      </c>
      <c r="X407" s="7">
        <f>IF($C407="","",W407-N407)</f>
        <v/>
      </c>
      <c r="Y407" s="7" t="n"/>
      <c r="AA407">
        <f>IF($C407="","",IF($AD407=1,Settings!$C$6,Settings!$C$7)*100)</f>
        <v/>
      </c>
      <c r="AB407">
        <f>IF($C407="","",IF(COUNTIF($C$2:$C407,$C407)=1,1,0))</f>
        <v/>
      </c>
      <c r="AC407">
        <f>IF($AB407=1,SUMPRODUCT(--($AE$2:$AE$501&lt;$AE407))+1,"")</f>
        <v/>
      </c>
      <c r="AD407">
        <f>IF($C407="","",IF(OR($Z407=TRUE(),$Z407="TRUE"),0,1))</f>
        <v/>
      </c>
      <c r="AE407">
        <f>IF($AB407=1,IFERROR(IF(VALUE($C407)&lt;100000000,VALUE($C407),1000000000),IFERROR(IF(VALUE(MID($C407,2,20))&lt;100000000,VALUE(MID($C407,2,20)),1000000000),1000000000))+ROW()/100000,"")</f>
        <v/>
      </c>
    </row>
    <row r="408">
      <c r="G408" s="7" t="n"/>
      <c r="H408" s="7" t="n"/>
      <c r="N408" s="7">
        <f>IF($C408="","",M408*Y408/100)</f>
        <v/>
      </c>
      <c r="O408" s="11" t="n"/>
      <c r="T408" s="7" t="n"/>
      <c r="V408" s="7">
        <f>IF($C408="","",Y408*AA408/100)</f>
        <v/>
      </c>
      <c r="W408" s="7">
        <f>IF($C408="","",Y408-V408)</f>
        <v/>
      </c>
      <c r="X408" s="7">
        <f>IF($C408="","",W408-N408)</f>
        <v/>
      </c>
      <c r="Y408" s="7" t="n"/>
      <c r="AA408">
        <f>IF($C408="","",IF($AD408=1,Settings!$C$6,Settings!$C$7)*100)</f>
        <v/>
      </c>
      <c r="AB408">
        <f>IF($C408="","",IF(COUNTIF($C$2:$C408,$C408)=1,1,0))</f>
        <v/>
      </c>
      <c r="AC408">
        <f>IF($AB408=1,SUMPRODUCT(--($AE$2:$AE$501&lt;$AE408))+1,"")</f>
        <v/>
      </c>
      <c r="AD408">
        <f>IF($C408="","",IF(OR($Z408=TRUE(),$Z408="TRUE"),0,1))</f>
        <v/>
      </c>
      <c r="AE408">
        <f>IF($AB408=1,IFERROR(IF(VALUE($C408)&lt;100000000,VALUE($C408),1000000000),IFERROR(IF(VALUE(MID($C408,2,20))&lt;100000000,VALUE(MID($C408,2,20)),1000000000),1000000000))+ROW()/100000,"")</f>
        <v/>
      </c>
    </row>
    <row r="409">
      <c r="G409" s="7" t="n"/>
      <c r="H409" s="7" t="n"/>
      <c r="N409" s="7">
        <f>IF($C409="","",M409*Y409/100)</f>
        <v/>
      </c>
      <c r="O409" s="11" t="n"/>
      <c r="T409" s="7" t="n"/>
      <c r="V409" s="7">
        <f>IF($C409="","",Y409*AA409/100)</f>
        <v/>
      </c>
      <c r="W409" s="7">
        <f>IF($C409="","",Y409-V409)</f>
        <v/>
      </c>
      <c r="X409" s="7">
        <f>IF($C409="","",W409-N409)</f>
        <v/>
      </c>
      <c r="Y409" s="7" t="n"/>
      <c r="AA409">
        <f>IF($C409="","",IF($AD409=1,Settings!$C$6,Settings!$C$7)*100)</f>
        <v/>
      </c>
      <c r="AB409">
        <f>IF($C409="","",IF(COUNTIF($C$2:$C409,$C409)=1,1,0))</f>
        <v/>
      </c>
      <c r="AC409">
        <f>IF($AB409=1,SUMPRODUCT(--($AE$2:$AE$501&lt;$AE409))+1,"")</f>
        <v/>
      </c>
      <c r="AD409">
        <f>IF($C409="","",IF(OR($Z409=TRUE(),$Z409="TRUE"),0,1))</f>
        <v/>
      </c>
      <c r="AE409">
        <f>IF($AB409=1,IFERROR(IF(VALUE($C409)&lt;100000000,VALUE($C409),1000000000),IFERROR(IF(VALUE(MID($C409,2,20))&lt;100000000,VALUE(MID($C409,2,20)),1000000000),1000000000))+ROW()/100000,"")</f>
        <v/>
      </c>
    </row>
    <row r="410">
      <c r="G410" s="7" t="n"/>
      <c r="H410" s="7" t="n"/>
      <c r="N410" s="7">
        <f>IF($C410="","",M410*Y410/100)</f>
        <v/>
      </c>
      <c r="O410" s="11" t="n"/>
      <c r="T410" s="7" t="n"/>
      <c r="V410" s="7">
        <f>IF($C410="","",Y410*AA410/100)</f>
        <v/>
      </c>
      <c r="W410" s="7">
        <f>IF($C410="","",Y410-V410)</f>
        <v/>
      </c>
      <c r="X410" s="7">
        <f>IF($C410="","",W410-N410)</f>
        <v/>
      </c>
      <c r="Y410" s="7" t="n"/>
      <c r="AA410">
        <f>IF($C410="","",IF($AD410=1,Settings!$C$6,Settings!$C$7)*100)</f>
        <v/>
      </c>
      <c r="AB410">
        <f>IF($C410="","",IF(COUNTIF($C$2:$C410,$C410)=1,1,0))</f>
        <v/>
      </c>
      <c r="AC410">
        <f>IF($AB410=1,SUMPRODUCT(--($AE$2:$AE$501&lt;$AE410))+1,"")</f>
        <v/>
      </c>
      <c r="AD410">
        <f>IF($C410="","",IF(OR($Z410=TRUE(),$Z410="TRUE"),0,1))</f>
        <v/>
      </c>
      <c r="AE410">
        <f>IF($AB410=1,IFERROR(IF(VALUE($C410)&lt;100000000,VALUE($C410),1000000000),IFERROR(IF(VALUE(MID($C410,2,20))&lt;100000000,VALUE(MID($C410,2,20)),1000000000),1000000000))+ROW()/100000,"")</f>
        <v/>
      </c>
    </row>
    <row r="411">
      <c r="G411" s="7" t="n"/>
      <c r="H411" s="7" t="n"/>
      <c r="N411" s="7">
        <f>IF($C411="","",M411*Y411/100)</f>
        <v/>
      </c>
      <c r="O411" s="11" t="n"/>
      <c r="T411" s="7" t="n"/>
      <c r="V411" s="7">
        <f>IF($C411="","",Y411*AA411/100)</f>
        <v/>
      </c>
      <c r="W411" s="7">
        <f>IF($C411="","",Y411-V411)</f>
        <v/>
      </c>
      <c r="X411" s="7">
        <f>IF($C411="","",W411-N411)</f>
        <v/>
      </c>
      <c r="Y411" s="7" t="n"/>
      <c r="AA411">
        <f>IF($C411="","",IF($AD411=1,Settings!$C$6,Settings!$C$7)*100)</f>
        <v/>
      </c>
      <c r="AB411">
        <f>IF($C411="","",IF(COUNTIF($C$2:$C411,$C411)=1,1,0))</f>
        <v/>
      </c>
      <c r="AC411">
        <f>IF($AB411=1,SUMPRODUCT(--($AE$2:$AE$501&lt;$AE411))+1,"")</f>
        <v/>
      </c>
      <c r="AD411">
        <f>IF($C411="","",IF(OR($Z411=TRUE(),$Z411="TRUE"),0,1))</f>
        <v/>
      </c>
      <c r="AE411">
        <f>IF($AB411=1,IFERROR(IF(VALUE($C411)&lt;100000000,VALUE($C411),1000000000),IFERROR(IF(VALUE(MID($C411,2,20))&lt;100000000,VALUE(MID($C411,2,20)),1000000000),1000000000))+ROW()/100000,"")</f>
        <v/>
      </c>
    </row>
    <row r="412">
      <c r="G412" s="7" t="n"/>
      <c r="H412" s="7" t="n"/>
      <c r="N412" s="7">
        <f>IF($C412="","",M412*Y412/100)</f>
        <v/>
      </c>
      <c r="O412" s="11" t="n"/>
      <c r="T412" s="7" t="n"/>
      <c r="V412" s="7">
        <f>IF($C412="","",Y412*AA412/100)</f>
        <v/>
      </c>
      <c r="W412" s="7">
        <f>IF($C412="","",Y412-V412)</f>
        <v/>
      </c>
      <c r="X412" s="7">
        <f>IF($C412="","",W412-N412)</f>
        <v/>
      </c>
      <c r="Y412" s="7" t="n"/>
      <c r="AA412">
        <f>IF($C412="","",IF($AD412=1,Settings!$C$6,Settings!$C$7)*100)</f>
        <v/>
      </c>
      <c r="AB412">
        <f>IF($C412="","",IF(COUNTIF($C$2:$C412,$C412)=1,1,0))</f>
        <v/>
      </c>
      <c r="AC412">
        <f>IF($AB412=1,SUMPRODUCT(--($AE$2:$AE$501&lt;$AE412))+1,"")</f>
        <v/>
      </c>
      <c r="AD412">
        <f>IF($C412="","",IF(OR($Z412=TRUE(),$Z412="TRUE"),0,1))</f>
        <v/>
      </c>
      <c r="AE412">
        <f>IF($AB412=1,IFERROR(IF(VALUE($C412)&lt;100000000,VALUE($C412),1000000000),IFERROR(IF(VALUE(MID($C412,2,20))&lt;100000000,VALUE(MID($C412,2,20)),1000000000),1000000000))+ROW()/100000,"")</f>
        <v/>
      </c>
    </row>
    <row r="413">
      <c r="G413" s="7" t="n"/>
      <c r="H413" s="7" t="n"/>
      <c r="N413" s="7">
        <f>IF($C413="","",M413*Y413/100)</f>
        <v/>
      </c>
      <c r="O413" s="11" t="n"/>
      <c r="T413" s="7" t="n"/>
      <c r="V413" s="7">
        <f>IF($C413="","",Y413*AA413/100)</f>
        <v/>
      </c>
      <c r="W413" s="7">
        <f>IF($C413="","",Y413-V413)</f>
        <v/>
      </c>
      <c r="X413" s="7">
        <f>IF($C413="","",W413-N413)</f>
        <v/>
      </c>
      <c r="Y413" s="7" t="n"/>
      <c r="AA413">
        <f>IF($C413="","",IF($AD413=1,Settings!$C$6,Settings!$C$7)*100)</f>
        <v/>
      </c>
      <c r="AB413">
        <f>IF($C413="","",IF(COUNTIF($C$2:$C413,$C413)=1,1,0))</f>
        <v/>
      </c>
      <c r="AC413">
        <f>IF($AB413=1,SUMPRODUCT(--($AE$2:$AE$501&lt;$AE413))+1,"")</f>
        <v/>
      </c>
      <c r="AD413">
        <f>IF($C413="","",IF(OR($Z413=TRUE(),$Z413="TRUE"),0,1))</f>
        <v/>
      </c>
      <c r="AE413">
        <f>IF($AB413=1,IFERROR(IF(VALUE($C413)&lt;100000000,VALUE($C413),1000000000),IFERROR(IF(VALUE(MID($C413,2,20))&lt;100000000,VALUE(MID($C413,2,20)),1000000000),1000000000))+ROW()/100000,"")</f>
        <v/>
      </c>
    </row>
    <row r="414">
      <c r="G414" s="7" t="n"/>
      <c r="H414" s="7" t="n"/>
      <c r="N414" s="7">
        <f>IF($C414="","",M414*Y414/100)</f>
        <v/>
      </c>
      <c r="O414" s="11" t="n"/>
      <c r="T414" s="7" t="n"/>
      <c r="V414" s="7">
        <f>IF($C414="","",Y414*AA414/100)</f>
        <v/>
      </c>
      <c r="W414" s="7">
        <f>IF($C414="","",Y414-V414)</f>
        <v/>
      </c>
      <c r="X414" s="7">
        <f>IF($C414="","",W414-N414)</f>
        <v/>
      </c>
      <c r="Y414" s="7" t="n"/>
      <c r="AA414">
        <f>IF($C414="","",IF($AD414=1,Settings!$C$6,Settings!$C$7)*100)</f>
        <v/>
      </c>
      <c r="AB414">
        <f>IF($C414="","",IF(COUNTIF($C$2:$C414,$C414)=1,1,0))</f>
        <v/>
      </c>
      <c r="AC414">
        <f>IF($AB414=1,SUMPRODUCT(--($AE$2:$AE$501&lt;$AE414))+1,"")</f>
        <v/>
      </c>
      <c r="AD414">
        <f>IF($C414="","",IF(OR($Z414=TRUE(),$Z414="TRUE"),0,1))</f>
        <v/>
      </c>
      <c r="AE414">
        <f>IF($AB414=1,IFERROR(IF(VALUE($C414)&lt;100000000,VALUE($C414),1000000000),IFERROR(IF(VALUE(MID($C414,2,20))&lt;100000000,VALUE(MID($C414,2,20)),1000000000),1000000000))+ROW()/100000,"")</f>
        <v/>
      </c>
    </row>
    <row r="415">
      <c r="G415" s="7" t="n"/>
      <c r="H415" s="7" t="n"/>
      <c r="N415" s="7">
        <f>IF($C415="","",M415*Y415/100)</f>
        <v/>
      </c>
      <c r="O415" s="11" t="n"/>
      <c r="T415" s="7" t="n"/>
      <c r="V415" s="7">
        <f>IF($C415="","",Y415*AA415/100)</f>
        <v/>
      </c>
      <c r="W415" s="7">
        <f>IF($C415="","",Y415-V415)</f>
        <v/>
      </c>
      <c r="X415" s="7">
        <f>IF($C415="","",W415-N415)</f>
        <v/>
      </c>
      <c r="Y415" s="7" t="n"/>
      <c r="AA415">
        <f>IF($C415="","",IF($AD415=1,Settings!$C$6,Settings!$C$7)*100)</f>
        <v/>
      </c>
      <c r="AB415">
        <f>IF($C415="","",IF(COUNTIF($C$2:$C415,$C415)=1,1,0))</f>
        <v/>
      </c>
      <c r="AC415">
        <f>IF($AB415=1,SUMPRODUCT(--($AE$2:$AE$501&lt;$AE415))+1,"")</f>
        <v/>
      </c>
      <c r="AD415">
        <f>IF($C415="","",IF(OR($Z415=TRUE(),$Z415="TRUE"),0,1))</f>
        <v/>
      </c>
      <c r="AE415">
        <f>IF($AB415=1,IFERROR(IF(VALUE($C415)&lt;100000000,VALUE($C415),1000000000),IFERROR(IF(VALUE(MID($C415,2,20))&lt;100000000,VALUE(MID($C415,2,20)),1000000000),1000000000))+ROW()/100000,"")</f>
        <v/>
      </c>
    </row>
    <row r="416">
      <c r="G416" s="7" t="n"/>
      <c r="H416" s="7" t="n"/>
      <c r="N416" s="7">
        <f>IF($C416="","",M416*Y416/100)</f>
        <v/>
      </c>
      <c r="O416" s="11" t="n"/>
      <c r="T416" s="7" t="n"/>
      <c r="V416" s="7">
        <f>IF($C416="","",Y416*AA416/100)</f>
        <v/>
      </c>
      <c r="W416" s="7">
        <f>IF($C416="","",Y416-V416)</f>
        <v/>
      </c>
      <c r="X416" s="7">
        <f>IF($C416="","",W416-N416)</f>
        <v/>
      </c>
      <c r="Y416" s="7" t="n"/>
      <c r="AA416">
        <f>IF($C416="","",IF($AD416=1,Settings!$C$6,Settings!$C$7)*100)</f>
        <v/>
      </c>
      <c r="AB416">
        <f>IF($C416="","",IF(COUNTIF($C$2:$C416,$C416)=1,1,0))</f>
        <v/>
      </c>
      <c r="AC416">
        <f>IF($AB416=1,SUMPRODUCT(--($AE$2:$AE$501&lt;$AE416))+1,"")</f>
        <v/>
      </c>
      <c r="AD416">
        <f>IF($C416="","",IF(OR($Z416=TRUE(),$Z416="TRUE"),0,1))</f>
        <v/>
      </c>
      <c r="AE416">
        <f>IF($AB416=1,IFERROR(IF(VALUE($C416)&lt;100000000,VALUE($C416),1000000000),IFERROR(IF(VALUE(MID($C416,2,20))&lt;100000000,VALUE(MID($C416,2,20)),1000000000),1000000000))+ROW()/100000,"")</f>
        <v/>
      </c>
    </row>
    <row r="417">
      <c r="G417" s="7" t="n"/>
      <c r="H417" s="7" t="n"/>
      <c r="N417" s="7">
        <f>IF($C417="","",M417*Y417/100)</f>
        <v/>
      </c>
      <c r="O417" s="11" t="n"/>
      <c r="T417" s="7" t="n"/>
      <c r="V417" s="7">
        <f>IF($C417="","",Y417*AA417/100)</f>
        <v/>
      </c>
      <c r="W417" s="7">
        <f>IF($C417="","",Y417-V417)</f>
        <v/>
      </c>
      <c r="X417" s="7">
        <f>IF($C417="","",W417-N417)</f>
        <v/>
      </c>
      <c r="Y417" s="7" t="n"/>
      <c r="AA417">
        <f>IF($C417="","",IF($AD417=1,Settings!$C$6,Settings!$C$7)*100)</f>
        <v/>
      </c>
      <c r="AB417">
        <f>IF($C417="","",IF(COUNTIF($C$2:$C417,$C417)=1,1,0))</f>
        <v/>
      </c>
      <c r="AC417">
        <f>IF($AB417=1,SUMPRODUCT(--($AE$2:$AE$501&lt;$AE417))+1,"")</f>
        <v/>
      </c>
      <c r="AD417">
        <f>IF($C417="","",IF(OR($Z417=TRUE(),$Z417="TRUE"),0,1))</f>
        <v/>
      </c>
      <c r="AE417">
        <f>IF($AB417=1,IFERROR(IF(VALUE($C417)&lt;100000000,VALUE($C417),1000000000),IFERROR(IF(VALUE(MID($C417,2,20))&lt;100000000,VALUE(MID($C417,2,20)),1000000000),1000000000))+ROW()/100000,"")</f>
        <v/>
      </c>
    </row>
    <row r="418">
      <c r="G418" s="7" t="n"/>
      <c r="H418" s="7" t="n"/>
      <c r="N418" s="7">
        <f>IF($C418="","",M418*Y418/100)</f>
        <v/>
      </c>
      <c r="O418" s="11" t="n"/>
      <c r="T418" s="7" t="n"/>
      <c r="V418" s="7">
        <f>IF($C418="","",Y418*AA418/100)</f>
        <v/>
      </c>
      <c r="W418" s="7">
        <f>IF($C418="","",Y418-V418)</f>
        <v/>
      </c>
      <c r="X418" s="7">
        <f>IF($C418="","",W418-N418)</f>
        <v/>
      </c>
      <c r="Y418" s="7" t="n"/>
      <c r="AA418">
        <f>IF($C418="","",IF($AD418=1,Settings!$C$6,Settings!$C$7)*100)</f>
        <v/>
      </c>
      <c r="AB418">
        <f>IF($C418="","",IF(COUNTIF($C$2:$C418,$C418)=1,1,0))</f>
        <v/>
      </c>
      <c r="AC418">
        <f>IF($AB418=1,SUMPRODUCT(--($AE$2:$AE$501&lt;$AE418))+1,"")</f>
        <v/>
      </c>
      <c r="AD418">
        <f>IF($C418="","",IF(OR($Z418=TRUE(),$Z418="TRUE"),0,1))</f>
        <v/>
      </c>
      <c r="AE418">
        <f>IF($AB418=1,IFERROR(IF(VALUE($C418)&lt;100000000,VALUE($C418),1000000000),IFERROR(IF(VALUE(MID($C418,2,20))&lt;100000000,VALUE(MID($C418,2,20)),1000000000),1000000000))+ROW()/100000,"")</f>
        <v/>
      </c>
    </row>
    <row r="419">
      <c r="G419" s="7" t="n"/>
      <c r="H419" s="7" t="n"/>
      <c r="N419" s="7">
        <f>IF($C419="","",M419*Y419/100)</f>
        <v/>
      </c>
      <c r="O419" s="11" t="n"/>
      <c r="T419" s="7" t="n"/>
      <c r="V419" s="7">
        <f>IF($C419="","",Y419*AA419/100)</f>
        <v/>
      </c>
      <c r="W419" s="7">
        <f>IF($C419="","",Y419-V419)</f>
        <v/>
      </c>
      <c r="X419" s="7">
        <f>IF($C419="","",W419-N419)</f>
        <v/>
      </c>
      <c r="Y419" s="7" t="n"/>
      <c r="AA419">
        <f>IF($C419="","",IF($AD419=1,Settings!$C$6,Settings!$C$7)*100)</f>
        <v/>
      </c>
      <c r="AB419">
        <f>IF($C419="","",IF(COUNTIF($C$2:$C419,$C419)=1,1,0))</f>
        <v/>
      </c>
      <c r="AC419">
        <f>IF($AB419=1,SUMPRODUCT(--($AE$2:$AE$501&lt;$AE419))+1,"")</f>
        <v/>
      </c>
      <c r="AD419">
        <f>IF($C419="","",IF(OR($Z419=TRUE(),$Z419="TRUE"),0,1))</f>
        <v/>
      </c>
      <c r="AE419">
        <f>IF($AB419=1,IFERROR(IF(VALUE($C419)&lt;100000000,VALUE($C419),1000000000),IFERROR(IF(VALUE(MID($C419,2,20))&lt;100000000,VALUE(MID($C419,2,20)),1000000000),1000000000))+ROW()/100000,"")</f>
        <v/>
      </c>
    </row>
    <row r="420">
      <c r="G420" s="7" t="n"/>
      <c r="H420" s="7" t="n"/>
      <c r="N420" s="7">
        <f>IF($C420="","",M420*Y420/100)</f>
        <v/>
      </c>
      <c r="O420" s="11" t="n"/>
      <c r="T420" s="7" t="n"/>
      <c r="V420" s="7">
        <f>IF($C420="","",Y420*AA420/100)</f>
        <v/>
      </c>
      <c r="W420" s="7">
        <f>IF($C420="","",Y420-V420)</f>
        <v/>
      </c>
      <c r="X420" s="7">
        <f>IF($C420="","",W420-N420)</f>
        <v/>
      </c>
      <c r="Y420" s="7" t="n"/>
      <c r="AA420">
        <f>IF($C420="","",IF($AD420=1,Settings!$C$6,Settings!$C$7)*100)</f>
        <v/>
      </c>
      <c r="AB420">
        <f>IF($C420="","",IF(COUNTIF($C$2:$C420,$C420)=1,1,0))</f>
        <v/>
      </c>
      <c r="AC420">
        <f>IF($AB420=1,SUMPRODUCT(--($AE$2:$AE$501&lt;$AE420))+1,"")</f>
        <v/>
      </c>
      <c r="AD420">
        <f>IF($C420="","",IF(OR($Z420=TRUE(),$Z420="TRUE"),0,1))</f>
        <v/>
      </c>
      <c r="AE420">
        <f>IF($AB420=1,IFERROR(IF(VALUE($C420)&lt;100000000,VALUE($C420),1000000000),IFERROR(IF(VALUE(MID($C420,2,20))&lt;100000000,VALUE(MID($C420,2,20)),1000000000),1000000000))+ROW()/100000,"")</f>
        <v/>
      </c>
    </row>
    <row r="421">
      <c r="G421" s="7" t="n"/>
      <c r="H421" s="7" t="n"/>
      <c r="N421" s="7">
        <f>IF($C421="","",M421*Y421/100)</f>
        <v/>
      </c>
      <c r="O421" s="11" t="n"/>
      <c r="T421" s="7" t="n"/>
      <c r="V421" s="7">
        <f>IF($C421="","",Y421*AA421/100)</f>
        <v/>
      </c>
      <c r="W421" s="7">
        <f>IF($C421="","",Y421-V421)</f>
        <v/>
      </c>
      <c r="X421" s="7">
        <f>IF($C421="","",W421-N421)</f>
        <v/>
      </c>
      <c r="Y421" s="7" t="n"/>
      <c r="AA421">
        <f>IF($C421="","",IF($AD421=1,Settings!$C$6,Settings!$C$7)*100)</f>
        <v/>
      </c>
      <c r="AB421">
        <f>IF($C421="","",IF(COUNTIF($C$2:$C421,$C421)=1,1,0))</f>
        <v/>
      </c>
      <c r="AC421">
        <f>IF($AB421=1,SUMPRODUCT(--($AE$2:$AE$501&lt;$AE421))+1,"")</f>
        <v/>
      </c>
      <c r="AD421">
        <f>IF($C421="","",IF(OR($Z421=TRUE(),$Z421="TRUE"),0,1))</f>
        <v/>
      </c>
      <c r="AE421">
        <f>IF($AB421=1,IFERROR(IF(VALUE($C421)&lt;100000000,VALUE($C421),1000000000),IFERROR(IF(VALUE(MID($C421,2,20))&lt;100000000,VALUE(MID($C421,2,20)),1000000000),1000000000))+ROW()/100000,"")</f>
        <v/>
      </c>
    </row>
    <row r="422">
      <c r="G422" s="7" t="n"/>
      <c r="H422" s="7" t="n"/>
      <c r="N422" s="7">
        <f>IF($C422="","",M422*Y422/100)</f>
        <v/>
      </c>
      <c r="O422" s="11" t="n"/>
      <c r="T422" s="7" t="n"/>
      <c r="V422" s="7">
        <f>IF($C422="","",Y422*AA422/100)</f>
        <v/>
      </c>
      <c r="W422" s="7">
        <f>IF($C422="","",Y422-V422)</f>
        <v/>
      </c>
      <c r="X422" s="7">
        <f>IF($C422="","",W422-N422)</f>
        <v/>
      </c>
      <c r="Y422" s="7" t="n"/>
      <c r="AA422">
        <f>IF($C422="","",IF($AD422=1,Settings!$C$6,Settings!$C$7)*100)</f>
        <v/>
      </c>
      <c r="AB422">
        <f>IF($C422="","",IF(COUNTIF($C$2:$C422,$C422)=1,1,0))</f>
        <v/>
      </c>
      <c r="AC422">
        <f>IF($AB422=1,SUMPRODUCT(--($AE$2:$AE$501&lt;$AE422))+1,"")</f>
        <v/>
      </c>
      <c r="AD422">
        <f>IF($C422="","",IF(OR($Z422=TRUE(),$Z422="TRUE"),0,1))</f>
        <v/>
      </c>
      <c r="AE422">
        <f>IF($AB422=1,IFERROR(IF(VALUE($C422)&lt;100000000,VALUE($C422),1000000000),IFERROR(IF(VALUE(MID($C422,2,20))&lt;100000000,VALUE(MID($C422,2,20)),1000000000),1000000000))+ROW()/100000,"")</f>
        <v/>
      </c>
    </row>
    <row r="423">
      <c r="G423" s="7" t="n"/>
      <c r="H423" s="7" t="n"/>
      <c r="N423" s="7">
        <f>IF($C423="","",M423*Y423/100)</f>
        <v/>
      </c>
      <c r="O423" s="11" t="n"/>
      <c r="T423" s="7" t="n"/>
      <c r="V423" s="7">
        <f>IF($C423="","",Y423*AA423/100)</f>
        <v/>
      </c>
      <c r="W423" s="7">
        <f>IF($C423="","",Y423-V423)</f>
        <v/>
      </c>
      <c r="X423" s="7">
        <f>IF($C423="","",W423-N423)</f>
        <v/>
      </c>
      <c r="Y423" s="7" t="n"/>
      <c r="AA423">
        <f>IF($C423="","",IF($AD423=1,Settings!$C$6,Settings!$C$7)*100)</f>
        <v/>
      </c>
      <c r="AB423">
        <f>IF($C423="","",IF(COUNTIF($C$2:$C423,$C423)=1,1,0))</f>
        <v/>
      </c>
      <c r="AC423">
        <f>IF($AB423=1,SUMPRODUCT(--($AE$2:$AE$501&lt;$AE423))+1,"")</f>
        <v/>
      </c>
      <c r="AD423">
        <f>IF($C423="","",IF(OR($Z423=TRUE(),$Z423="TRUE"),0,1))</f>
        <v/>
      </c>
      <c r="AE423">
        <f>IF($AB423=1,IFERROR(IF(VALUE($C423)&lt;100000000,VALUE($C423),1000000000),IFERROR(IF(VALUE(MID($C423,2,20))&lt;100000000,VALUE(MID($C423,2,20)),1000000000),1000000000))+ROW()/100000,"")</f>
        <v/>
      </c>
    </row>
    <row r="424">
      <c r="G424" s="7" t="n"/>
      <c r="H424" s="7" t="n"/>
      <c r="N424" s="7">
        <f>IF($C424="","",M424*Y424/100)</f>
        <v/>
      </c>
      <c r="O424" s="11" t="n"/>
      <c r="T424" s="7" t="n"/>
      <c r="V424" s="7">
        <f>IF($C424="","",Y424*AA424/100)</f>
        <v/>
      </c>
      <c r="W424" s="7">
        <f>IF($C424="","",Y424-V424)</f>
        <v/>
      </c>
      <c r="X424" s="7">
        <f>IF($C424="","",W424-N424)</f>
        <v/>
      </c>
      <c r="Y424" s="7" t="n"/>
      <c r="AA424">
        <f>IF($C424="","",IF($AD424=1,Settings!$C$6,Settings!$C$7)*100)</f>
        <v/>
      </c>
      <c r="AB424">
        <f>IF($C424="","",IF(COUNTIF($C$2:$C424,$C424)=1,1,0))</f>
        <v/>
      </c>
      <c r="AC424">
        <f>IF($AB424=1,SUMPRODUCT(--($AE$2:$AE$501&lt;$AE424))+1,"")</f>
        <v/>
      </c>
      <c r="AD424">
        <f>IF($C424="","",IF(OR($Z424=TRUE(),$Z424="TRUE"),0,1))</f>
        <v/>
      </c>
      <c r="AE424">
        <f>IF($AB424=1,IFERROR(IF(VALUE($C424)&lt;100000000,VALUE($C424),1000000000),IFERROR(IF(VALUE(MID($C424,2,20))&lt;100000000,VALUE(MID($C424,2,20)),1000000000),1000000000))+ROW()/100000,"")</f>
        <v/>
      </c>
    </row>
    <row r="425">
      <c r="G425" s="7" t="n"/>
      <c r="H425" s="7" t="n"/>
      <c r="N425" s="7">
        <f>IF($C425="","",M425*Y425/100)</f>
        <v/>
      </c>
      <c r="O425" s="11" t="n"/>
      <c r="T425" s="7" t="n"/>
      <c r="V425" s="7">
        <f>IF($C425="","",Y425*AA425/100)</f>
        <v/>
      </c>
      <c r="W425" s="7">
        <f>IF($C425="","",Y425-V425)</f>
        <v/>
      </c>
      <c r="X425" s="7">
        <f>IF($C425="","",W425-N425)</f>
        <v/>
      </c>
      <c r="Y425" s="7" t="n"/>
      <c r="AA425">
        <f>IF($C425="","",IF($AD425=1,Settings!$C$6,Settings!$C$7)*100)</f>
        <v/>
      </c>
      <c r="AB425">
        <f>IF($C425="","",IF(COUNTIF($C$2:$C425,$C425)=1,1,0))</f>
        <v/>
      </c>
      <c r="AC425">
        <f>IF($AB425=1,SUMPRODUCT(--($AE$2:$AE$501&lt;$AE425))+1,"")</f>
        <v/>
      </c>
      <c r="AD425">
        <f>IF($C425="","",IF(OR($Z425=TRUE(),$Z425="TRUE"),0,1))</f>
        <v/>
      </c>
      <c r="AE425">
        <f>IF($AB425=1,IFERROR(IF(VALUE($C425)&lt;100000000,VALUE($C425),1000000000),IFERROR(IF(VALUE(MID($C425,2,20))&lt;100000000,VALUE(MID($C425,2,20)),1000000000),1000000000))+ROW()/100000,"")</f>
        <v/>
      </c>
    </row>
    <row r="426">
      <c r="G426" s="7" t="n"/>
      <c r="H426" s="7" t="n"/>
      <c r="N426" s="7">
        <f>IF($C426="","",M426*Y426/100)</f>
        <v/>
      </c>
      <c r="O426" s="11" t="n"/>
      <c r="T426" s="7" t="n"/>
      <c r="V426" s="7">
        <f>IF($C426="","",Y426*AA426/100)</f>
        <v/>
      </c>
      <c r="W426" s="7">
        <f>IF($C426="","",Y426-V426)</f>
        <v/>
      </c>
      <c r="X426" s="7">
        <f>IF($C426="","",W426-N426)</f>
        <v/>
      </c>
      <c r="Y426" s="7" t="n"/>
      <c r="AA426">
        <f>IF($C426="","",IF($AD426=1,Settings!$C$6,Settings!$C$7)*100)</f>
        <v/>
      </c>
      <c r="AB426">
        <f>IF($C426="","",IF(COUNTIF($C$2:$C426,$C426)=1,1,0))</f>
        <v/>
      </c>
      <c r="AC426">
        <f>IF($AB426=1,SUMPRODUCT(--($AE$2:$AE$501&lt;$AE426))+1,"")</f>
        <v/>
      </c>
      <c r="AD426">
        <f>IF($C426="","",IF(OR($Z426=TRUE(),$Z426="TRUE"),0,1))</f>
        <v/>
      </c>
      <c r="AE426">
        <f>IF($AB426=1,IFERROR(IF(VALUE($C426)&lt;100000000,VALUE($C426),1000000000),IFERROR(IF(VALUE(MID($C426,2,20))&lt;100000000,VALUE(MID($C426,2,20)),1000000000),1000000000))+ROW()/100000,"")</f>
        <v/>
      </c>
    </row>
    <row r="427">
      <c r="G427" s="7" t="n"/>
      <c r="H427" s="7" t="n"/>
      <c r="N427" s="7">
        <f>IF($C427="","",M427*Y427/100)</f>
        <v/>
      </c>
      <c r="O427" s="11" t="n"/>
      <c r="T427" s="7" t="n"/>
      <c r="V427" s="7">
        <f>IF($C427="","",Y427*AA427/100)</f>
        <v/>
      </c>
      <c r="W427" s="7">
        <f>IF($C427="","",Y427-V427)</f>
        <v/>
      </c>
      <c r="X427" s="7">
        <f>IF($C427="","",W427-N427)</f>
        <v/>
      </c>
      <c r="Y427" s="7" t="n"/>
      <c r="AA427">
        <f>IF($C427="","",IF($AD427=1,Settings!$C$6,Settings!$C$7)*100)</f>
        <v/>
      </c>
      <c r="AB427">
        <f>IF($C427="","",IF(COUNTIF($C$2:$C427,$C427)=1,1,0))</f>
        <v/>
      </c>
      <c r="AC427">
        <f>IF($AB427=1,SUMPRODUCT(--($AE$2:$AE$501&lt;$AE427))+1,"")</f>
        <v/>
      </c>
      <c r="AD427">
        <f>IF($C427="","",IF(OR($Z427=TRUE(),$Z427="TRUE"),0,1))</f>
        <v/>
      </c>
      <c r="AE427">
        <f>IF($AB427=1,IFERROR(IF(VALUE($C427)&lt;100000000,VALUE($C427),1000000000),IFERROR(IF(VALUE(MID($C427,2,20))&lt;100000000,VALUE(MID($C427,2,20)),1000000000),1000000000))+ROW()/100000,"")</f>
        <v/>
      </c>
    </row>
    <row r="428">
      <c r="G428" s="7" t="n"/>
      <c r="H428" s="7" t="n"/>
      <c r="N428" s="7">
        <f>IF($C428="","",M428*Y428/100)</f>
        <v/>
      </c>
      <c r="O428" s="11" t="n"/>
      <c r="T428" s="7" t="n"/>
      <c r="V428" s="7">
        <f>IF($C428="","",Y428*AA428/100)</f>
        <v/>
      </c>
      <c r="W428" s="7">
        <f>IF($C428="","",Y428-V428)</f>
        <v/>
      </c>
      <c r="X428" s="7">
        <f>IF($C428="","",W428-N428)</f>
        <v/>
      </c>
      <c r="Y428" s="7" t="n"/>
      <c r="AA428">
        <f>IF($C428="","",IF($AD428=1,Settings!$C$6,Settings!$C$7)*100)</f>
        <v/>
      </c>
      <c r="AB428">
        <f>IF($C428="","",IF(COUNTIF($C$2:$C428,$C428)=1,1,0))</f>
        <v/>
      </c>
      <c r="AC428">
        <f>IF($AB428=1,SUMPRODUCT(--($AE$2:$AE$501&lt;$AE428))+1,"")</f>
        <v/>
      </c>
      <c r="AD428">
        <f>IF($C428="","",IF(OR($Z428=TRUE(),$Z428="TRUE"),0,1))</f>
        <v/>
      </c>
      <c r="AE428">
        <f>IF($AB428=1,IFERROR(IF(VALUE($C428)&lt;100000000,VALUE($C428),1000000000),IFERROR(IF(VALUE(MID($C428,2,20))&lt;100000000,VALUE(MID($C428,2,20)),1000000000),1000000000))+ROW()/100000,"")</f>
        <v/>
      </c>
    </row>
    <row r="429">
      <c r="G429" s="7" t="n"/>
      <c r="H429" s="7" t="n"/>
      <c r="N429" s="7">
        <f>IF($C429="","",M429*Y429/100)</f>
        <v/>
      </c>
      <c r="O429" s="11" t="n"/>
      <c r="T429" s="7" t="n"/>
      <c r="V429" s="7">
        <f>IF($C429="","",Y429*AA429/100)</f>
        <v/>
      </c>
      <c r="W429" s="7">
        <f>IF($C429="","",Y429-V429)</f>
        <v/>
      </c>
      <c r="X429" s="7">
        <f>IF($C429="","",W429-N429)</f>
        <v/>
      </c>
      <c r="Y429" s="7" t="n"/>
      <c r="AA429">
        <f>IF($C429="","",IF($AD429=1,Settings!$C$6,Settings!$C$7)*100)</f>
        <v/>
      </c>
      <c r="AB429">
        <f>IF($C429="","",IF(COUNTIF($C$2:$C429,$C429)=1,1,0))</f>
        <v/>
      </c>
      <c r="AC429">
        <f>IF($AB429=1,SUMPRODUCT(--($AE$2:$AE$501&lt;$AE429))+1,"")</f>
        <v/>
      </c>
      <c r="AD429">
        <f>IF($C429="","",IF(OR($Z429=TRUE(),$Z429="TRUE"),0,1))</f>
        <v/>
      </c>
      <c r="AE429">
        <f>IF($AB429=1,IFERROR(IF(VALUE($C429)&lt;100000000,VALUE($C429),1000000000),IFERROR(IF(VALUE(MID($C429,2,20))&lt;100000000,VALUE(MID($C429,2,20)),1000000000),1000000000))+ROW()/100000,"")</f>
        <v/>
      </c>
    </row>
    <row r="430">
      <c r="G430" s="7" t="n"/>
      <c r="H430" s="7" t="n"/>
      <c r="N430" s="7">
        <f>IF($C430="","",M430*Y430/100)</f>
        <v/>
      </c>
      <c r="O430" s="11" t="n"/>
      <c r="T430" s="7" t="n"/>
      <c r="V430" s="7">
        <f>IF($C430="","",Y430*AA430/100)</f>
        <v/>
      </c>
      <c r="W430" s="7">
        <f>IF($C430="","",Y430-V430)</f>
        <v/>
      </c>
      <c r="X430" s="7">
        <f>IF($C430="","",W430-N430)</f>
        <v/>
      </c>
      <c r="Y430" s="7" t="n"/>
      <c r="AA430">
        <f>IF($C430="","",IF($AD430=1,Settings!$C$6,Settings!$C$7)*100)</f>
        <v/>
      </c>
      <c r="AB430">
        <f>IF($C430="","",IF(COUNTIF($C$2:$C430,$C430)=1,1,0))</f>
        <v/>
      </c>
      <c r="AC430">
        <f>IF($AB430=1,SUMPRODUCT(--($AE$2:$AE$501&lt;$AE430))+1,"")</f>
        <v/>
      </c>
      <c r="AD430">
        <f>IF($C430="","",IF(OR($Z430=TRUE(),$Z430="TRUE"),0,1))</f>
        <v/>
      </c>
      <c r="AE430">
        <f>IF($AB430=1,IFERROR(IF(VALUE($C430)&lt;100000000,VALUE($C430),1000000000),IFERROR(IF(VALUE(MID($C430,2,20))&lt;100000000,VALUE(MID($C430,2,20)),1000000000),1000000000))+ROW()/100000,"")</f>
        <v/>
      </c>
    </row>
    <row r="431">
      <c r="G431" s="7" t="n"/>
      <c r="H431" s="7" t="n"/>
      <c r="N431" s="7">
        <f>IF($C431="","",M431*Y431/100)</f>
        <v/>
      </c>
      <c r="O431" s="11" t="n"/>
      <c r="T431" s="7" t="n"/>
      <c r="V431" s="7">
        <f>IF($C431="","",Y431*AA431/100)</f>
        <v/>
      </c>
      <c r="W431" s="7">
        <f>IF($C431="","",Y431-V431)</f>
        <v/>
      </c>
      <c r="X431" s="7">
        <f>IF($C431="","",W431-N431)</f>
        <v/>
      </c>
      <c r="Y431" s="7" t="n"/>
      <c r="AA431">
        <f>IF($C431="","",IF($AD431=1,Settings!$C$6,Settings!$C$7)*100)</f>
        <v/>
      </c>
      <c r="AB431">
        <f>IF($C431="","",IF(COUNTIF($C$2:$C431,$C431)=1,1,0))</f>
        <v/>
      </c>
      <c r="AC431">
        <f>IF($AB431=1,SUMPRODUCT(--($AE$2:$AE$501&lt;$AE431))+1,"")</f>
        <v/>
      </c>
      <c r="AD431">
        <f>IF($C431="","",IF(OR($Z431=TRUE(),$Z431="TRUE"),0,1))</f>
        <v/>
      </c>
      <c r="AE431">
        <f>IF($AB431=1,IFERROR(IF(VALUE($C431)&lt;100000000,VALUE($C431),1000000000),IFERROR(IF(VALUE(MID($C431,2,20))&lt;100000000,VALUE(MID($C431,2,20)),1000000000),1000000000))+ROW()/100000,"")</f>
        <v/>
      </c>
    </row>
    <row r="432">
      <c r="G432" s="7" t="n"/>
      <c r="H432" s="7" t="n"/>
      <c r="N432" s="7">
        <f>IF($C432="","",M432*Y432/100)</f>
        <v/>
      </c>
      <c r="O432" s="11" t="n"/>
      <c r="T432" s="7" t="n"/>
      <c r="V432" s="7">
        <f>IF($C432="","",Y432*AA432/100)</f>
        <v/>
      </c>
      <c r="W432" s="7">
        <f>IF($C432="","",Y432-V432)</f>
        <v/>
      </c>
      <c r="X432" s="7">
        <f>IF($C432="","",W432-N432)</f>
        <v/>
      </c>
      <c r="Y432" s="7" t="n"/>
      <c r="AA432">
        <f>IF($C432="","",IF($AD432=1,Settings!$C$6,Settings!$C$7)*100)</f>
        <v/>
      </c>
      <c r="AB432">
        <f>IF($C432="","",IF(COUNTIF($C$2:$C432,$C432)=1,1,0))</f>
        <v/>
      </c>
      <c r="AC432">
        <f>IF($AB432=1,SUMPRODUCT(--($AE$2:$AE$501&lt;$AE432))+1,"")</f>
        <v/>
      </c>
      <c r="AD432">
        <f>IF($C432="","",IF(OR($Z432=TRUE(),$Z432="TRUE"),0,1))</f>
        <v/>
      </c>
      <c r="AE432">
        <f>IF($AB432=1,IFERROR(IF(VALUE($C432)&lt;100000000,VALUE($C432),1000000000),IFERROR(IF(VALUE(MID($C432,2,20))&lt;100000000,VALUE(MID($C432,2,20)),1000000000),1000000000))+ROW()/100000,"")</f>
        <v/>
      </c>
    </row>
    <row r="433">
      <c r="G433" s="7" t="n"/>
      <c r="H433" s="7" t="n"/>
      <c r="N433" s="7">
        <f>IF($C433="","",M433*Y433/100)</f>
        <v/>
      </c>
      <c r="O433" s="11" t="n"/>
      <c r="T433" s="7" t="n"/>
      <c r="V433" s="7">
        <f>IF($C433="","",Y433*AA433/100)</f>
        <v/>
      </c>
      <c r="W433" s="7">
        <f>IF($C433="","",Y433-V433)</f>
        <v/>
      </c>
      <c r="X433" s="7">
        <f>IF($C433="","",W433-N433)</f>
        <v/>
      </c>
      <c r="Y433" s="7" t="n"/>
      <c r="AA433">
        <f>IF($C433="","",IF($AD433=1,Settings!$C$6,Settings!$C$7)*100)</f>
        <v/>
      </c>
      <c r="AB433">
        <f>IF($C433="","",IF(COUNTIF($C$2:$C433,$C433)=1,1,0))</f>
        <v/>
      </c>
      <c r="AC433">
        <f>IF($AB433=1,SUMPRODUCT(--($AE$2:$AE$501&lt;$AE433))+1,"")</f>
        <v/>
      </c>
      <c r="AD433">
        <f>IF($C433="","",IF(OR($Z433=TRUE(),$Z433="TRUE"),0,1))</f>
        <v/>
      </c>
      <c r="AE433">
        <f>IF($AB433=1,IFERROR(IF(VALUE($C433)&lt;100000000,VALUE($C433),1000000000),IFERROR(IF(VALUE(MID($C433,2,20))&lt;100000000,VALUE(MID($C433,2,20)),1000000000),1000000000))+ROW()/100000,"")</f>
        <v/>
      </c>
    </row>
    <row r="434">
      <c r="G434" s="7" t="n"/>
      <c r="H434" s="7" t="n"/>
      <c r="N434" s="7">
        <f>IF($C434="","",M434*Y434/100)</f>
        <v/>
      </c>
      <c r="O434" s="11" t="n"/>
      <c r="T434" s="7" t="n"/>
      <c r="V434" s="7">
        <f>IF($C434="","",Y434*AA434/100)</f>
        <v/>
      </c>
      <c r="W434" s="7">
        <f>IF($C434="","",Y434-V434)</f>
        <v/>
      </c>
      <c r="X434" s="7">
        <f>IF($C434="","",W434-N434)</f>
        <v/>
      </c>
      <c r="Y434" s="7" t="n"/>
      <c r="AA434">
        <f>IF($C434="","",IF($AD434=1,Settings!$C$6,Settings!$C$7)*100)</f>
        <v/>
      </c>
      <c r="AB434">
        <f>IF($C434="","",IF(COUNTIF($C$2:$C434,$C434)=1,1,0))</f>
        <v/>
      </c>
      <c r="AC434">
        <f>IF($AB434=1,SUMPRODUCT(--($AE$2:$AE$501&lt;$AE434))+1,"")</f>
        <v/>
      </c>
      <c r="AD434">
        <f>IF($C434="","",IF(OR($Z434=TRUE(),$Z434="TRUE"),0,1))</f>
        <v/>
      </c>
      <c r="AE434">
        <f>IF($AB434=1,IFERROR(IF(VALUE($C434)&lt;100000000,VALUE($C434),1000000000),IFERROR(IF(VALUE(MID($C434,2,20))&lt;100000000,VALUE(MID($C434,2,20)),1000000000),1000000000))+ROW()/100000,"")</f>
        <v/>
      </c>
    </row>
    <row r="435">
      <c r="G435" s="7" t="n"/>
      <c r="H435" s="7" t="n"/>
      <c r="N435" s="7">
        <f>IF($C435="","",M435*Y435/100)</f>
        <v/>
      </c>
      <c r="O435" s="11" t="n"/>
      <c r="T435" s="7" t="n"/>
      <c r="V435" s="7">
        <f>IF($C435="","",Y435*AA435/100)</f>
        <v/>
      </c>
      <c r="W435" s="7">
        <f>IF($C435="","",Y435-V435)</f>
        <v/>
      </c>
      <c r="X435" s="7">
        <f>IF($C435="","",W435-N435)</f>
        <v/>
      </c>
      <c r="Y435" s="7" t="n"/>
      <c r="AA435">
        <f>IF($C435="","",IF($AD435=1,Settings!$C$6,Settings!$C$7)*100)</f>
        <v/>
      </c>
      <c r="AB435">
        <f>IF($C435="","",IF(COUNTIF($C$2:$C435,$C435)=1,1,0))</f>
        <v/>
      </c>
      <c r="AC435">
        <f>IF($AB435=1,SUMPRODUCT(--($AE$2:$AE$501&lt;$AE435))+1,"")</f>
        <v/>
      </c>
      <c r="AD435">
        <f>IF($C435="","",IF(OR($Z435=TRUE(),$Z435="TRUE"),0,1))</f>
        <v/>
      </c>
      <c r="AE435">
        <f>IF($AB435=1,IFERROR(IF(VALUE($C435)&lt;100000000,VALUE($C435),1000000000),IFERROR(IF(VALUE(MID($C435,2,20))&lt;100000000,VALUE(MID($C435,2,20)),1000000000),1000000000))+ROW()/100000,"")</f>
        <v/>
      </c>
    </row>
    <row r="436">
      <c r="G436" s="7" t="n"/>
      <c r="H436" s="7" t="n"/>
      <c r="N436" s="7">
        <f>IF($C436="","",M436*Y436/100)</f>
        <v/>
      </c>
      <c r="O436" s="11" t="n"/>
      <c r="T436" s="7" t="n"/>
      <c r="V436" s="7">
        <f>IF($C436="","",Y436*AA436/100)</f>
        <v/>
      </c>
      <c r="W436" s="7">
        <f>IF($C436="","",Y436-V436)</f>
        <v/>
      </c>
      <c r="X436" s="7">
        <f>IF($C436="","",W436-N436)</f>
        <v/>
      </c>
      <c r="Y436" s="7" t="n"/>
      <c r="AA436">
        <f>IF($C436="","",IF($AD436=1,Settings!$C$6,Settings!$C$7)*100)</f>
        <v/>
      </c>
      <c r="AB436">
        <f>IF($C436="","",IF(COUNTIF($C$2:$C436,$C436)=1,1,0))</f>
        <v/>
      </c>
      <c r="AC436">
        <f>IF($AB436=1,SUMPRODUCT(--($AE$2:$AE$501&lt;$AE436))+1,"")</f>
        <v/>
      </c>
      <c r="AD436">
        <f>IF($C436="","",IF(OR($Z436=TRUE(),$Z436="TRUE"),0,1))</f>
        <v/>
      </c>
      <c r="AE436">
        <f>IF($AB436=1,IFERROR(IF(VALUE($C436)&lt;100000000,VALUE($C436),1000000000),IFERROR(IF(VALUE(MID($C436,2,20))&lt;100000000,VALUE(MID($C436,2,20)),1000000000),1000000000))+ROW()/100000,"")</f>
        <v/>
      </c>
    </row>
    <row r="437">
      <c r="G437" s="7" t="n"/>
      <c r="H437" s="7" t="n"/>
      <c r="N437" s="7">
        <f>IF($C437="","",M437*Y437/100)</f>
        <v/>
      </c>
      <c r="O437" s="11" t="n"/>
      <c r="T437" s="7" t="n"/>
      <c r="V437" s="7">
        <f>IF($C437="","",Y437*AA437/100)</f>
        <v/>
      </c>
      <c r="W437" s="7">
        <f>IF($C437="","",Y437-V437)</f>
        <v/>
      </c>
      <c r="X437" s="7">
        <f>IF($C437="","",W437-N437)</f>
        <v/>
      </c>
      <c r="Y437" s="7" t="n"/>
      <c r="AA437">
        <f>IF($C437="","",IF($AD437=1,Settings!$C$6,Settings!$C$7)*100)</f>
        <v/>
      </c>
      <c r="AB437">
        <f>IF($C437="","",IF(COUNTIF($C$2:$C437,$C437)=1,1,0))</f>
        <v/>
      </c>
      <c r="AC437">
        <f>IF($AB437=1,SUMPRODUCT(--($AE$2:$AE$501&lt;$AE437))+1,"")</f>
        <v/>
      </c>
      <c r="AD437">
        <f>IF($C437="","",IF(OR($Z437=TRUE(),$Z437="TRUE"),0,1))</f>
        <v/>
      </c>
      <c r="AE437">
        <f>IF($AB437=1,IFERROR(IF(VALUE($C437)&lt;100000000,VALUE($C437),1000000000),IFERROR(IF(VALUE(MID($C437,2,20))&lt;100000000,VALUE(MID($C437,2,20)),1000000000),1000000000))+ROW()/100000,"")</f>
        <v/>
      </c>
    </row>
    <row r="438">
      <c r="G438" s="7" t="n"/>
      <c r="H438" s="7" t="n"/>
      <c r="N438" s="7">
        <f>IF($C438="","",M438*Y438/100)</f>
        <v/>
      </c>
      <c r="O438" s="11" t="n"/>
      <c r="T438" s="7" t="n"/>
      <c r="V438" s="7">
        <f>IF($C438="","",Y438*AA438/100)</f>
        <v/>
      </c>
      <c r="W438" s="7">
        <f>IF($C438="","",Y438-V438)</f>
        <v/>
      </c>
      <c r="X438" s="7">
        <f>IF($C438="","",W438-N438)</f>
        <v/>
      </c>
      <c r="Y438" s="7" t="n"/>
      <c r="AA438">
        <f>IF($C438="","",IF($AD438=1,Settings!$C$6,Settings!$C$7)*100)</f>
        <v/>
      </c>
      <c r="AB438">
        <f>IF($C438="","",IF(COUNTIF($C$2:$C438,$C438)=1,1,0))</f>
        <v/>
      </c>
      <c r="AC438">
        <f>IF($AB438=1,SUMPRODUCT(--($AE$2:$AE$501&lt;$AE438))+1,"")</f>
        <v/>
      </c>
      <c r="AD438">
        <f>IF($C438="","",IF(OR($Z438=TRUE(),$Z438="TRUE"),0,1))</f>
        <v/>
      </c>
      <c r="AE438">
        <f>IF($AB438=1,IFERROR(IF(VALUE($C438)&lt;100000000,VALUE($C438),1000000000),IFERROR(IF(VALUE(MID($C438,2,20))&lt;100000000,VALUE(MID($C438,2,20)),1000000000),1000000000))+ROW()/100000,"")</f>
        <v/>
      </c>
    </row>
    <row r="439">
      <c r="G439" s="7" t="n"/>
      <c r="H439" s="7" t="n"/>
      <c r="N439" s="7">
        <f>IF($C439="","",M439*Y439/100)</f>
        <v/>
      </c>
      <c r="O439" s="11" t="n"/>
      <c r="T439" s="7" t="n"/>
      <c r="V439" s="7">
        <f>IF($C439="","",Y439*AA439/100)</f>
        <v/>
      </c>
      <c r="W439" s="7">
        <f>IF($C439="","",Y439-V439)</f>
        <v/>
      </c>
      <c r="X439" s="7">
        <f>IF($C439="","",W439-N439)</f>
        <v/>
      </c>
      <c r="Y439" s="7" t="n"/>
      <c r="AA439">
        <f>IF($C439="","",IF($AD439=1,Settings!$C$6,Settings!$C$7)*100)</f>
        <v/>
      </c>
      <c r="AB439">
        <f>IF($C439="","",IF(COUNTIF($C$2:$C439,$C439)=1,1,0))</f>
        <v/>
      </c>
      <c r="AC439">
        <f>IF($AB439=1,SUMPRODUCT(--($AE$2:$AE$501&lt;$AE439))+1,"")</f>
        <v/>
      </c>
      <c r="AD439">
        <f>IF($C439="","",IF(OR($Z439=TRUE(),$Z439="TRUE"),0,1))</f>
        <v/>
      </c>
      <c r="AE439">
        <f>IF($AB439=1,IFERROR(IF(VALUE($C439)&lt;100000000,VALUE($C439),1000000000),IFERROR(IF(VALUE(MID($C439,2,20))&lt;100000000,VALUE(MID($C439,2,20)),1000000000),1000000000))+ROW()/100000,"")</f>
        <v/>
      </c>
    </row>
    <row r="440">
      <c r="G440" s="7" t="n"/>
      <c r="H440" s="7" t="n"/>
      <c r="N440" s="7">
        <f>IF($C440="","",M440*Y440/100)</f>
        <v/>
      </c>
      <c r="O440" s="11" t="n"/>
      <c r="T440" s="7" t="n"/>
      <c r="V440" s="7">
        <f>IF($C440="","",Y440*AA440/100)</f>
        <v/>
      </c>
      <c r="W440" s="7">
        <f>IF($C440="","",Y440-V440)</f>
        <v/>
      </c>
      <c r="X440" s="7">
        <f>IF($C440="","",W440-N440)</f>
        <v/>
      </c>
      <c r="Y440" s="7" t="n"/>
      <c r="AA440">
        <f>IF($C440="","",IF($AD440=1,Settings!$C$6,Settings!$C$7)*100)</f>
        <v/>
      </c>
      <c r="AB440">
        <f>IF($C440="","",IF(COUNTIF($C$2:$C440,$C440)=1,1,0))</f>
        <v/>
      </c>
      <c r="AC440">
        <f>IF($AB440=1,SUMPRODUCT(--($AE$2:$AE$501&lt;$AE440))+1,"")</f>
        <v/>
      </c>
      <c r="AD440">
        <f>IF($C440="","",IF(OR($Z440=TRUE(),$Z440="TRUE"),0,1))</f>
        <v/>
      </c>
      <c r="AE440">
        <f>IF($AB440=1,IFERROR(IF(VALUE($C440)&lt;100000000,VALUE($C440),1000000000),IFERROR(IF(VALUE(MID($C440,2,20))&lt;100000000,VALUE(MID($C440,2,20)),1000000000),1000000000))+ROW()/100000,"")</f>
        <v/>
      </c>
    </row>
    <row r="441">
      <c r="G441" s="7" t="n"/>
      <c r="H441" s="7" t="n"/>
      <c r="N441" s="7">
        <f>IF($C441="","",M441*Y441/100)</f>
        <v/>
      </c>
      <c r="O441" s="11" t="n"/>
      <c r="T441" s="7" t="n"/>
      <c r="V441" s="7">
        <f>IF($C441="","",Y441*AA441/100)</f>
        <v/>
      </c>
      <c r="W441" s="7">
        <f>IF($C441="","",Y441-V441)</f>
        <v/>
      </c>
      <c r="X441" s="7">
        <f>IF($C441="","",W441-N441)</f>
        <v/>
      </c>
      <c r="Y441" s="7" t="n"/>
      <c r="AA441">
        <f>IF($C441="","",IF($AD441=1,Settings!$C$6,Settings!$C$7)*100)</f>
        <v/>
      </c>
      <c r="AB441">
        <f>IF($C441="","",IF(COUNTIF($C$2:$C441,$C441)=1,1,0))</f>
        <v/>
      </c>
      <c r="AC441">
        <f>IF($AB441=1,SUMPRODUCT(--($AE$2:$AE$501&lt;$AE441))+1,"")</f>
        <v/>
      </c>
      <c r="AD441">
        <f>IF($C441="","",IF(OR($Z441=TRUE(),$Z441="TRUE"),0,1))</f>
        <v/>
      </c>
      <c r="AE441">
        <f>IF($AB441=1,IFERROR(IF(VALUE($C441)&lt;100000000,VALUE($C441),1000000000),IFERROR(IF(VALUE(MID($C441,2,20))&lt;100000000,VALUE(MID($C441,2,20)),1000000000),1000000000))+ROW()/100000,"")</f>
        <v/>
      </c>
    </row>
    <row r="442">
      <c r="G442" s="7" t="n"/>
      <c r="H442" s="7" t="n"/>
      <c r="N442" s="7">
        <f>IF($C442="","",M442*Y442/100)</f>
        <v/>
      </c>
      <c r="O442" s="11" t="n"/>
      <c r="T442" s="7" t="n"/>
      <c r="V442" s="7">
        <f>IF($C442="","",Y442*AA442/100)</f>
        <v/>
      </c>
      <c r="W442" s="7">
        <f>IF($C442="","",Y442-V442)</f>
        <v/>
      </c>
      <c r="X442" s="7">
        <f>IF($C442="","",W442-N442)</f>
        <v/>
      </c>
      <c r="Y442" s="7" t="n"/>
      <c r="AA442">
        <f>IF($C442="","",IF($AD442=1,Settings!$C$6,Settings!$C$7)*100)</f>
        <v/>
      </c>
      <c r="AB442">
        <f>IF($C442="","",IF(COUNTIF($C$2:$C442,$C442)=1,1,0))</f>
        <v/>
      </c>
      <c r="AC442">
        <f>IF($AB442=1,SUMPRODUCT(--($AE$2:$AE$501&lt;$AE442))+1,"")</f>
        <v/>
      </c>
      <c r="AD442">
        <f>IF($C442="","",IF(OR($Z442=TRUE(),$Z442="TRUE"),0,1))</f>
        <v/>
      </c>
      <c r="AE442">
        <f>IF($AB442=1,IFERROR(IF(VALUE($C442)&lt;100000000,VALUE($C442),1000000000),IFERROR(IF(VALUE(MID($C442,2,20))&lt;100000000,VALUE(MID($C442,2,20)),1000000000),1000000000))+ROW()/100000,"")</f>
        <v/>
      </c>
    </row>
    <row r="443">
      <c r="G443" s="7" t="n"/>
      <c r="H443" s="7" t="n"/>
      <c r="N443" s="7">
        <f>IF($C443="","",M443*Y443/100)</f>
        <v/>
      </c>
      <c r="O443" s="11" t="n"/>
      <c r="T443" s="7" t="n"/>
      <c r="V443" s="7">
        <f>IF($C443="","",Y443*AA443/100)</f>
        <v/>
      </c>
      <c r="W443" s="7">
        <f>IF($C443="","",Y443-V443)</f>
        <v/>
      </c>
      <c r="X443" s="7">
        <f>IF($C443="","",W443-N443)</f>
        <v/>
      </c>
      <c r="Y443" s="7" t="n"/>
      <c r="AA443">
        <f>IF($C443="","",IF($AD443=1,Settings!$C$6,Settings!$C$7)*100)</f>
        <v/>
      </c>
      <c r="AB443">
        <f>IF($C443="","",IF(COUNTIF($C$2:$C443,$C443)=1,1,0))</f>
        <v/>
      </c>
      <c r="AC443">
        <f>IF($AB443=1,SUMPRODUCT(--($AE$2:$AE$501&lt;$AE443))+1,"")</f>
        <v/>
      </c>
      <c r="AD443">
        <f>IF($C443="","",IF(OR($Z443=TRUE(),$Z443="TRUE"),0,1))</f>
        <v/>
      </c>
      <c r="AE443">
        <f>IF($AB443=1,IFERROR(IF(VALUE($C443)&lt;100000000,VALUE($C443),1000000000),IFERROR(IF(VALUE(MID($C443,2,20))&lt;100000000,VALUE(MID($C443,2,20)),1000000000),1000000000))+ROW()/100000,"")</f>
        <v/>
      </c>
    </row>
    <row r="444">
      <c r="G444" s="7" t="n"/>
      <c r="H444" s="7" t="n"/>
      <c r="N444" s="7">
        <f>IF($C444="","",M444*Y444/100)</f>
        <v/>
      </c>
      <c r="O444" s="11" t="n"/>
      <c r="T444" s="7" t="n"/>
      <c r="V444" s="7">
        <f>IF($C444="","",Y444*AA444/100)</f>
        <v/>
      </c>
      <c r="W444" s="7">
        <f>IF($C444="","",Y444-V444)</f>
        <v/>
      </c>
      <c r="X444" s="7">
        <f>IF($C444="","",W444-N444)</f>
        <v/>
      </c>
      <c r="Y444" s="7" t="n"/>
      <c r="AA444">
        <f>IF($C444="","",IF($AD444=1,Settings!$C$6,Settings!$C$7)*100)</f>
        <v/>
      </c>
      <c r="AB444">
        <f>IF($C444="","",IF(COUNTIF($C$2:$C444,$C444)=1,1,0))</f>
        <v/>
      </c>
      <c r="AC444">
        <f>IF($AB444=1,SUMPRODUCT(--($AE$2:$AE$501&lt;$AE444))+1,"")</f>
        <v/>
      </c>
      <c r="AD444">
        <f>IF($C444="","",IF(OR($Z444=TRUE(),$Z444="TRUE"),0,1))</f>
        <v/>
      </c>
      <c r="AE444">
        <f>IF($AB444=1,IFERROR(IF(VALUE($C444)&lt;100000000,VALUE($C444),1000000000),IFERROR(IF(VALUE(MID($C444,2,20))&lt;100000000,VALUE(MID($C444,2,20)),1000000000),1000000000))+ROW()/100000,"")</f>
        <v/>
      </c>
    </row>
    <row r="445">
      <c r="G445" s="7" t="n"/>
      <c r="H445" s="7" t="n"/>
      <c r="N445" s="7">
        <f>IF($C445="","",M445*Y445/100)</f>
        <v/>
      </c>
      <c r="O445" s="11" t="n"/>
      <c r="T445" s="7" t="n"/>
      <c r="V445" s="7">
        <f>IF($C445="","",Y445*AA445/100)</f>
        <v/>
      </c>
      <c r="W445" s="7">
        <f>IF($C445="","",Y445-V445)</f>
        <v/>
      </c>
      <c r="X445" s="7">
        <f>IF($C445="","",W445-N445)</f>
        <v/>
      </c>
      <c r="Y445" s="7" t="n"/>
      <c r="AA445">
        <f>IF($C445="","",IF($AD445=1,Settings!$C$6,Settings!$C$7)*100)</f>
        <v/>
      </c>
      <c r="AB445">
        <f>IF($C445="","",IF(COUNTIF($C$2:$C445,$C445)=1,1,0))</f>
        <v/>
      </c>
      <c r="AC445">
        <f>IF($AB445=1,SUMPRODUCT(--($AE$2:$AE$501&lt;$AE445))+1,"")</f>
        <v/>
      </c>
      <c r="AD445">
        <f>IF($C445="","",IF(OR($Z445=TRUE(),$Z445="TRUE"),0,1))</f>
        <v/>
      </c>
      <c r="AE445">
        <f>IF($AB445=1,IFERROR(IF(VALUE($C445)&lt;100000000,VALUE($C445),1000000000),IFERROR(IF(VALUE(MID($C445,2,20))&lt;100000000,VALUE(MID($C445,2,20)),1000000000),1000000000))+ROW()/100000,"")</f>
        <v/>
      </c>
    </row>
    <row r="446">
      <c r="G446" s="7" t="n"/>
      <c r="H446" s="7" t="n"/>
      <c r="N446" s="7">
        <f>IF($C446="","",M446*Y446/100)</f>
        <v/>
      </c>
      <c r="O446" s="11" t="n"/>
      <c r="T446" s="7" t="n"/>
      <c r="V446" s="7">
        <f>IF($C446="","",Y446*AA446/100)</f>
        <v/>
      </c>
      <c r="W446" s="7">
        <f>IF($C446="","",Y446-V446)</f>
        <v/>
      </c>
      <c r="X446" s="7">
        <f>IF($C446="","",W446-N446)</f>
        <v/>
      </c>
      <c r="Y446" s="7" t="n"/>
      <c r="AA446">
        <f>IF($C446="","",IF($AD446=1,Settings!$C$6,Settings!$C$7)*100)</f>
        <v/>
      </c>
      <c r="AB446">
        <f>IF($C446="","",IF(COUNTIF($C$2:$C446,$C446)=1,1,0))</f>
        <v/>
      </c>
      <c r="AC446">
        <f>IF($AB446=1,SUMPRODUCT(--($AE$2:$AE$501&lt;$AE446))+1,"")</f>
        <v/>
      </c>
      <c r="AD446">
        <f>IF($C446="","",IF(OR($Z446=TRUE(),$Z446="TRUE"),0,1))</f>
        <v/>
      </c>
      <c r="AE446">
        <f>IF($AB446=1,IFERROR(IF(VALUE($C446)&lt;100000000,VALUE($C446),1000000000),IFERROR(IF(VALUE(MID($C446,2,20))&lt;100000000,VALUE(MID($C446,2,20)),1000000000),1000000000))+ROW()/100000,"")</f>
        <v/>
      </c>
    </row>
    <row r="447">
      <c r="G447" s="7" t="n"/>
      <c r="H447" s="7" t="n"/>
      <c r="N447" s="7">
        <f>IF($C447="","",M447*Y447/100)</f>
        <v/>
      </c>
      <c r="O447" s="11" t="n"/>
      <c r="T447" s="7" t="n"/>
      <c r="V447" s="7">
        <f>IF($C447="","",Y447*AA447/100)</f>
        <v/>
      </c>
      <c r="W447" s="7">
        <f>IF($C447="","",Y447-V447)</f>
        <v/>
      </c>
      <c r="X447" s="7">
        <f>IF($C447="","",W447-N447)</f>
        <v/>
      </c>
      <c r="Y447" s="7" t="n"/>
      <c r="AA447">
        <f>IF($C447="","",IF($AD447=1,Settings!$C$6,Settings!$C$7)*100)</f>
        <v/>
      </c>
      <c r="AB447">
        <f>IF($C447="","",IF(COUNTIF($C$2:$C447,$C447)=1,1,0))</f>
        <v/>
      </c>
      <c r="AC447">
        <f>IF($AB447=1,SUMPRODUCT(--($AE$2:$AE$501&lt;$AE447))+1,"")</f>
        <v/>
      </c>
      <c r="AD447">
        <f>IF($C447="","",IF(OR($Z447=TRUE(),$Z447="TRUE"),0,1))</f>
        <v/>
      </c>
      <c r="AE447">
        <f>IF($AB447=1,IFERROR(IF(VALUE($C447)&lt;100000000,VALUE($C447),1000000000),IFERROR(IF(VALUE(MID($C447,2,20))&lt;100000000,VALUE(MID($C447,2,20)),1000000000),1000000000))+ROW()/100000,"")</f>
        <v/>
      </c>
    </row>
    <row r="448">
      <c r="G448" s="7" t="n"/>
      <c r="H448" s="7" t="n"/>
      <c r="N448" s="7">
        <f>IF($C448="","",M448*Y448/100)</f>
        <v/>
      </c>
      <c r="O448" s="11" t="n"/>
      <c r="T448" s="7" t="n"/>
      <c r="V448" s="7">
        <f>IF($C448="","",Y448*AA448/100)</f>
        <v/>
      </c>
      <c r="W448" s="7">
        <f>IF($C448="","",Y448-V448)</f>
        <v/>
      </c>
      <c r="X448" s="7">
        <f>IF($C448="","",W448-N448)</f>
        <v/>
      </c>
      <c r="Y448" s="7" t="n"/>
      <c r="AA448">
        <f>IF($C448="","",IF($AD448=1,Settings!$C$6,Settings!$C$7)*100)</f>
        <v/>
      </c>
      <c r="AB448">
        <f>IF($C448="","",IF(COUNTIF($C$2:$C448,$C448)=1,1,0))</f>
        <v/>
      </c>
      <c r="AC448">
        <f>IF($AB448=1,SUMPRODUCT(--($AE$2:$AE$501&lt;$AE448))+1,"")</f>
        <v/>
      </c>
      <c r="AD448">
        <f>IF($C448="","",IF(OR($Z448=TRUE(),$Z448="TRUE"),0,1))</f>
        <v/>
      </c>
      <c r="AE448">
        <f>IF($AB448=1,IFERROR(IF(VALUE($C448)&lt;100000000,VALUE($C448),1000000000),IFERROR(IF(VALUE(MID($C448,2,20))&lt;100000000,VALUE(MID($C448,2,20)),1000000000),1000000000))+ROW()/100000,"")</f>
        <v/>
      </c>
    </row>
    <row r="449">
      <c r="G449" s="7" t="n"/>
      <c r="H449" s="7" t="n"/>
      <c r="N449" s="7">
        <f>IF($C449="","",M449*Y449/100)</f>
        <v/>
      </c>
      <c r="O449" s="11" t="n"/>
      <c r="T449" s="7" t="n"/>
      <c r="V449" s="7">
        <f>IF($C449="","",Y449*AA449/100)</f>
        <v/>
      </c>
      <c r="W449" s="7">
        <f>IF($C449="","",Y449-V449)</f>
        <v/>
      </c>
      <c r="X449" s="7">
        <f>IF($C449="","",W449-N449)</f>
        <v/>
      </c>
      <c r="Y449" s="7" t="n"/>
      <c r="AA449">
        <f>IF($C449="","",IF($AD449=1,Settings!$C$6,Settings!$C$7)*100)</f>
        <v/>
      </c>
      <c r="AB449">
        <f>IF($C449="","",IF(COUNTIF($C$2:$C449,$C449)=1,1,0))</f>
        <v/>
      </c>
      <c r="AC449">
        <f>IF($AB449=1,SUMPRODUCT(--($AE$2:$AE$501&lt;$AE449))+1,"")</f>
        <v/>
      </c>
      <c r="AD449">
        <f>IF($C449="","",IF(OR($Z449=TRUE(),$Z449="TRUE"),0,1))</f>
        <v/>
      </c>
      <c r="AE449">
        <f>IF($AB449=1,IFERROR(IF(VALUE($C449)&lt;100000000,VALUE($C449),1000000000),IFERROR(IF(VALUE(MID($C449,2,20))&lt;100000000,VALUE(MID($C449,2,20)),1000000000),1000000000))+ROW()/100000,"")</f>
        <v/>
      </c>
    </row>
    <row r="450">
      <c r="G450" s="7" t="n"/>
      <c r="H450" s="7" t="n"/>
      <c r="N450" s="7">
        <f>IF($C450="","",M450*Y450/100)</f>
        <v/>
      </c>
      <c r="O450" s="11" t="n"/>
      <c r="T450" s="7" t="n"/>
      <c r="V450" s="7">
        <f>IF($C450="","",Y450*AA450/100)</f>
        <v/>
      </c>
      <c r="W450" s="7">
        <f>IF($C450="","",Y450-V450)</f>
        <v/>
      </c>
      <c r="X450" s="7">
        <f>IF($C450="","",W450-N450)</f>
        <v/>
      </c>
      <c r="Y450" s="7" t="n"/>
      <c r="AA450">
        <f>IF($C450="","",IF($AD450=1,Settings!$C$6,Settings!$C$7)*100)</f>
        <v/>
      </c>
      <c r="AB450">
        <f>IF($C450="","",IF(COUNTIF($C$2:$C450,$C450)=1,1,0))</f>
        <v/>
      </c>
      <c r="AC450">
        <f>IF($AB450=1,SUMPRODUCT(--($AE$2:$AE$501&lt;$AE450))+1,"")</f>
        <v/>
      </c>
      <c r="AD450">
        <f>IF($C450="","",IF(OR($Z450=TRUE(),$Z450="TRUE"),0,1))</f>
        <v/>
      </c>
      <c r="AE450">
        <f>IF($AB450=1,IFERROR(IF(VALUE($C450)&lt;100000000,VALUE($C450),1000000000),IFERROR(IF(VALUE(MID($C450,2,20))&lt;100000000,VALUE(MID($C450,2,20)),1000000000),1000000000))+ROW()/100000,"")</f>
        <v/>
      </c>
    </row>
    <row r="451">
      <c r="G451" s="7" t="n"/>
      <c r="H451" s="7" t="n"/>
      <c r="N451" s="7">
        <f>IF($C451="","",M451*Y451/100)</f>
        <v/>
      </c>
      <c r="O451" s="11" t="n"/>
      <c r="T451" s="7" t="n"/>
      <c r="V451" s="7">
        <f>IF($C451="","",Y451*AA451/100)</f>
        <v/>
      </c>
      <c r="W451" s="7">
        <f>IF($C451="","",Y451-V451)</f>
        <v/>
      </c>
      <c r="X451" s="7">
        <f>IF($C451="","",W451-N451)</f>
        <v/>
      </c>
      <c r="Y451" s="7" t="n"/>
      <c r="AA451">
        <f>IF($C451="","",IF($AD451=1,Settings!$C$6,Settings!$C$7)*100)</f>
        <v/>
      </c>
      <c r="AB451">
        <f>IF($C451="","",IF(COUNTIF($C$2:$C451,$C451)=1,1,0))</f>
        <v/>
      </c>
      <c r="AC451">
        <f>IF($AB451=1,SUMPRODUCT(--($AE$2:$AE$501&lt;$AE451))+1,"")</f>
        <v/>
      </c>
      <c r="AD451">
        <f>IF($C451="","",IF(OR($Z451=TRUE(),$Z451="TRUE"),0,1))</f>
        <v/>
      </c>
      <c r="AE451">
        <f>IF($AB451=1,IFERROR(IF(VALUE($C451)&lt;100000000,VALUE($C451),1000000000),IFERROR(IF(VALUE(MID($C451,2,20))&lt;100000000,VALUE(MID($C451,2,20)),1000000000),1000000000))+ROW()/100000,"")</f>
        <v/>
      </c>
    </row>
    <row r="452">
      <c r="G452" s="7" t="n"/>
      <c r="H452" s="7" t="n"/>
      <c r="N452" s="7">
        <f>IF($C452="","",M452*Y452/100)</f>
        <v/>
      </c>
      <c r="O452" s="11" t="n"/>
      <c r="T452" s="7" t="n"/>
      <c r="V452" s="7">
        <f>IF($C452="","",Y452*AA452/100)</f>
        <v/>
      </c>
      <c r="W452" s="7">
        <f>IF($C452="","",Y452-V452)</f>
        <v/>
      </c>
      <c r="X452" s="7">
        <f>IF($C452="","",W452-N452)</f>
        <v/>
      </c>
      <c r="Y452" s="7" t="n"/>
      <c r="AA452">
        <f>IF($C452="","",IF($AD452=1,Settings!$C$6,Settings!$C$7)*100)</f>
        <v/>
      </c>
      <c r="AB452">
        <f>IF($C452="","",IF(COUNTIF($C$2:$C452,$C452)=1,1,0))</f>
        <v/>
      </c>
      <c r="AC452">
        <f>IF($AB452=1,SUMPRODUCT(--($AE$2:$AE$501&lt;$AE452))+1,"")</f>
        <v/>
      </c>
      <c r="AD452">
        <f>IF($C452="","",IF(OR($Z452=TRUE(),$Z452="TRUE"),0,1))</f>
        <v/>
      </c>
      <c r="AE452">
        <f>IF($AB452=1,IFERROR(IF(VALUE($C452)&lt;100000000,VALUE($C452),1000000000),IFERROR(IF(VALUE(MID($C452,2,20))&lt;100000000,VALUE(MID($C452,2,20)),1000000000),1000000000))+ROW()/100000,"")</f>
        <v/>
      </c>
    </row>
    <row r="453">
      <c r="G453" s="7" t="n"/>
      <c r="H453" s="7" t="n"/>
      <c r="N453" s="7">
        <f>IF($C453="","",M453*Y453/100)</f>
        <v/>
      </c>
      <c r="O453" s="11" t="n"/>
      <c r="T453" s="7" t="n"/>
      <c r="V453" s="7">
        <f>IF($C453="","",Y453*AA453/100)</f>
        <v/>
      </c>
      <c r="W453" s="7">
        <f>IF($C453="","",Y453-V453)</f>
        <v/>
      </c>
      <c r="X453" s="7">
        <f>IF($C453="","",W453-N453)</f>
        <v/>
      </c>
      <c r="Y453" s="7" t="n"/>
      <c r="AA453">
        <f>IF($C453="","",IF($AD453=1,Settings!$C$6,Settings!$C$7)*100)</f>
        <v/>
      </c>
      <c r="AB453">
        <f>IF($C453="","",IF(COUNTIF($C$2:$C453,$C453)=1,1,0))</f>
        <v/>
      </c>
      <c r="AC453">
        <f>IF($AB453=1,SUMPRODUCT(--($AE$2:$AE$501&lt;$AE453))+1,"")</f>
        <v/>
      </c>
      <c r="AD453">
        <f>IF($C453="","",IF(OR($Z453=TRUE(),$Z453="TRUE"),0,1))</f>
        <v/>
      </c>
      <c r="AE453">
        <f>IF($AB453=1,IFERROR(IF(VALUE($C453)&lt;100000000,VALUE($C453),1000000000),IFERROR(IF(VALUE(MID($C453,2,20))&lt;100000000,VALUE(MID($C453,2,20)),1000000000),1000000000))+ROW()/100000,"")</f>
        <v/>
      </c>
    </row>
    <row r="454">
      <c r="G454" s="7" t="n"/>
      <c r="H454" s="7" t="n"/>
      <c r="N454" s="7">
        <f>IF($C454="","",M454*Y454/100)</f>
        <v/>
      </c>
      <c r="O454" s="11" t="n"/>
      <c r="T454" s="7" t="n"/>
      <c r="V454" s="7">
        <f>IF($C454="","",Y454*AA454/100)</f>
        <v/>
      </c>
      <c r="W454" s="7">
        <f>IF($C454="","",Y454-V454)</f>
        <v/>
      </c>
      <c r="X454" s="7">
        <f>IF($C454="","",W454-N454)</f>
        <v/>
      </c>
      <c r="Y454" s="7" t="n"/>
      <c r="AA454">
        <f>IF($C454="","",IF($AD454=1,Settings!$C$6,Settings!$C$7)*100)</f>
        <v/>
      </c>
      <c r="AB454">
        <f>IF($C454="","",IF(COUNTIF($C$2:$C454,$C454)=1,1,0))</f>
        <v/>
      </c>
      <c r="AC454">
        <f>IF($AB454=1,SUMPRODUCT(--($AE$2:$AE$501&lt;$AE454))+1,"")</f>
        <v/>
      </c>
      <c r="AD454">
        <f>IF($C454="","",IF(OR($Z454=TRUE(),$Z454="TRUE"),0,1))</f>
        <v/>
      </c>
      <c r="AE454">
        <f>IF($AB454=1,IFERROR(IF(VALUE($C454)&lt;100000000,VALUE($C454),1000000000),IFERROR(IF(VALUE(MID($C454,2,20))&lt;100000000,VALUE(MID($C454,2,20)),1000000000),1000000000))+ROW()/100000,"")</f>
        <v/>
      </c>
    </row>
    <row r="455">
      <c r="G455" s="7" t="n"/>
      <c r="H455" s="7" t="n"/>
      <c r="N455" s="7">
        <f>IF($C455="","",M455*Y455/100)</f>
        <v/>
      </c>
      <c r="O455" s="11" t="n"/>
      <c r="T455" s="7" t="n"/>
      <c r="V455" s="7">
        <f>IF($C455="","",Y455*AA455/100)</f>
        <v/>
      </c>
      <c r="W455" s="7">
        <f>IF($C455="","",Y455-V455)</f>
        <v/>
      </c>
      <c r="X455" s="7">
        <f>IF($C455="","",W455-N455)</f>
        <v/>
      </c>
      <c r="Y455" s="7" t="n"/>
      <c r="AA455">
        <f>IF($C455="","",IF($AD455=1,Settings!$C$6,Settings!$C$7)*100)</f>
        <v/>
      </c>
      <c r="AB455">
        <f>IF($C455="","",IF(COUNTIF($C$2:$C455,$C455)=1,1,0))</f>
        <v/>
      </c>
      <c r="AC455">
        <f>IF($AB455=1,SUMPRODUCT(--($AE$2:$AE$501&lt;$AE455))+1,"")</f>
        <v/>
      </c>
      <c r="AD455">
        <f>IF($C455="","",IF(OR($Z455=TRUE(),$Z455="TRUE"),0,1))</f>
        <v/>
      </c>
      <c r="AE455">
        <f>IF($AB455=1,IFERROR(IF(VALUE($C455)&lt;100000000,VALUE($C455),1000000000),IFERROR(IF(VALUE(MID($C455,2,20))&lt;100000000,VALUE(MID($C455,2,20)),1000000000),1000000000))+ROW()/100000,"")</f>
        <v/>
      </c>
    </row>
    <row r="456">
      <c r="G456" s="7" t="n"/>
      <c r="H456" s="7" t="n"/>
      <c r="N456" s="7">
        <f>IF($C456="","",M456*Y456/100)</f>
        <v/>
      </c>
      <c r="O456" s="11" t="n"/>
      <c r="T456" s="7" t="n"/>
      <c r="V456" s="7">
        <f>IF($C456="","",Y456*AA456/100)</f>
        <v/>
      </c>
      <c r="W456" s="7">
        <f>IF($C456="","",Y456-V456)</f>
        <v/>
      </c>
      <c r="X456" s="7">
        <f>IF($C456="","",W456-N456)</f>
        <v/>
      </c>
      <c r="Y456" s="7" t="n"/>
      <c r="AA456">
        <f>IF($C456="","",IF($AD456=1,Settings!$C$6,Settings!$C$7)*100)</f>
        <v/>
      </c>
      <c r="AB456">
        <f>IF($C456="","",IF(COUNTIF($C$2:$C456,$C456)=1,1,0))</f>
        <v/>
      </c>
      <c r="AC456">
        <f>IF($AB456=1,SUMPRODUCT(--($AE$2:$AE$501&lt;$AE456))+1,"")</f>
        <v/>
      </c>
      <c r="AD456">
        <f>IF($C456="","",IF(OR($Z456=TRUE(),$Z456="TRUE"),0,1))</f>
        <v/>
      </c>
      <c r="AE456">
        <f>IF($AB456=1,IFERROR(IF(VALUE($C456)&lt;100000000,VALUE($C456),1000000000),IFERROR(IF(VALUE(MID($C456,2,20))&lt;100000000,VALUE(MID($C456,2,20)),1000000000),1000000000))+ROW()/100000,"")</f>
        <v/>
      </c>
    </row>
    <row r="457">
      <c r="G457" s="7" t="n"/>
      <c r="H457" s="7" t="n"/>
      <c r="N457" s="7">
        <f>IF($C457="","",M457*Y457/100)</f>
        <v/>
      </c>
      <c r="O457" s="11" t="n"/>
      <c r="T457" s="7" t="n"/>
      <c r="V457" s="7">
        <f>IF($C457="","",Y457*AA457/100)</f>
        <v/>
      </c>
      <c r="W457" s="7">
        <f>IF($C457="","",Y457-V457)</f>
        <v/>
      </c>
      <c r="X457" s="7">
        <f>IF($C457="","",W457-N457)</f>
        <v/>
      </c>
      <c r="Y457" s="7" t="n"/>
      <c r="AA457">
        <f>IF($C457="","",IF($AD457=1,Settings!$C$6,Settings!$C$7)*100)</f>
        <v/>
      </c>
      <c r="AB457">
        <f>IF($C457="","",IF(COUNTIF($C$2:$C457,$C457)=1,1,0))</f>
        <v/>
      </c>
      <c r="AC457">
        <f>IF($AB457=1,SUMPRODUCT(--($AE$2:$AE$501&lt;$AE457))+1,"")</f>
        <v/>
      </c>
      <c r="AD457">
        <f>IF($C457="","",IF(OR($Z457=TRUE(),$Z457="TRUE"),0,1))</f>
        <v/>
      </c>
      <c r="AE457">
        <f>IF($AB457=1,IFERROR(IF(VALUE($C457)&lt;100000000,VALUE($C457),1000000000),IFERROR(IF(VALUE(MID($C457,2,20))&lt;100000000,VALUE(MID($C457,2,20)),1000000000),1000000000))+ROW()/100000,"")</f>
        <v/>
      </c>
    </row>
    <row r="458">
      <c r="G458" s="7" t="n"/>
      <c r="H458" s="7" t="n"/>
      <c r="N458" s="7">
        <f>IF($C458="","",M458*Y458/100)</f>
        <v/>
      </c>
      <c r="O458" s="11" t="n"/>
      <c r="T458" s="7" t="n"/>
      <c r="V458" s="7">
        <f>IF($C458="","",Y458*AA458/100)</f>
        <v/>
      </c>
      <c r="W458" s="7">
        <f>IF($C458="","",Y458-V458)</f>
        <v/>
      </c>
      <c r="X458" s="7">
        <f>IF($C458="","",W458-N458)</f>
        <v/>
      </c>
      <c r="Y458" s="7" t="n"/>
      <c r="AA458">
        <f>IF($C458="","",IF($AD458=1,Settings!$C$6,Settings!$C$7)*100)</f>
        <v/>
      </c>
      <c r="AB458">
        <f>IF($C458="","",IF(COUNTIF($C$2:$C458,$C458)=1,1,0))</f>
        <v/>
      </c>
      <c r="AC458">
        <f>IF($AB458=1,SUMPRODUCT(--($AE$2:$AE$501&lt;$AE458))+1,"")</f>
        <v/>
      </c>
      <c r="AD458">
        <f>IF($C458="","",IF(OR($Z458=TRUE(),$Z458="TRUE"),0,1))</f>
        <v/>
      </c>
      <c r="AE458">
        <f>IF($AB458=1,IFERROR(IF(VALUE($C458)&lt;100000000,VALUE($C458),1000000000),IFERROR(IF(VALUE(MID($C458,2,20))&lt;100000000,VALUE(MID($C458,2,20)),1000000000),1000000000))+ROW()/100000,"")</f>
        <v/>
      </c>
    </row>
    <row r="459">
      <c r="G459" s="7" t="n"/>
      <c r="H459" s="7" t="n"/>
      <c r="N459" s="7">
        <f>IF($C459="","",M459*Y459/100)</f>
        <v/>
      </c>
      <c r="O459" s="11" t="n"/>
      <c r="T459" s="7" t="n"/>
      <c r="V459" s="7">
        <f>IF($C459="","",Y459*AA459/100)</f>
        <v/>
      </c>
      <c r="W459" s="7">
        <f>IF($C459="","",Y459-V459)</f>
        <v/>
      </c>
      <c r="X459" s="7">
        <f>IF($C459="","",W459-N459)</f>
        <v/>
      </c>
      <c r="Y459" s="7" t="n"/>
      <c r="AA459">
        <f>IF($C459="","",IF($AD459=1,Settings!$C$6,Settings!$C$7)*100)</f>
        <v/>
      </c>
      <c r="AB459">
        <f>IF($C459="","",IF(COUNTIF($C$2:$C459,$C459)=1,1,0))</f>
        <v/>
      </c>
      <c r="AC459">
        <f>IF($AB459=1,SUMPRODUCT(--($AE$2:$AE$501&lt;$AE459))+1,"")</f>
        <v/>
      </c>
      <c r="AD459">
        <f>IF($C459="","",IF(OR($Z459=TRUE(),$Z459="TRUE"),0,1))</f>
        <v/>
      </c>
      <c r="AE459">
        <f>IF($AB459=1,IFERROR(IF(VALUE($C459)&lt;100000000,VALUE($C459),1000000000),IFERROR(IF(VALUE(MID($C459,2,20))&lt;100000000,VALUE(MID($C459,2,20)),1000000000),1000000000))+ROW()/100000,"")</f>
        <v/>
      </c>
    </row>
    <row r="460">
      <c r="G460" s="7" t="n"/>
      <c r="H460" s="7" t="n"/>
      <c r="N460" s="7">
        <f>IF($C460="","",M460*Y460/100)</f>
        <v/>
      </c>
      <c r="O460" s="11" t="n"/>
      <c r="T460" s="7" t="n"/>
      <c r="V460" s="7">
        <f>IF($C460="","",Y460*AA460/100)</f>
        <v/>
      </c>
      <c r="W460" s="7">
        <f>IF($C460="","",Y460-V460)</f>
        <v/>
      </c>
      <c r="X460" s="7">
        <f>IF($C460="","",W460-N460)</f>
        <v/>
      </c>
      <c r="Y460" s="7" t="n"/>
      <c r="AA460">
        <f>IF($C460="","",IF($AD460=1,Settings!$C$6,Settings!$C$7)*100)</f>
        <v/>
      </c>
      <c r="AB460">
        <f>IF($C460="","",IF(COUNTIF($C$2:$C460,$C460)=1,1,0))</f>
        <v/>
      </c>
      <c r="AC460">
        <f>IF($AB460=1,SUMPRODUCT(--($AE$2:$AE$501&lt;$AE460))+1,"")</f>
        <v/>
      </c>
      <c r="AD460">
        <f>IF($C460="","",IF(OR($Z460=TRUE(),$Z460="TRUE"),0,1))</f>
        <v/>
      </c>
      <c r="AE460">
        <f>IF($AB460=1,IFERROR(IF(VALUE($C460)&lt;100000000,VALUE($C460),1000000000),IFERROR(IF(VALUE(MID($C460,2,20))&lt;100000000,VALUE(MID($C460,2,20)),1000000000),1000000000))+ROW()/100000,"")</f>
        <v/>
      </c>
    </row>
    <row r="461">
      <c r="G461" s="7" t="n"/>
      <c r="H461" s="7" t="n"/>
      <c r="N461" s="7">
        <f>IF($C461="","",M461*Y461/100)</f>
        <v/>
      </c>
      <c r="O461" s="11" t="n"/>
      <c r="T461" s="7" t="n"/>
      <c r="V461" s="7">
        <f>IF($C461="","",Y461*AA461/100)</f>
        <v/>
      </c>
      <c r="W461" s="7">
        <f>IF($C461="","",Y461-V461)</f>
        <v/>
      </c>
      <c r="X461" s="7">
        <f>IF($C461="","",W461-N461)</f>
        <v/>
      </c>
      <c r="Y461" s="7" t="n"/>
      <c r="AA461">
        <f>IF($C461="","",IF($AD461=1,Settings!$C$6,Settings!$C$7)*100)</f>
        <v/>
      </c>
      <c r="AB461">
        <f>IF($C461="","",IF(COUNTIF($C$2:$C461,$C461)=1,1,0))</f>
        <v/>
      </c>
      <c r="AC461">
        <f>IF($AB461=1,SUMPRODUCT(--($AE$2:$AE$501&lt;$AE461))+1,"")</f>
        <v/>
      </c>
      <c r="AD461">
        <f>IF($C461="","",IF(OR($Z461=TRUE(),$Z461="TRUE"),0,1))</f>
        <v/>
      </c>
      <c r="AE461">
        <f>IF($AB461=1,IFERROR(IF(VALUE($C461)&lt;100000000,VALUE($C461),1000000000),IFERROR(IF(VALUE(MID($C461,2,20))&lt;100000000,VALUE(MID($C461,2,20)),1000000000),1000000000))+ROW()/100000,"")</f>
        <v/>
      </c>
    </row>
    <row r="462">
      <c r="G462" s="7" t="n"/>
      <c r="H462" s="7" t="n"/>
      <c r="N462" s="7">
        <f>IF($C462="","",M462*Y462/100)</f>
        <v/>
      </c>
      <c r="O462" s="11" t="n"/>
      <c r="T462" s="7" t="n"/>
      <c r="V462" s="7">
        <f>IF($C462="","",Y462*AA462/100)</f>
        <v/>
      </c>
      <c r="W462" s="7">
        <f>IF($C462="","",Y462-V462)</f>
        <v/>
      </c>
      <c r="X462" s="7">
        <f>IF($C462="","",W462-N462)</f>
        <v/>
      </c>
      <c r="Y462" s="7" t="n"/>
      <c r="AA462">
        <f>IF($C462="","",IF($AD462=1,Settings!$C$6,Settings!$C$7)*100)</f>
        <v/>
      </c>
      <c r="AB462">
        <f>IF($C462="","",IF(COUNTIF($C$2:$C462,$C462)=1,1,0))</f>
        <v/>
      </c>
      <c r="AC462">
        <f>IF($AB462=1,SUMPRODUCT(--($AE$2:$AE$501&lt;$AE462))+1,"")</f>
        <v/>
      </c>
      <c r="AD462">
        <f>IF($C462="","",IF(OR($Z462=TRUE(),$Z462="TRUE"),0,1))</f>
        <v/>
      </c>
      <c r="AE462">
        <f>IF($AB462=1,IFERROR(IF(VALUE($C462)&lt;100000000,VALUE($C462),1000000000),IFERROR(IF(VALUE(MID($C462,2,20))&lt;100000000,VALUE(MID($C462,2,20)),1000000000),1000000000))+ROW()/100000,"")</f>
        <v/>
      </c>
    </row>
    <row r="463">
      <c r="G463" s="7" t="n"/>
      <c r="H463" s="7" t="n"/>
      <c r="N463" s="7">
        <f>IF($C463="","",M463*Y463/100)</f>
        <v/>
      </c>
      <c r="O463" s="11" t="n"/>
      <c r="T463" s="7" t="n"/>
      <c r="V463" s="7">
        <f>IF($C463="","",Y463*AA463/100)</f>
        <v/>
      </c>
      <c r="W463" s="7">
        <f>IF($C463="","",Y463-V463)</f>
        <v/>
      </c>
      <c r="X463" s="7">
        <f>IF($C463="","",W463-N463)</f>
        <v/>
      </c>
      <c r="Y463" s="7" t="n"/>
      <c r="AA463">
        <f>IF($C463="","",IF($AD463=1,Settings!$C$6,Settings!$C$7)*100)</f>
        <v/>
      </c>
      <c r="AB463">
        <f>IF($C463="","",IF(COUNTIF($C$2:$C463,$C463)=1,1,0))</f>
        <v/>
      </c>
      <c r="AC463">
        <f>IF($AB463=1,SUMPRODUCT(--($AE$2:$AE$501&lt;$AE463))+1,"")</f>
        <v/>
      </c>
      <c r="AD463">
        <f>IF($C463="","",IF(OR($Z463=TRUE(),$Z463="TRUE"),0,1))</f>
        <v/>
      </c>
      <c r="AE463">
        <f>IF($AB463=1,IFERROR(IF(VALUE($C463)&lt;100000000,VALUE($C463),1000000000),IFERROR(IF(VALUE(MID($C463,2,20))&lt;100000000,VALUE(MID($C463,2,20)),1000000000),1000000000))+ROW()/100000,"")</f>
        <v/>
      </c>
    </row>
    <row r="464">
      <c r="G464" s="7" t="n"/>
      <c r="H464" s="7" t="n"/>
      <c r="N464" s="7">
        <f>IF($C464="","",M464*Y464/100)</f>
        <v/>
      </c>
      <c r="O464" s="11" t="n"/>
      <c r="T464" s="7" t="n"/>
      <c r="V464" s="7">
        <f>IF($C464="","",Y464*AA464/100)</f>
        <v/>
      </c>
      <c r="W464" s="7">
        <f>IF($C464="","",Y464-V464)</f>
        <v/>
      </c>
      <c r="X464" s="7">
        <f>IF($C464="","",W464-N464)</f>
        <v/>
      </c>
      <c r="Y464" s="7" t="n"/>
      <c r="AA464">
        <f>IF($C464="","",IF($AD464=1,Settings!$C$6,Settings!$C$7)*100)</f>
        <v/>
      </c>
      <c r="AB464">
        <f>IF($C464="","",IF(COUNTIF($C$2:$C464,$C464)=1,1,0))</f>
        <v/>
      </c>
      <c r="AC464">
        <f>IF($AB464=1,SUMPRODUCT(--($AE$2:$AE$501&lt;$AE464))+1,"")</f>
        <v/>
      </c>
      <c r="AD464">
        <f>IF($C464="","",IF(OR($Z464=TRUE(),$Z464="TRUE"),0,1))</f>
        <v/>
      </c>
      <c r="AE464">
        <f>IF($AB464=1,IFERROR(IF(VALUE($C464)&lt;100000000,VALUE($C464),1000000000),IFERROR(IF(VALUE(MID($C464,2,20))&lt;100000000,VALUE(MID($C464,2,20)),1000000000),1000000000))+ROW()/100000,"")</f>
        <v/>
      </c>
    </row>
    <row r="465">
      <c r="G465" s="7" t="n"/>
      <c r="H465" s="7" t="n"/>
      <c r="N465" s="7">
        <f>IF($C465="","",M465*Y465/100)</f>
        <v/>
      </c>
      <c r="O465" s="11" t="n"/>
      <c r="T465" s="7" t="n"/>
      <c r="V465" s="7">
        <f>IF($C465="","",Y465*AA465/100)</f>
        <v/>
      </c>
      <c r="W465" s="7">
        <f>IF($C465="","",Y465-V465)</f>
        <v/>
      </c>
      <c r="X465" s="7">
        <f>IF($C465="","",W465-N465)</f>
        <v/>
      </c>
      <c r="Y465" s="7" t="n"/>
      <c r="AA465">
        <f>IF($C465="","",IF($AD465=1,Settings!$C$6,Settings!$C$7)*100)</f>
        <v/>
      </c>
      <c r="AB465">
        <f>IF($C465="","",IF(COUNTIF($C$2:$C465,$C465)=1,1,0))</f>
        <v/>
      </c>
      <c r="AC465">
        <f>IF($AB465=1,SUMPRODUCT(--($AE$2:$AE$501&lt;$AE465))+1,"")</f>
        <v/>
      </c>
      <c r="AD465">
        <f>IF($C465="","",IF(OR($Z465=TRUE(),$Z465="TRUE"),0,1))</f>
        <v/>
      </c>
      <c r="AE465">
        <f>IF($AB465=1,IFERROR(IF(VALUE($C465)&lt;100000000,VALUE($C465),1000000000),IFERROR(IF(VALUE(MID($C465,2,20))&lt;100000000,VALUE(MID($C465,2,20)),1000000000),1000000000))+ROW()/100000,"")</f>
        <v/>
      </c>
    </row>
    <row r="466">
      <c r="G466" s="7" t="n"/>
      <c r="H466" s="7" t="n"/>
      <c r="N466" s="7">
        <f>IF($C466="","",M466*Y466/100)</f>
        <v/>
      </c>
      <c r="O466" s="11" t="n"/>
      <c r="T466" s="7" t="n"/>
      <c r="V466" s="7">
        <f>IF($C466="","",Y466*AA466/100)</f>
        <v/>
      </c>
      <c r="W466" s="7">
        <f>IF($C466="","",Y466-V466)</f>
        <v/>
      </c>
      <c r="X466" s="7">
        <f>IF($C466="","",W466-N466)</f>
        <v/>
      </c>
      <c r="Y466" s="7" t="n"/>
      <c r="AA466">
        <f>IF($C466="","",IF($AD466=1,Settings!$C$6,Settings!$C$7)*100)</f>
        <v/>
      </c>
      <c r="AB466">
        <f>IF($C466="","",IF(COUNTIF($C$2:$C466,$C466)=1,1,0))</f>
        <v/>
      </c>
      <c r="AC466">
        <f>IF($AB466=1,SUMPRODUCT(--($AE$2:$AE$501&lt;$AE466))+1,"")</f>
        <v/>
      </c>
      <c r="AD466">
        <f>IF($C466="","",IF(OR($Z466=TRUE(),$Z466="TRUE"),0,1))</f>
        <v/>
      </c>
      <c r="AE466">
        <f>IF($AB466=1,IFERROR(IF(VALUE($C466)&lt;100000000,VALUE($C466),1000000000),IFERROR(IF(VALUE(MID($C466,2,20))&lt;100000000,VALUE(MID($C466,2,20)),1000000000),1000000000))+ROW()/100000,"")</f>
        <v/>
      </c>
    </row>
    <row r="467">
      <c r="G467" s="7" t="n"/>
      <c r="H467" s="7" t="n"/>
      <c r="N467" s="7">
        <f>IF($C467="","",M467*Y467/100)</f>
        <v/>
      </c>
      <c r="O467" s="11" t="n"/>
      <c r="T467" s="7" t="n"/>
      <c r="V467" s="7">
        <f>IF($C467="","",Y467*AA467/100)</f>
        <v/>
      </c>
      <c r="W467" s="7">
        <f>IF($C467="","",Y467-V467)</f>
        <v/>
      </c>
      <c r="X467" s="7">
        <f>IF($C467="","",W467-N467)</f>
        <v/>
      </c>
      <c r="Y467" s="7" t="n"/>
      <c r="AA467">
        <f>IF($C467="","",IF($AD467=1,Settings!$C$6,Settings!$C$7)*100)</f>
        <v/>
      </c>
      <c r="AB467">
        <f>IF($C467="","",IF(COUNTIF($C$2:$C467,$C467)=1,1,0))</f>
        <v/>
      </c>
      <c r="AC467">
        <f>IF($AB467=1,SUMPRODUCT(--($AE$2:$AE$501&lt;$AE467))+1,"")</f>
        <v/>
      </c>
      <c r="AD467">
        <f>IF($C467="","",IF(OR($Z467=TRUE(),$Z467="TRUE"),0,1))</f>
        <v/>
      </c>
      <c r="AE467">
        <f>IF($AB467=1,IFERROR(IF(VALUE($C467)&lt;100000000,VALUE($C467),1000000000),IFERROR(IF(VALUE(MID($C467,2,20))&lt;100000000,VALUE(MID($C467,2,20)),1000000000),1000000000))+ROW()/100000,"")</f>
        <v/>
      </c>
    </row>
    <row r="468">
      <c r="G468" s="7" t="n"/>
      <c r="H468" s="7" t="n"/>
      <c r="N468" s="7">
        <f>IF($C468="","",M468*Y468/100)</f>
        <v/>
      </c>
      <c r="O468" s="11" t="n"/>
      <c r="T468" s="7" t="n"/>
      <c r="V468" s="7">
        <f>IF($C468="","",Y468*AA468/100)</f>
        <v/>
      </c>
      <c r="W468" s="7">
        <f>IF($C468="","",Y468-V468)</f>
        <v/>
      </c>
      <c r="X468" s="7">
        <f>IF($C468="","",W468-N468)</f>
        <v/>
      </c>
      <c r="Y468" s="7" t="n"/>
      <c r="AA468">
        <f>IF($C468="","",IF($AD468=1,Settings!$C$6,Settings!$C$7)*100)</f>
        <v/>
      </c>
      <c r="AB468">
        <f>IF($C468="","",IF(COUNTIF($C$2:$C468,$C468)=1,1,0))</f>
        <v/>
      </c>
      <c r="AC468">
        <f>IF($AB468=1,SUMPRODUCT(--($AE$2:$AE$501&lt;$AE468))+1,"")</f>
        <v/>
      </c>
      <c r="AD468">
        <f>IF($C468="","",IF(OR($Z468=TRUE(),$Z468="TRUE"),0,1))</f>
        <v/>
      </c>
      <c r="AE468">
        <f>IF($AB468=1,IFERROR(IF(VALUE($C468)&lt;100000000,VALUE($C468),1000000000),IFERROR(IF(VALUE(MID($C468,2,20))&lt;100000000,VALUE(MID($C468,2,20)),1000000000),1000000000))+ROW()/100000,"")</f>
        <v/>
      </c>
    </row>
    <row r="469">
      <c r="G469" s="7" t="n"/>
      <c r="H469" s="7" t="n"/>
      <c r="N469" s="7">
        <f>IF($C469="","",M469*Y469/100)</f>
        <v/>
      </c>
      <c r="O469" s="11" t="n"/>
      <c r="T469" s="7" t="n"/>
      <c r="V469" s="7">
        <f>IF($C469="","",Y469*AA469/100)</f>
        <v/>
      </c>
      <c r="W469" s="7">
        <f>IF($C469="","",Y469-V469)</f>
        <v/>
      </c>
      <c r="X469" s="7">
        <f>IF($C469="","",W469-N469)</f>
        <v/>
      </c>
      <c r="Y469" s="7" t="n"/>
      <c r="AA469">
        <f>IF($C469="","",IF($AD469=1,Settings!$C$6,Settings!$C$7)*100)</f>
        <v/>
      </c>
      <c r="AB469">
        <f>IF($C469="","",IF(COUNTIF($C$2:$C469,$C469)=1,1,0))</f>
        <v/>
      </c>
      <c r="AC469">
        <f>IF($AB469=1,SUMPRODUCT(--($AE$2:$AE$501&lt;$AE469))+1,"")</f>
        <v/>
      </c>
      <c r="AD469">
        <f>IF($C469="","",IF(OR($Z469=TRUE(),$Z469="TRUE"),0,1))</f>
        <v/>
      </c>
      <c r="AE469">
        <f>IF($AB469=1,IFERROR(IF(VALUE($C469)&lt;100000000,VALUE($C469),1000000000),IFERROR(IF(VALUE(MID($C469,2,20))&lt;100000000,VALUE(MID($C469,2,20)),1000000000),1000000000))+ROW()/100000,"")</f>
        <v/>
      </c>
    </row>
    <row r="470">
      <c r="G470" s="7" t="n"/>
      <c r="H470" s="7" t="n"/>
      <c r="N470" s="7">
        <f>IF($C470="","",M470*Y470/100)</f>
        <v/>
      </c>
      <c r="O470" s="11" t="n"/>
      <c r="T470" s="7" t="n"/>
      <c r="V470" s="7">
        <f>IF($C470="","",Y470*AA470/100)</f>
        <v/>
      </c>
      <c r="W470" s="7">
        <f>IF($C470="","",Y470-V470)</f>
        <v/>
      </c>
      <c r="X470" s="7">
        <f>IF($C470="","",W470-N470)</f>
        <v/>
      </c>
      <c r="Y470" s="7" t="n"/>
      <c r="AA470">
        <f>IF($C470="","",IF($AD470=1,Settings!$C$6,Settings!$C$7)*100)</f>
        <v/>
      </c>
      <c r="AB470">
        <f>IF($C470="","",IF(COUNTIF($C$2:$C470,$C470)=1,1,0))</f>
        <v/>
      </c>
      <c r="AC470">
        <f>IF($AB470=1,SUMPRODUCT(--($AE$2:$AE$501&lt;$AE470))+1,"")</f>
        <v/>
      </c>
      <c r="AD470">
        <f>IF($C470="","",IF(OR($Z470=TRUE(),$Z470="TRUE"),0,1))</f>
        <v/>
      </c>
      <c r="AE470">
        <f>IF($AB470=1,IFERROR(IF(VALUE($C470)&lt;100000000,VALUE($C470),1000000000),IFERROR(IF(VALUE(MID($C470,2,20))&lt;100000000,VALUE(MID($C470,2,20)),1000000000),1000000000))+ROW()/100000,"")</f>
        <v/>
      </c>
    </row>
    <row r="471">
      <c r="G471" s="7" t="n"/>
      <c r="H471" s="7" t="n"/>
      <c r="N471" s="7">
        <f>IF($C471="","",M471*Y471/100)</f>
        <v/>
      </c>
      <c r="O471" s="11" t="n"/>
      <c r="T471" s="7" t="n"/>
      <c r="V471" s="7">
        <f>IF($C471="","",Y471*AA471/100)</f>
        <v/>
      </c>
      <c r="W471" s="7">
        <f>IF($C471="","",Y471-V471)</f>
        <v/>
      </c>
      <c r="X471" s="7">
        <f>IF($C471="","",W471-N471)</f>
        <v/>
      </c>
      <c r="Y471" s="7" t="n"/>
      <c r="AA471">
        <f>IF($C471="","",IF($AD471=1,Settings!$C$6,Settings!$C$7)*100)</f>
        <v/>
      </c>
      <c r="AB471">
        <f>IF($C471="","",IF(COUNTIF($C$2:$C471,$C471)=1,1,0))</f>
        <v/>
      </c>
      <c r="AC471">
        <f>IF($AB471=1,SUMPRODUCT(--($AE$2:$AE$501&lt;$AE471))+1,"")</f>
        <v/>
      </c>
      <c r="AD471">
        <f>IF($C471="","",IF(OR($Z471=TRUE(),$Z471="TRUE"),0,1))</f>
        <v/>
      </c>
      <c r="AE471">
        <f>IF($AB471=1,IFERROR(IF(VALUE($C471)&lt;100000000,VALUE($C471),1000000000),IFERROR(IF(VALUE(MID($C471,2,20))&lt;100000000,VALUE(MID($C471,2,20)),1000000000),1000000000))+ROW()/100000,"")</f>
        <v/>
      </c>
    </row>
    <row r="472">
      <c r="G472" s="7" t="n"/>
      <c r="H472" s="7" t="n"/>
      <c r="N472" s="7">
        <f>IF($C472="","",M472*Y472/100)</f>
        <v/>
      </c>
      <c r="O472" s="11" t="n"/>
      <c r="T472" s="7" t="n"/>
      <c r="V472" s="7">
        <f>IF($C472="","",Y472*AA472/100)</f>
        <v/>
      </c>
      <c r="W472" s="7">
        <f>IF($C472="","",Y472-V472)</f>
        <v/>
      </c>
      <c r="X472" s="7">
        <f>IF($C472="","",W472-N472)</f>
        <v/>
      </c>
      <c r="Y472" s="7" t="n"/>
      <c r="AA472">
        <f>IF($C472="","",IF($AD472=1,Settings!$C$6,Settings!$C$7)*100)</f>
        <v/>
      </c>
      <c r="AB472">
        <f>IF($C472="","",IF(COUNTIF($C$2:$C472,$C472)=1,1,0))</f>
        <v/>
      </c>
      <c r="AC472">
        <f>IF($AB472=1,SUMPRODUCT(--($AE$2:$AE$501&lt;$AE472))+1,"")</f>
        <v/>
      </c>
      <c r="AD472">
        <f>IF($C472="","",IF(OR($Z472=TRUE(),$Z472="TRUE"),0,1))</f>
        <v/>
      </c>
      <c r="AE472">
        <f>IF($AB472=1,IFERROR(IF(VALUE($C472)&lt;100000000,VALUE($C472),1000000000),IFERROR(IF(VALUE(MID($C472,2,20))&lt;100000000,VALUE(MID($C472,2,20)),1000000000),1000000000))+ROW()/100000,"")</f>
        <v/>
      </c>
    </row>
    <row r="473">
      <c r="G473" s="7" t="n"/>
      <c r="H473" s="7" t="n"/>
      <c r="N473" s="7">
        <f>IF($C473="","",M473*Y473/100)</f>
        <v/>
      </c>
      <c r="O473" s="11" t="n"/>
      <c r="T473" s="7" t="n"/>
      <c r="V473" s="7">
        <f>IF($C473="","",Y473*AA473/100)</f>
        <v/>
      </c>
      <c r="W473" s="7">
        <f>IF($C473="","",Y473-V473)</f>
        <v/>
      </c>
      <c r="X473" s="7">
        <f>IF($C473="","",W473-N473)</f>
        <v/>
      </c>
      <c r="Y473" s="7" t="n"/>
      <c r="AA473">
        <f>IF($C473="","",IF($AD473=1,Settings!$C$6,Settings!$C$7)*100)</f>
        <v/>
      </c>
      <c r="AB473">
        <f>IF($C473="","",IF(COUNTIF($C$2:$C473,$C473)=1,1,0))</f>
        <v/>
      </c>
      <c r="AC473">
        <f>IF($AB473=1,SUMPRODUCT(--($AE$2:$AE$501&lt;$AE473))+1,"")</f>
        <v/>
      </c>
      <c r="AD473">
        <f>IF($C473="","",IF(OR($Z473=TRUE(),$Z473="TRUE"),0,1))</f>
        <v/>
      </c>
      <c r="AE473">
        <f>IF($AB473=1,IFERROR(IF(VALUE($C473)&lt;100000000,VALUE($C473),1000000000),IFERROR(IF(VALUE(MID($C473,2,20))&lt;100000000,VALUE(MID($C473,2,20)),1000000000),1000000000))+ROW()/100000,"")</f>
        <v/>
      </c>
    </row>
    <row r="474">
      <c r="G474" s="7" t="n"/>
      <c r="H474" s="7" t="n"/>
      <c r="N474" s="7">
        <f>IF($C474="","",M474*Y474/100)</f>
        <v/>
      </c>
      <c r="O474" s="11" t="n"/>
      <c r="T474" s="7" t="n"/>
      <c r="V474" s="7">
        <f>IF($C474="","",Y474*AA474/100)</f>
        <v/>
      </c>
      <c r="W474" s="7">
        <f>IF($C474="","",Y474-V474)</f>
        <v/>
      </c>
      <c r="X474" s="7">
        <f>IF($C474="","",W474-N474)</f>
        <v/>
      </c>
      <c r="Y474" s="7" t="n"/>
      <c r="AA474">
        <f>IF($C474="","",IF($AD474=1,Settings!$C$6,Settings!$C$7)*100)</f>
        <v/>
      </c>
      <c r="AB474">
        <f>IF($C474="","",IF(COUNTIF($C$2:$C474,$C474)=1,1,0))</f>
        <v/>
      </c>
      <c r="AC474">
        <f>IF($AB474=1,SUMPRODUCT(--($AE$2:$AE$501&lt;$AE474))+1,"")</f>
        <v/>
      </c>
      <c r="AD474">
        <f>IF($C474="","",IF(OR($Z474=TRUE(),$Z474="TRUE"),0,1))</f>
        <v/>
      </c>
      <c r="AE474">
        <f>IF($AB474=1,IFERROR(IF(VALUE($C474)&lt;100000000,VALUE($C474),1000000000),IFERROR(IF(VALUE(MID($C474,2,20))&lt;100000000,VALUE(MID($C474,2,20)),1000000000),1000000000))+ROW()/100000,"")</f>
        <v/>
      </c>
    </row>
    <row r="475">
      <c r="G475" s="7" t="n"/>
      <c r="H475" s="7" t="n"/>
      <c r="N475" s="7">
        <f>IF($C475="","",M475*Y475/100)</f>
        <v/>
      </c>
      <c r="O475" s="11" t="n"/>
      <c r="T475" s="7" t="n"/>
      <c r="V475" s="7">
        <f>IF($C475="","",Y475*AA475/100)</f>
        <v/>
      </c>
      <c r="W475" s="7">
        <f>IF($C475="","",Y475-V475)</f>
        <v/>
      </c>
      <c r="X475" s="7">
        <f>IF($C475="","",W475-N475)</f>
        <v/>
      </c>
      <c r="Y475" s="7" t="n"/>
      <c r="AA475">
        <f>IF($C475="","",IF($AD475=1,Settings!$C$6,Settings!$C$7)*100)</f>
        <v/>
      </c>
      <c r="AB475">
        <f>IF($C475="","",IF(COUNTIF($C$2:$C475,$C475)=1,1,0))</f>
        <v/>
      </c>
      <c r="AC475">
        <f>IF($AB475=1,SUMPRODUCT(--($AE$2:$AE$501&lt;$AE475))+1,"")</f>
        <v/>
      </c>
      <c r="AD475">
        <f>IF($C475="","",IF(OR($Z475=TRUE(),$Z475="TRUE"),0,1))</f>
        <v/>
      </c>
      <c r="AE475">
        <f>IF($AB475=1,IFERROR(IF(VALUE($C475)&lt;100000000,VALUE($C475),1000000000),IFERROR(IF(VALUE(MID($C475,2,20))&lt;100000000,VALUE(MID($C475,2,20)),1000000000),1000000000))+ROW()/100000,"")</f>
        <v/>
      </c>
    </row>
    <row r="476">
      <c r="G476" s="7" t="n"/>
      <c r="H476" s="7" t="n"/>
      <c r="N476" s="7">
        <f>IF($C476="","",M476*Y476/100)</f>
        <v/>
      </c>
      <c r="O476" s="11" t="n"/>
      <c r="T476" s="7" t="n"/>
      <c r="V476" s="7">
        <f>IF($C476="","",Y476*AA476/100)</f>
        <v/>
      </c>
      <c r="W476" s="7">
        <f>IF($C476="","",Y476-V476)</f>
        <v/>
      </c>
      <c r="X476" s="7">
        <f>IF($C476="","",W476-N476)</f>
        <v/>
      </c>
      <c r="Y476" s="7" t="n"/>
      <c r="AA476">
        <f>IF($C476="","",IF($AD476=1,Settings!$C$6,Settings!$C$7)*100)</f>
        <v/>
      </c>
      <c r="AB476">
        <f>IF($C476="","",IF(COUNTIF($C$2:$C476,$C476)=1,1,0))</f>
        <v/>
      </c>
      <c r="AC476">
        <f>IF($AB476=1,SUMPRODUCT(--($AE$2:$AE$501&lt;$AE476))+1,"")</f>
        <v/>
      </c>
      <c r="AD476">
        <f>IF($C476="","",IF(OR($Z476=TRUE(),$Z476="TRUE"),0,1))</f>
        <v/>
      </c>
      <c r="AE476">
        <f>IF($AB476=1,IFERROR(IF(VALUE($C476)&lt;100000000,VALUE($C476),1000000000),IFERROR(IF(VALUE(MID($C476,2,20))&lt;100000000,VALUE(MID($C476,2,20)),1000000000),1000000000))+ROW()/100000,"")</f>
        <v/>
      </c>
    </row>
    <row r="477">
      <c r="G477" s="7" t="n"/>
      <c r="H477" s="7" t="n"/>
      <c r="N477" s="7">
        <f>IF($C477="","",M477*Y477/100)</f>
        <v/>
      </c>
      <c r="O477" s="11" t="n"/>
      <c r="T477" s="7" t="n"/>
      <c r="V477" s="7">
        <f>IF($C477="","",Y477*AA477/100)</f>
        <v/>
      </c>
      <c r="W477" s="7">
        <f>IF($C477="","",Y477-V477)</f>
        <v/>
      </c>
      <c r="X477" s="7">
        <f>IF($C477="","",W477-N477)</f>
        <v/>
      </c>
      <c r="Y477" s="7" t="n"/>
      <c r="AA477">
        <f>IF($C477="","",IF($AD477=1,Settings!$C$6,Settings!$C$7)*100)</f>
        <v/>
      </c>
      <c r="AB477">
        <f>IF($C477="","",IF(COUNTIF($C$2:$C477,$C477)=1,1,0))</f>
        <v/>
      </c>
      <c r="AC477">
        <f>IF($AB477=1,SUMPRODUCT(--($AE$2:$AE$501&lt;$AE477))+1,"")</f>
        <v/>
      </c>
      <c r="AD477">
        <f>IF($C477="","",IF(OR($Z477=TRUE(),$Z477="TRUE"),0,1))</f>
        <v/>
      </c>
      <c r="AE477">
        <f>IF($AB477=1,IFERROR(IF(VALUE($C477)&lt;100000000,VALUE($C477),1000000000),IFERROR(IF(VALUE(MID($C477,2,20))&lt;100000000,VALUE(MID($C477,2,20)),1000000000),1000000000))+ROW()/100000,"")</f>
        <v/>
      </c>
    </row>
    <row r="478">
      <c r="G478" s="7" t="n"/>
      <c r="H478" s="7" t="n"/>
      <c r="N478" s="7">
        <f>IF($C478="","",M478*Y478/100)</f>
        <v/>
      </c>
      <c r="O478" s="11" t="n"/>
      <c r="T478" s="7" t="n"/>
      <c r="V478" s="7">
        <f>IF($C478="","",Y478*AA478/100)</f>
        <v/>
      </c>
      <c r="W478" s="7">
        <f>IF($C478="","",Y478-V478)</f>
        <v/>
      </c>
      <c r="X478" s="7">
        <f>IF($C478="","",W478-N478)</f>
        <v/>
      </c>
      <c r="Y478" s="7" t="n"/>
      <c r="AA478">
        <f>IF($C478="","",IF($AD478=1,Settings!$C$6,Settings!$C$7)*100)</f>
        <v/>
      </c>
      <c r="AB478">
        <f>IF($C478="","",IF(COUNTIF($C$2:$C478,$C478)=1,1,0))</f>
        <v/>
      </c>
      <c r="AC478">
        <f>IF($AB478=1,SUMPRODUCT(--($AE$2:$AE$501&lt;$AE478))+1,"")</f>
        <v/>
      </c>
      <c r="AD478">
        <f>IF($C478="","",IF(OR($Z478=TRUE(),$Z478="TRUE"),0,1))</f>
        <v/>
      </c>
      <c r="AE478">
        <f>IF($AB478=1,IFERROR(IF(VALUE($C478)&lt;100000000,VALUE($C478),1000000000),IFERROR(IF(VALUE(MID($C478,2,20))&lt;100000000,VALUE(MID($C478,2,20)),1000000000),1000000000))+ROW()/100000,"")</f>
        <v/>
      </c>
    </row>
    <row r="479">
      <c r="G479" s="7" t="n"/>
      <c r="H479" s="7" t="n"/>
      <c r="N479" s="7">
        <f>IF($C479="","",M479*Y479/100)</f>
        <v/>
      </c>
      <c r="O479" s="11" t="n"/>
      <c r="T479" s="7" t="n"/>
      <c r="V479" s="7">
        <f>IF($C479="","",Y479*AA479/100)</f>
        <v/>
      </c>
      <c r="W479" s="7">
        <f>IF($C479="","",Y479-V479)</f>
        <v/>
      </c>
      <c r="X479" s="7">
        <f>IF($C479="","",W479-N479)</f>
        <v/>
      </c>
      <c r="Y479" s="7" t="n"/>
      <c r="AA479">
        <f>IF($C479="","",IF($AD479=1,Settings!$C$6,Settings!$C$7)*100)</f>
        <v/>
      </c>
      <c r="AB479">
        <f>IF($C479="","",IF(COUNTIF($C$2:$C479,$C479)=1,1,0))</f>
        <v/>
      </c>
      <c r="AC479">
        <f>IF($AB479=1,SUMPRODUCT(--($AE$2:$AE$501&lt;$AE479))+1,"")</f>
        <v/>
      </c>
      <c r="AD479">
        <f>IF($C479="","",IF(OR($Z479=TRUE(),$Z479="TRUE"),0,1))</f>
        <v/>
      </c>
      <c r="AE479">
        <f>IF($AB479=1,IFERROR(IF(VALUE($C479)&lt;100000000,VALUE($C479),1000000000),IFERROR(IF(VALUE(MID($C479,2,20))&lt;100000000,VALUE(MID($C479,2,20)),1000000000),1000000000))+ROW()/100000,"")</f>
        <v/>
      </c>
    </row>
    <row r="480">
      <c r="G480" s="7" t="n"/>
      <c r="H480" s="7" t="n"/>
      <c r="N480" s="7">
        <f>IF($C480="","",M480*Y480/100)</f>
        <v/>
      </c>
      <c r="O480" s="11" t="n"/>
      <c r="T480" s="7" t="n"/>
      <c r="V480" s="7">
        <f>IF($C480="","",Y480*AA480/100)</f>
        <v/>
      </c>
      <c r="W480" s="7">
        <f>IF($C480="","",Y480-V480)</f>
        <v/>
      </c>
      <c r="X480" s="7">
        <f>IF($C480="","",W480-N480)</f>
        <v/>
      </c>
      <c r="Y480" s="7" t="n"/>
      <c r="AA480">
        <f>IF($C480="","",IF($AD480=1,Settings!$C$6,Settings!$C$7)*100)</f>
        <v/>
      </c>
      <c r="AB480">
        <f>IF($C480="","",IF(COUNTIF($C$2:$C480,$C480)=1,1,0))</f>
        <v/>
      </c>
      <c r="AC480">
        <f>IF($AB480=1,SUMPRODUCT(--($AE$2:$AE$501&lt;$AE480))+1,"")</f>
        <v/>
      </c>
      <c r="AD480">
        <f>IF($C480="","",IF(OR($Z480=TRUE(),$Z480="TRUE"),0,1))</f>
        <v/>
      </c>
      <c r="AE480">
        <f>IF($AB480=1,IFERROR(IF(VALUE($C480)&lt;100000000,VALUE($C480),1000000000),IFERROR(IF(VALUE(MID($C480,2,20))&lt;100000000,VALUE(MID($C480,2,20)),1000000000),1000000000))+ROW()/100000,"")</f>
        <v/>
      </c>
    </row>
    <row r="481">
      <c r="G481" s="7" t="n"/>
      <c r="H481" s="7" t="n"/>
      <c r="N481" s="7">
        <f>IF($C481="","",M481*Y481/100)</f>
        <v/>
      </c>
      <c r="O481" s="11" t="n"/>
      <c r="T481" s="7" t="n"/>
      <c r="V481" s="7">
        <f>IF($C481="","",Y481*AA481/100)</f>
        <v/>
      </c>
      <c r="W481" s="7">
        <f>IF($C481="","",Y481-V481)</f>
        <v/>
      </c>
      <c r="X481" s="7">
        <f>IF($C481="","",W481-N481)</f>
        <v/>
      </c>
      <c r="Y481" s="7" t="n"/>
      <c r="AA481">
        <f>IF($C481="","",IF($AD481=1,Settings!$C$6,Settings!$C$7)*100)</f>
        <v/>
      </c>
      <c r="AB481">
        <f>IF($C481="","",IF(COUNTIF($C$2:$C481,$C481)=1,1,0))</f>
        <v/>
      </c>
      <c r="AC481">
        <f>IF($AB481=1,SUMPRODUCT(--($AE$2:$AE$501&lt;$AE481))+1,"")</f>
        <v/>
      </c>
      <c r="AD481">
        <f>IF($C481="","",IF(OR($Z481=TRUE(),$Z481="TRUE"),0,1))</f>
        <v/>
      </c>
      <c r="AE481">
        <f>IF($AB481=1,IFERROR(IF(VALUE($C481)&lt;100000000,VALUE($C481),1000000000),IFERROR(IF(VALUE(MID($C481,2,20))&lt;100000000,VALUE(MID($C481,2,20)),1000000000),1000000000))+ROW()/100000,"")</f>
        <v/>
      </c>
    </row>
    <row r="482">
      <c r="G482" s="7" t="n"/>
      <c r="H482" s="7" t="n"/>
      <c r="N482" s="7">
        <f>IF($C482="","",M482*Y482/100)</f>
        <v/>
      </c>
      <c r="O482" s="11" t="n"/>
      <c r="T482" s="7" t="n"/>
      <c r="V482" s="7">
        <f>IF($C482="","",Y482*AA482/100)</f>
        <v/>
      </c>
      <c r="W482" s="7">
        <f>IF($C482="","",Y482-V482)</f>
        <v/>
      </c>
      <c r="X482" s="7">
        <f>IF($C482="","",W482-N482)</f>
        <v/>
      </c>
      <c r="Y482" s="7" t="n"/>
      <c r="AA482">
        <f>IF($C482="","",IF($AD482=1,Settings!$C$6,Settings!$C$7)*100)</f>
        <v/>
      </c>
      <c r="AB482">
        <f>IF($C482="","",IF(COUNTIF($C$2:$C482,$C482)=1,1,0))</f>
        <v/>
      </c>
      <c r="AC482">
        <f>IF($AB482=1,SUMPRODUCT(--($AE$2:$AE$501&lt;$AE482))+1,"")</f>
        <v/>
      </c>
      <c r="AD482">
        <f>IF($C482="","",IF(OR($Z482=TRUE(),$Z482="TRUE"),0,1))</f>
        <v/>
      </c>
      <c r="AE482">
        <f>IF($AB482=1,IFERROR(IF(VALUE($C482)&lt;100000000,VALUE($C482),1000000000),IFERROR(IF(VALUE(MID($C482,2,20))&lt;100000000,VALUE(MID($C482,2,20)),1000000000),1000000000))+ROW()/100000,"")</f>
        <v/>
      </c>
    </row>
    <row r="483">
      <c r="G483" s="7" t="n"/>
      <c r="H483" s="7" t="n"/>
      <c r="N483" s="7">
        <f>IF($C483="","",M483*Y483/100)</f>
        <v/>
      </c>
      <c r="O483" s="11" t="n"/>
      <c r="T483" s="7" t="n"/>
      <c r="V483" s="7">
        <f>IF($C483="","",Y483*AA483/100)</f>
        <v/>
      </c>
      <c r="W483" s="7">
        <f>IF($C483="","",Y483-V483)</f>
        <v/>
      </c>
      <c r="X483" s="7">
        <f>IF($C483="","",W483-N483)</f>
        <v/>
      </c>
      <c r="Y483" s="7" t="n"/>
      <c r="AA483">
        <f>IF($C483="","",IF($AD483=1,Settings!$C$6,Settings!$C$7)*100)</f>
        <v/>
      </c>
      <c r="AB483">
        <f>IF($C483="","",IF(COUNTIF($C$2:$C483,$C483)=1,1,0))</f>
        <v/>
      </c>
      <c r="AC483">
        <f>IF($AB483=1,SUMPRODUCT(--($AE$2:$AE$501&lt;$AE483))+1,"")</f>
        <v/>
      </c>
      <c r="AD483">
        <f>IF($C483="","",IF(OR($Z483=TRUE(),$Z483="TRUE"),0,1))</f>
        <v/>
      </c>
      <c r="AE483">
        <f>IF($AB483=1,IFERROR(IF(VALUE($C483)&lt;100000000,VALUE($C483),1000000000),IFERROR(IF(VALUE(MID($C483,2,20))&lt;100000000,VALUE(MID($C483,2,20)),1000000000),1000000000))+ROW()/100000,"")</f>
        <v/>
      </c>
    </row>
    <row r="484">
      <c r="G484" s="7" t="n"/>
      <c r="H484" s="7" t="n"/>
      <c r="N484" s="7">
        <f>IF($C484="","",M484*Y484/100)</f>
        <v/>
      </c>
      <c r="O484" s="11" t="n"/>
      <c r="T484" s="7" t="n"/>
      <c r="V484" s="7">
        <f>IF($C484="","",Y484*AA484/100)</f>
        <v/>
      </c>
      <c r="W484" s="7">
        <f>IF($C484="","",Y484-V484)</f>
        <v/>
      </c>
      <c r="X484" s="7">
        <f>IF($C484="","",W484-N484)</f>
        <v/>
      </c>
      <c r="Y484" s="7" t="n"/>
      <c r="AA484">
        <f>IF($C484="","",IF($AD484=1,Settings!$C$6,Settings!$C$7)*100)</f>
        <v/>
      </c>
      <c r="AB484">
        <f>IF($C484="","",IF(COUNTIF($C$2:$C484,$C484)=1,1,0))</f>
        <v/>
      </c>
      <c r="AC484">
        <f>IF($AB484=1,SUMPRODUCT(--($AE$2:$AE$501&lt;$AE484))+1,"")</f>
        <v/>
      </c>
      <c r="AD484">
        <f>IF($C484="","",IF(OR($Z484=TRUE(),$Z484="TRUE"),0,1))</f>
        <v/>
      </c>
      <c r="AE484">
        <f>IF($AB484=1,IFERROR(IF(VALUE($C484)&lt;100000000,VALUE($C484),1000000000),IFERROR(IF(VALUE(MID($C484,2,20))&lt;100000000,VALUE(MID($C484,2,20)),1000000000),1000000000))+ROW()/100000,"")</f>
        <v/>
      </c>
    </row>
    <row r="485">
      <c r="G485" s="7" t="n"/>
      <c r="H485" s="7" t="n"/>
      <c r="N485" s="7">
        <f>IF($C485="","",M485*Y485/100)</f>
        <v/>
      </c>
      <c r="O485" s="11" t="n"/>
      <c r="T485" s="7" t="n"/>
      <c r="V485" s="7">
        <f>IF($C485="","",Y485*AA485/100)</f>
        <v/>
      </c>
      <c r="W485" s="7">
        <f>IF($C485="","",Y485-V485)</f>
        <v/>
      </c>
      <c r="X485" s="7">
        <f>IF($C485="","",W485-N485)</f>
        <v/>
      </c>
      <c r="Y485" s="7" t="n"/>
      <c r="AA485">
        <f>IF($C485="","",IF($AD485=1,Settings!$C$6,Settings!$C$7)*100)</f>
        <v/>
      </c>
      <c r="AB485">
        <f>IF($C485="","",IF(COUNTIF($C$2:$C485,$C485)=1,1,0))</f>
        <v/>
      </c>
      <c r="AC485">
        <f>IF($AB485=1,SUMPRODUCT(--($AE$2:$AE$501&lt;$AE485))+1,"")</f>
        <v/>
      </c>
      <c r="AD485">
        <f>IF($C485="","",IF(OR($Z485=TRUE(),$Z485="TRUE"),0,1))</f>
        <v/>
      </c>
      <c r="AE485">
        <f>IF($AB485=1,IFERROR(IF(VALUE($C485)&lt;100000000,VALUE($C485),1000000000),IFERROR(IF(VALUE(MID($C485,2,20))&lt;100000000,VALUE(MID($C485,2,20)),1000000000),1000000000))+ROW()/100000,"")</f>
        <v/>
      </c>
    </row>
    <row r="486">
      <c r="G486" s="7" t="n"/>
      <c r="H486" s="7" t="n"/>
      <c r="N486" s="7">
        <f>IF($C486="","",M486*Y486/100)</f>
        <v/>
      </c>
      <c r="O486" s="11" t="n"/>
      <c r="T486" s="7" t="n"/>
      <c r="V486" s="7">
        <f>IF($C486="","",Y486*AA486/100)</f>
        <v/>
      </c>
      <c r="W486" s="7">
        <f>IF($C486="","",Y486-V486)</f>
        <v/>
      </c>
      <c r="X486" s="7">
        <f>IF($C486="","",W486-N486)</f>
        <v/>
      </c>
      <c r="Y486" s="7" t="n"/>
      <c r="AA486">
        <f>IF($C486="","",IF($AD486=1,Settings!$C$6,Settings!$C$7)*100)</f>
        <v/>
      </c>
      <c r="AB486">
        <f>IF($C486="","",IF(COUNTIF($C$2:$C486,$C486)=1,1,0))</f>
        <v/>
      </c>
      <c r="AC486">
        <f>IF($AB486=1,SUMPRODUCT(--($AE$2:$AE$501&lt;$AE486))+1,"")</f>
        <v/>
      </c>
      <c r="AD486">
        <f>IF($C486="","",IF(OR($Z486=TRUE(),$Z486="TRUE"),0,1))</f>
        <v/>
      </c>
      <c r="AE486">
        <f>IF($AB486=1,IFERROR(IF(VALUE($C486)&lt;100000000,VALUE($C486),1000000000),IFERROR(IF(VALUE(MID($C486,2,20))&lt;100000000,VALUE(MID($C486,2,20)),1000000000),1000000000))+ROW()/100000,"")</f>
        <v/>
      </c>
    </row>
    <row r="487">
      <c r="G487" s="7" t="n"/>
      <c r="H487" s="7" t="n"/>
      <c r="N487" s="7">
        <f>IF($C487="","",M487*Y487/100)</f>
        <v/>
      </c>
      <c r="O487" s="11" t="n"/>
      <c r="T487" s="7" t="n"/>
      <c r="V487" s="7">
        <f>IF($C487="","",Y487*AA487/100)</f>
        <v/>
      </c>
      <c r="W487" s="7">
        <f>IF($C487="","",Y487-V487)</f>
        <v/>
      </c>
      <c r="X487" s="7">
        <f>IF($C487="","",W487-N487)</f>
        <v/>
      </c>
      <c r="Y487" s="7" t="n"/>
      <c r="AA487">
        <f>IF($C487="","",IF($AD487=1,Settings!$C$6,Settings!$C$7)*100)</f>
        <v/>
      </c>
      <c r="AB487">
        <f>IF($C487="","",IF(COUNTIF($C$2:$C487,$C487)=1,1,0))</f>
        <v/>
      </c>
      <c r="AC487">
        <f>IF($AB487=1,SUMPRODUCT(--($AE$2:$AE$501&lt;$AE487))+1,"")</f>
        <v/>
      </c>
      <c r="AD487">
        <f>IF($C487="","",IF(OR($Z487=TRUE(),$Z487="TRUE"),0,1))</f>
        <v/>
      </c>
      <c r="AE487">
        <f>IF($AB487=1,IFERROR(IF(VALUE($C487)&lt;100000000,VALUE($C487),1000000000),IFERROR(IF(VALUE(MID($C487,2,20))&lt;100000000,VALUE(MID($C487,2,20)),1000000000),1000000000))+ROW()/100000,"")</f>
        <v/>
      </c>
    </row>
    <row r="488">
      <c r="G488" s="7" t="n"/>
      <c r="H488" s="7" t="n"/>
      <c r="N488" s="7">
        <f>IF($C488="","",M488*Y488/100)</f>
        <v/>
      </c>
      <c r="O488" s="11" t="n"/>
      <c r="T488" s="7" t="n"/>
      <c r="V488" s="7">
        <f>IF($C488="","",Y488*AA488/100)</f>
        <v/>
      </c>
      <c r="W488" s="7">
        <f>IF($C488="","",Y488-V488)</f>
        <v/>
      </c>
      <c r="X488" s="7">
        <f>IF($C488="","",W488-N488)</f>
        <v/>
      </c>
      <c r="Y488" s="7" t="n"/>
      <c r="AA488">
        <f>IF($C488="","",IF($AD488=1,Settings!$C$6,Settings!$C$7)*100)</f>
        <v/>
      </c>
      <c r="AB488">
        <f>IF($C488="","",IF(COUNTIF($C$2:$C488,$C488)=1,1,0))</f>
        <v/>
      </c>
      <c r="AC488">
        <f>IF($AB488=1,SUMPRODUCT(--($AE$2:$AE$501&lt;$AE488))+1,"")</f>
        <v/>
      </c>
      <c r="AD488">
        <f>IF($C488="","",IF(OR($Z488=TRUE(),$Z488="TRUE"),0,1))</f>
        <v/>
      </c>
      <c r="AE488">
        <f>IF($AB488=1,IFERROR(IF(VALUE($C488)&lt;100000000,VALUE($C488),1000000000),IFERROR(IF(VALUE(MID($C488,2,20))&lt;100000000,VALUE(MID($C488,2,20)),1000000000),1000000000))+ROW()/100000,"")</f>
        <v/>
      </c>
    </row>
    <row r="489">
      <c r="G489" s="7" t="n"/>
      <c r="H489" s="7" t="n"/>
      <c r="N489" s="7">
        <f>IF($C489="","",M489*Y489/100)</f>
        <v/>
      </c>
      <c r="O489" s="11" t="n"/>
      <c r="T489" s="7" t="n"/>
      <c r="V489" s="7">
        <f>IF($C489="","",Y489*AA489/100)</f>
        <v/>
      </c>
      <c r="W489" s="7">
        <f>IF($C489="","",Y489-V489)</f>
        <v/>
      </c>
      <c r="X489" s="7">
        <f>IF($C489="","",W489-N489)</f>
        <v/>
      </c>
      <c r="Y489" s="7" t="n"/>
      <c r="AA489">
        <f>IF($C489="","",IF($AD489=1,Settings!$C$6,Settings!$C$7)*100)</f>
        <v/>
      </c>
      <c r="AB489">
        <f>IF($C489="","",IF(COUNTIF($C$2:$C489,$C489)=1,1,0))</f>
        <v/>
      </c>
      <c r="AC489">
        <f>IF($AB489=1,SUMPRODUCT(--($AE$2:$AE$501&lt;$AE489))+1,"")</f>
        <v/>
      </c>
      <c r="AD489">
        <f>IF($C489="","",IF(OR($Z489=TRUE(),$Z489="TRUE"),0,1))</f>
        <v/>
      </c>
      <c r="AE489">
        <f>IF($AB489=1,IFERROR(IF(VALUE($C489)&lt;100000000,VALUE($C489),1000000000),IFERROR(IF(VALUE(MID($C489,2,20))&lt;100000000,VALUE(MID($C489,2,20)),1000000000),1000000000))+ROW()/100000,"")</f>
        <v/>
      </c>
    </row>
    <row r="490">
      <c r="G490" s="7" t="n"/>
      <c r="H490" s="7" t="n"/>
      <c r="N490" s="7">
        <f>IF($C490="","",M490*Y490/100)</f>
        <v/>
      </c>
      <c r="O490" s="11" t="n"/>
      <c r="T490" s="7" t="n"/>
      <c r="V490" s="7">
        <f>IF($C490="","",Y490*AA490/100)</f>
        <v/>
      </c>
      <c r="W490" s="7">
        <f>IF($C490="","",Y490-V490)</f>
        <v/>
      </c>
      <c r="X490" s="7">
        <f>IF($C490="","",W490-N490)</f>
        <v/>
      </c>
      <c r="Y490" s="7" t="n"/>
      <c r="AA490">
        <f>IF($C490="","",IF($AD490=1,Settings!$C$6,Settings!$C$7)*100)</f>
        <v/>
      </c>
      <c r="AB490">
        <f>IF($C490="","",IF(COUNTIF($C$2:$C490,$C490)=1,1,0))</f>
        <v/>
      </c>
      <c r="AC490">
        <f>IF($AB490=1,SUMPRODUCT(--($AE$2:$AE$501&lt;$AE490))+1,"")</f>
        <v/>
      </c>
      <c r="AD490">
        <f>IF($C490="","",IF(OR($Z490=TRUE(),$Z490="TRUE"),0,1))</f>
        <v/>
      </c>
      <c r="AE490">
        <f>IF($AB490=1,IFERROR(IF(VALUE($C490)&lt;100000000,VALUE($C490),1000000000),IFERROR(IF(VALUE(MID($C490,2,20))&lt;100000000,VALUE(MID($C490,2,20)),1000000000),1000000000))+ROW()/100000,"")</f>
        <v/>
      </c>
    </row>
    <row r="491">
      <c r="G491" s="7" t="n"/>
      <c r="H491" s="7" t="n"/>
      <c r="N491" s="7">
        <f>IF($C491="","",M491*Y491/100)</f>
        <v/>
      </c>
      <c r="O491" s="11" t="n"/>
      <c r="T491" s="7" t="n"/>
      <c r="V491" s="7">
        <f>IF($C491="","",Y491*AA491/100)</f>
        <v/>
      </c>
      <c r="W491" s="7">
        <f>IF($C491="","",Y491-V491)</f>
        <v/>
      </c>
      <c r="X491" s="7">
        <f>IF($C491="","",W491-N491)</f>
        <v/>
      </c>
      <c r="Y491" s="7" t="n"/>
      <c r="AA491">
        <f>IF($C491="","",IF($AD491=1,Settings!$C$6,Settings!$C$7)*100)</f>
        <v/>
      </c>
      <c r="AB491">
        <f>IF($C491="","",IF(COUNTIF($C$2:$C491,$C491)=1,1,0))</f>
        <v/>
      </c>
      <c r="AC491">
        <f>IF($AB491=1,SUMPRODUCT(--($AE$2:$AE$501&lt;$AE491))+1,"")</f>
        <v/>
      </c>
      <c r="AD491">
        <f>IF($C491="","",IF(OR($Z491=TRUE(),$Z491="TRUE"),0,1))</f>
        <v/>
      </c>
      <c r="AE491">
        <f>IF($AB491=1,IFERROR(IF(VALUE($C491)&lt;100000000,VALUE($C491),1000000000),IFERROR(IF(VALUE(MID($C491,2,20))&lt;100000000,VALUE(MID($C491,2,20)),1000000000),1000000000))+ROW()/100000,"")</f>
        <v/>
      </c>
    </row>
    <row r="492">
      <c r="G492" s="7" t="n"/>
      <c r="H492" s="7" t="n"/>
      <c r="N492" s="7">
        <f>IF($C492="","",M492*Y492/100)</f>
        <v/>
      </c>
      <c r="O492" s="11" t="n"/>
      <c r="T492" s="7" t="n"/>
      <c r="V492" s="7">
        <f>IF($C492="","",Y492*AA492/100)</f>
        <v/>
      </c>
      <c r="W492" s="7">
        <f>IF($C492="","",Y492-V492)</f>
        <v/>
      </c>
      <c r="X492" s="7">
        <f>IF($C492="","",W492-N492)</f>
        <v/>
      </c>
      <c r="Y492" s="7" t="n"/>
      <c r="AA492">
        <f>IF($C492="","",IF($AD492=1,Settings!$C$6,Settings!$C$7)*100)</f>
        <v/>
      </c>
      <c r="AB492">
        <f>IF($C492="","",IF(COUNTIF($C$2:$C492,$C492)=1,1,0))</f>
        <v/>
      </c>
      <c r="AC492">
        <f>IF($AB492=1,SUMPRODUCT(--($AE$2:$AE$501&lt;$AE492))+1,"")</f>
        <v/>
      </c>
      <c r="AD492">
        <f>IF($C492="","",IF(OR($Z492=TRUE(),$Z492="TRUE"),0,1))</f>
        <v/>
      </c>
      <c r="AE492">
        <f>IF($AB492=1,IFERROR(IF(VALUE($C492)&lt;100000000,VALUE($C492),1000000000),IFERROR(IF(VALUE(MID($C492,2,20))&lt;100000000,VALUE(MID($C492,2,20)),1000000000),1000000000))+ROW()/100000,"")</f>
        <v/>
      </c>
    </row>
    <row r="493">
      <c r="G493" s="7" t="n"/>
      <c r="H493" s="7" t="n"/>
      <c r="N493" s="7">
        <f>IF($C493="","",M493*Y493/100)</f>
        <v/>
      </c>
      <c r="O493" s="11" t="n"/>
      <c r="T493" s="7" t="n"/>
      <c r="V493" s="7">
        <f>IF($C493="","",Y493*AA493/100)</f>
        <v/>
      </c>
      <c r="W493" s="7">
        <f>IF($C493="","",Y493-V493)</f>
        <v/>
      </c>
      <c r="X493" s="7">
        <f>IF($C493="","",W493-N493)</f>
        <v/>
      </c>
      <c r="Y493" s="7" t="n"/>
      <c r="AA493">
        <f>IF($C493="","",IF($AD493=1,Settings!$C$6,Settings!$C$7)*100)</f>
        <v/>
      </c>
      <c r="AB493">
        <f>IF($C493="","",IF(COUNTIF($C$2:$C493,$C493)=1,1,0))</f>
        <v/>
      </c>
      <c r="AC493">
        <f>IF($AB493=1,SUMPRODUCT(--($AE$2:$AE$501&lt;$AE493))+1,"")</f>
        <v/>
      </c>
      <c r="AD493">
        <f>IF($C493="","",IF(OR($Z493=TRUE(),$Z493="TRUE"),0,1))</f>
        <v/>
      </c>
      <c r="AE493">
        <f>IF($AB493=1,IFERROR(IF(VALUE($C493)&lt;100000000,VALUE($C493),1000000000),IFERROR(IF(VALUE(MID($C493,2,20))&lt;100000000,VALUE(MID($C493,2,20)),1000000000),1000000000))+ROW()/100000,"")</f>
        <v/>
      </c>
    </row>
    <row r="494">
      <c r="G494" s="7" t="n"/>
      <c r="H494" s="7" t="n"/>
      <c r="N494" s="7">
        <f>IF($C494="","",M494*Y494/100)</f>
        <v/>
      </c>
      <c r="O494" s="11" t="n"/>
      <c r="T494" s="7" t="n"/>
      <c r="V494" s="7">
        <f>IF($C494="","",Y494*AA494/100)</f>
        <v/>
      </c>
      <c r="W494" s="7">
        <f>IF($C494="","",Y494-V494)</f>
        <v/>
      </c>
      <c r="X494" s="7">
        <f>IF($C494="","",W494-N494)</f>
        <v/>
      </c>
      <c r="Y494" s="7" t="n"/>
      <c r="AA494">
        <f>IF($C494="","",IF($AD494=1,Settings!$C$6,Settings!$C$7)*100)</f>
        <v/>
      </c>
      <c r="AB494">
        <f>IF($C494="","",IF(COUNTIF($C$2:$C494,$C494)=1,1,0))</f>
        <v/>
      </c>
      <c r="AC494">
        <f>IF($AB494=1,SUMPRODUCT(--($AE$2:$AE$501&lt;$AE494))+1,"")</f>
        <v/>
      </c>
      <c r="AD494">
        <f>IF($C494="","",IF(OR($Z494=TRUE(),$Z494="TRUE"),0,1))</f>
        <v/>
      </c>
      <c r="AE494">
        <f>IF($AB494=1,IFERROR(IF(VALUE($C494)&lt;100000000,VALUE($C494),1000000000),IFERROR(IF(VALUE(MID($C494,2,20))&lt;100000000,VALUE(MID($C494,2,20)),1000000000),1000000000))+ROW()/100000,"")</f>
        <v/>
      </c>
    </row>
    <row r="495">
      <c r="G495" s="7" t="n"/>
      <c r="H495" s="7" t="n"/>
      <c r="N495" s="7">
        <f>IF($C495="","",M495*Y495/100)</f>
        <v/>
      </c>
      <c r="O495" s="11" t="n"/>
      <c r="T495" s="7" t="n"/>
      <c r="V495" s="7">
        <f>IF($C495="","",Y495*AA495/100)</f>
        <v/>
      </c>
      <c r="W495" s="7">
        <f>IF($C495="","",Y495-V495)</f>
        <v/>
      </c>
      <c r="X495" s="7">
        <f>IF($C495="","",W495-N495)</f>
        <v/>
      </c>
      <c r="Y495" s="7" t="n"/>
      <c r="AA495">
        <f>IF($C495="","",IF($AD495=1,Settings!$C$6,Settings!$C$7)*100)</f>
        <v/>
      </c>
      <c r="AB495">
        <f>IF($C495="","",IF(COUNTIF($C$2:$C495,$C495)=1,1,0))</f>
        <v/>
      </c>
      <c r="AC495">
        <f>IF($AB495=1,SUMPRODUCT(--($AE$2:$AE$501&lt;$AE495))+1,"")</f>
        <v/>
      </c>
      <c r="AD495">
        <f>IF($C495="","",IF(OR($Z495=TRUE(),$Z495="TRUE"),0,1))</f>
        <v/>
      </c>
      <c r="AE495">
        <f>IF($AB495=1,IFERROR(IF(VALUE($C495)&lt;100000000,VALUE($C495),1000000000),IFERROR(IF(VALUE(MID($C495,2,20))&lt;100000000,VALUE(MID($C495,2,20)),1000000000),1000000000))+ROW()/100000,"")</f>
        <v/>
      </c>
    </row>
    <row r="496">
      <c r="G496" s="7" t="n"/>
      <c r="H496" s="7" t="n"/>
      <c r="N496" s="7">
        <f>IF($C496="","",M496*Y496/100)</f>
        <v/>
      </c>
      <c r="O496" s="11" t="n"/>
      <c r="T496" s="7" t="n"/>
      <c r="V496" s="7">
        <f>IF($C496="","",Y496*AA496/100)</f>
        <v/>
      </c>
      <c r="W496" s="7">
        <f>IF($C496="","",Y496-V496)</f>
        <v/>
      </c>
      <c r="X496" s="7">
        <f>IF($C496="","",W496-N496)</f>
        <v/>
      </c>
      <c r="Y496" s="7" t="n"/>
      <c r="AA496">
        <f>IF($C496="","",IF($AD496=1,Settings!$C$6,Settings!$C$7)*100)</f>
        <v/>
      </c>
      <c r="AB496">
        <f>IF($C496="","",IF(COUNTIF($C$2:$C496,$C496)=1,1,0))</f>
        <v/>
      </c>
      <c r="AC496">
        <f>IF($AB496=1,SUMPRODUCT(--($AE$2:$AE$501&lt;$AE496))+1,"")</f>
        <v/>
      </c>
      <c r="AD496">
        <f>IF($C496="","",IF(OR($Z496=TRUE(),$Z496="TRUE"),0,1))</f>
        <v/>
      </c>
      <c r="AE496">
        <f>IF($AB496=1,IFERROR(IF(VALUE($C496)&lt;100000000,VALUE($C496),1000000000),IFERROR(IF(VALUE(MID($C496,2,20))&lt;100000000,VALUE(MID($C496,2,20)),1000000000),1000000000))+ROW()/100000,"")</f>
        <v/>
      </c>
    </row>
    <row r="497">
      <c r="G497" s="7" t="n"/>
      <c r="H497" s="7" t="n"/>
      <c r="N497" s="7">
        <f>IF($C497="","",M497*Y497/100)</f>
        <v/>
      </c>
      <c r="O497" s="11" t="n"/>
      <c r="T497" s="7" t="n"/>
      <c r="V497" s="7">
        <f>IF($C497="","",Y497*AA497/100)</f>
        <v/>
      </c>
      <c r="W497" s="7">
        <f>IF($C497="","",Y497-V497)</f>
        <v/>
      </c>
      <c r="X497" s="7">
        <f>IF($C497="","",W497-N497)</f>
        <v/>
      </c>
      <c r="Y497" s="7" t="n"/>
      <c r="AA497">
        <f>IF($C497="","",IF($AD497=1,Settings!$C$6,Settings!$C$7)*100)</f>
        <v/>
      </c>
      <c r="AB497">
        <f>IF($C497="","",IF(COUNTIF($C$2:$C497,$C497)=1,1,0))</f>
        <v/>
      </c>
      <c r="AC497">
        <f>IF($AB497=1,SUMPRODUCT(--($AE$2:$AE$501&lt;$AE497))+1,"")</f>
        <v/>
      </c>
      <c r="AD497">
        <f>IF($C497="","",IF(OR($Z497=TRUE(),$Z497="TRUE"),0,1))</f>
        <v/>
      </c>
      <c r="AE497">
        <f>IF($AB497=1,IFERROR(IF(VALUE($C497)&lt;100000000,VALUE($C497),1000000000),IFERROR(IF(VALUE(MID($C497,2,20))&lt;100000000,VALUE(MID($C497,2,20)),1000000000),1000000000))+ROW()/100000,"")</f>
        <v/>
      </c>
    </row>
    <row r="498">
      <c r="G498" s="7" t="n"/>
      <c r="H498" s="7" t="n"/>
      <c r="N498" s="7">
        <f>IF($C498="","",M498*Y498/100)</f>
        <v/>
      </c>
      <c r="O498" s="11" t="n"/>
      <c r="T498" s="7" t="n"/>
      <c r="V498" s="7">
        <f>IF($C498="","",Y498*AA498/100)</f>
        <v/>
      </c>
      <c r="W498" s="7">
        <f>IF($C498="","",Y498-V498)</f>
        <v/>
      </c>
      <c r="X498" s="7">
        <f>IF($C498="","",W498-N498)</f>
        <v/>
      </c>
      <c r="Y498" s="7" t="n"/>
      <c r="AA498">
        <f>IF($C498="","",IF($AD498=1,Settings!$C$6,Settings!$C$7)*100)</f>
        <v/>
      </c>
      <c r="AB498">
        <f>IF($C498="","",IF(COUNTIF($C$2:$C498,$C498)=1,1,0))</f>
        <v/>
      </c>
      <c r="AC498">
        <f>IF($AB498=1,SUMPRODUCT(--($AE$2:$AE$501&lt;$AE498))+1,"")</f>
        <v/>
      </c>
      <c r="AD498">
        <f>IF($C498="","",IF(OR($Z498=TRUE(),$Z498="TRUE"),0,1))</f>
        <v/>
      </c>
      <c r="AE498">
        <f>IF($AB498=1,IFERROR(IF(VALUE($C498)&lt;100000000,VALUE($C498),1000000000),IFERROR(IF(VALUE(MID($C498,2,20))&lt;100000000,VALUE(MID($C498,2,20)),1000000000),1000000000))+ROW()/100000,"")</f>
        <v/>
      </c>
    </row>
    <row r="499">
      <c r="G499" s="7" t="n"/>
      <c r="H499" s="7" t="n"/>
      <c r="N499" s="7">
        <f>IF($C499="","",M499*Y499/100)</f>
        <v/>
      </c>
      <c r="O499" s="11" t="n"/>
      <c r="T499" s="7" t="n"/>
      <c r="V499" s="7">
        <f>IF($C499="","",Y499*AA499/100)</f>
        <v/>
      </c>
      <c r="W499" s="7">
        <f>IF($C499="","",Y499-V499)</f>
        <v/>
      </c>
      <c r="X499" s="7">
        <f>IF($C499="","",W499-N499)</f>
        <v/>
      </c>
      <c r="Y499" s="7" t="n"/>
      <c r="AA499">
        <f>IF($C499="","",IF($AD499=1,Settings!$C$6,Settings!$C$7)*100)</f>
        <v/>
      </c>
      <c r="AB499">
        <f>IF($C499="","",IF(COUNTIF($C$2:$C499,$C499)=1,1,0))</f>
        <v/>
      </c>
      <c r="AC499">
        <f>IF($AB499=1,SUMPRODUCT(--($AE$2:$AE$501&lt;$AE499))+1,"")</f>
        <v/>
      </c>
      <c r="AD499">
        <f>IF($C499="","",IF(OR($Z499=TRUE(),$Z499="TRUE"),0,1))</f>
        <v/>
      </c>
      <c r="AE499">
        <f>IF($AB499=1,IFERROR(IF(VALUE($C499)&lt;100000000,VALUE($C499),1000000000),IFERROR(IF(VALUE(MID($C499,2,20))&lt;100000000,VALUE(MID($C499,2,20)),1000000000),1000000000))+ROW()/100000,"")</f>
        <v/>
      </c>
    </row>
    <row r="500">
      <c r="G500" s="7" t="n"/>
      <c r="H500" s="7" t="n"/>
      <c r="N500" s="7">
        <f>IF($C500="","",M500*Y500/100)</f>
        <v/>
      </c>
      <c r="O500" s="11" t="n"/>
      <c r="T500" s="7" t="n"/>
      <c r="V500" s="7">
        <f>IF($C500="","",Y500*AA500/100)</f>
        <v/>
      </c>
      <c r="W500" s="7">
        <f>IF($C500="","",Y500-V500)</f>
        <v/>
      </c>
      <c r="X500" s="7">
        <f>IF($C500="","",W500-N500)</f>
        <v/>
      </c>
      <c r="Y500" s="7" t="n"/>
      <c r="AA500">
        <f>IF($C500="","",IF($AD500=1,Settings!$C$6,Settings!$C$7)*100)</f>
        <v/>
      </c>
      <c r="AB500">
        <f>IF($C500="","",IF(COUNTIF($C$2:$C500,$C500)=1,1,0))</f>
        <v/>
      </c>
      <c r="AC500">
        <f>IF($AB500=1,SUMPRODUCT(--($AE$2:$AE$501&lt;$AE500))+1,"")</f>
        <v/>
      </c>
      <c r="AD500">
        <f>IF($C500="","",IF(OR($Z500=TRUE(),$Z500="TRUE"),0,1))</f>
        <v/>
      </c>
      <c r="AE500">
        <f>IF($AB500=1,IFERROR(IF(VALUE($C500)&lt;100000000,VALUE($C500),1000000000),IFERROR(IF(VALUE(MID($C500,2,20))&lt;100000000,VALUE(MID($C500,2,20)),1000000000),1000000000))+ROW()/100000,"")</f>
        <v/>
      </c>
    </row>
    <row r="501">
      <c r="G501" s="7" t="n"/>
      <c r="H501" s="7" t="n"/>
      <c r="N501" s="7">
        <f>IF($C501="","",M501*Y501/100)</f>
        <v/>
      </c>
      <c r="O501" s="11" t="n"/>
      <c r="T501" s="7" t="n"/>
      <c r="V501" s="7">
        <f>IF($C501="","",Y501*AA501/100)</f>
        <v/>
      </c>
      <c r="W501" s="7">
        <f>IF($C501="","",Y501-V501)</f>
        <v/>
      </c>
      <c r="X501" s="7">
        <f>IF($C501="","",W501-N501)</f>
        <v/>
      </c>
      <c r="Y501" s="7" t="n"/>
      <c r="AA501">
        <f>IF($C501="","",IF($AD501=1,Settings!$C$6,Settings!$C$7)*100)</f>
        <v/>
      </c>
      <c r="AB501">
        <f>IF($C501="","",IF(COUNTIF($C$2:$C501,$C501)=1,1,0))</f>
        <v/>
      </c>
      <c r="AC501">
        <f>IF($AB501=1,SUMPRODUCT(--($AE$2:$AE$501&lt;$AE501))+1,"")</f>
        <v/>
      </c>
      <c r="AD501">
        <f>IF($C501="","",IF(OR($Z501=TRUE(),$Z501="TRUE"),0,1))</f>
        <v/>
      </c>
      <c r="AE501">
        <f>IF($AB501=1,IFERROR(IF(VALUE($C501)&lt;100000000,VALUE($C501),1000000000),IFERROR(IF(VALUE(MID($C501,2,20))&lt;100000000,VALUE(MID($C501,2,20)),1000000000),1000000000))+ROW()/100000,"")</f>
        <v/>
      </c>
    </row>
  </sheetData>
  <autoFilter ref="A1:AE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8" t="inlineStr">
        <is>
          <t>Invoice</t>
        </is>
      </c>
      <c r="B1" s="9" t="inlineStr">
        <is>
          <t>Order Number</t>
        </is>
      </c>
      <c r="C1" s="9" t="inlineStr">
        <is>
          <t>ERX ID</t>
        </is>
      </c>
      <c r="D1" s="9" t="inlineStr">
        <is>
          <t>Approval Reference</t>
        </is>
      </c>
      <c r="E1" s="9" t="inlineStr">
        <is>
          <t>By Patient (EGP)</t>
        </is>
      </c>
      <c r="F1" s="9" t="inlineStr">
        <is>
          <t>Payer</t>
        </is>
      </c>
      <c r="G1" s="9" t="inlineStr">
        <is>
          <t>Card Holder Name</t>
        </is>
      </c>
      <c r="H1" s="8" t="inlineStr">
        <is>
          <t>CARD</t>
        </is>
      </c>
      <c r="I1" s="9" t="inlineStr">
        <is>
          <t>Co Payment (%)</t>
        </is>
      </c>
      <c r="J1" s="9" t="inlineStr">
        <is>
          <t>Co val</t>
        </is>
      </c>
      <c r="K1" s="9" t="inlineStr">
        <is>
          <t>Creation Date</t>
        </is>
      </c>
      <c r="L1" s="9" t="inlineStr">
        <is>
          <t>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%</t>
        </is>
      </c>
      <c r="P1" s="9" t="inlineStr">
        <is>
          <t>Local</t>
        </is>
      </c>
      <c r="Q1" s="9" t="inlineStr">
        <is>
          <t>Local val</t>
        </is>
      </c>
      <c r="R1" s="9" t="inlineStr">
        <is>
          <t>Discount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8" t="inlineStr">
        <is>
          <t>Comment</t>
        </is>
      </c>
      <c r="W1" s="10" t="inlineStr">
        <is>
          <t>Src Row (helper)</t>
        </is>
      </c>
    </row>
    <row r="2">
      <c r="A2" s="12" t="n"/>
      <c r="B2">
        <f>IF($W2="","",INDEX('Per Line'!$C$2:$C$501,$W2)&amp;"")</f>
        <v/>
      </c>
      <c r="C2">
        <f>IF($W2="","",INDEX('Per Line'!$A$2:$A$501,$W2)&amp;"")</f>
        <v/>
      </c>
      <c r="D2">
        <f>IF($W2="","",INDEX('Per Line'!$E$2:$E$501,$W2)&amp;"")</f>
        <v/>
      </c>
      <c r="E2">
        <f>IF($W2="","",INDEX('Per Line'!$H$2:$H$501,$W2)&amp;"")</f>
        <v/>
      </c>
      <c r="F2">
        <f>IF($W2="","",INDEX('Per Line'!$K$2:$K$501,$W2)&amp;"")</f>
        <v/>
      </c>
      <c r="G2">
        <f>IF($W2="","",INDEX('Per Line'!$L$2:$L$501,$W2)&amp;"")</f>
        <v/>
      </c>
      <c r="H2" s="12" t="n"/>
      <c r="I2">
        <f>IF($W2="","",INDEX('Per Line'!$M$2:$M$501,$W2))</f>
        <v/>
      </c>
      <c r="J2" s="7">
        <f>IF($W2="","",I2*T2/100)</f>
        <v/>
      </c>
      <c r="K2" s="11">
        <f>IF($W2="","",INDEX('Per Line'!$O$2:$O$501,$W2))</f>
        <v/>
      </c>
      <c r="L2">
        <f>IF($W2="","",Settings!$C$7)</f>
        <v/>
      </c>
      <c r="M2" s="7">
        <f>IF($W2="","",SUMIFS('Per Line'!$Y$2:$Y$501,'Per Line'!$C$2:$C$501,$B2,'Per Line'!$AD$2:$AD$501,0))</f>
        <v/>
      </c>
      <c r="N2" s="7">
        <f>IF($W2="","",M2*L2)</f>
        <v/>
      </c>
      <c r="O2">
        <f>IF($W2="","",Settings!$C$6)</f>
        <v/>
      </c>
      <c r="P2" s="7">
        <f>IF($W2="","",SUMIFS('Per Line'!$Y$2:$Y$501,'Per Line'!$C$2:$C$501,$B2,'Per Line'!$AD$2:$AD$501,1))</f>
        <v/>
      </c>
      <c r="Q2" s="7">
        <f>IF($W2="","",P2*O2)</f>
        <v/>
      </c>
      <c r="R2" s="7">
        <f>IF($W2="","",Q2+N2)</f>
        <v/>
      </c>
      <c r="S2" s="7">
        <f>IF($W2="","",T2-R2)</f>
        <v/>
      </c>
      <c r="T2" s="7">
        <f>IF($W2="","",M2+P2)</f>
        <v/>
      </c>
      <c r="U2" s="7">
        <f>IF($W2="","",T2-R2-J2)</f>
        <v/>
      </c>
      <c r="V2" s="12" t="n"/>
      <c r="W2" s="13">
        <f>IF(ROWS($W$2:$W2)&lt;=MAX('Per Line'!$AC$2:$AC$501),MATCH(ROWS($W$2:$W2),'Per Line'!$AC$2:$AC$501,0),"")</f>
        <v/>
      </c>
    </row>
    <row r="3">
      <c r="A3" s="12" t="n"/>
      <c r="B3">
        <f>IF($W3="","",INDEX('Per Line'!$C$2:$C$501,$W3)&amp;"")</f>
        <v/>
      </c>
      <c r="C3">
        <f>IF($W3="","",INDEX('Per Line'!$A$2:$A$501,$W3)&amp;"")</f>
        <v/>
      </c>
      <c r="D3">
        <f>IF($W3="","",INDEX('Per Line'!$E$2:$E$501,$W3)&amp;"")</f>
        <v/>
      </c>
      <c r="E3">
        <f>IF($W3="","",INDEX('Per Line'!$H$2:$H$501,$W3)&amp;"")</f>
        <v/>
      </c>
      <c r="F3">
        <f>IF($W3="","",INDEX('Per Line'!$K$2:$K$501,$W3)&amp;"")</f>
        <v/>
      </c>
      <c r="G3">
        <f>IF($W3="","",INDEX('Per Line'!$L$2:$L$501,$W3)&amp;"")</f>
        <v/>
      </c>
      <c r="H3" s="12" t="n"/>
      <c r="I3">
        <f>IF($W3="","",INDEX('Per Line'!$M$2:$M$501,$W3))</f>
        <v/>
      </c>
      <c r="J3" s="7">
        <f>IF($W3="","",I3*T3/100)</f>
        <v/>
      </c>
      <c r="K3" s="11">
        <f>IF($W3="","",INDEX('Per Line'!$O$2:$O$501,$W3))</f>
        <v/>
      </c>
      <c r="L3">
        <f>IF($W3="","",Settings!$C$7)</f>
        <v/>
      </c>
      <c r="M3" s="7">
        <f>IF($W3="","",SUMIFS('Per Line'!$Y$2:$Y$501,'Per Line'!$C$2:$C$501,$B3,'Per Line'!$AD$2:$AD$501,0))</f>
        <v/>
      </c>
      <c r="N3" s="7">
        <f>IF($W3="","",M3*L3)</f>
        <v/>
      </c>
      <c r="O3">
        <f>IF($W3="","",Settings!$C$6)</f>
        <v/>
      </c>
      <c r="P3" s="7">
        <f>IF($W3="","",SUMIFS('Per Line'!$Y$2:$Y$501,'Per Line'!$C$2:$C$501,$B3,'Per Line'!$AD$2:$AD$501,1))</f>
        <v/>
      </c>
      <c r="Q3" s="7">
        <f>IF($W3="","",P3*O3)</f>
        <v/>
      </c>
      <c r="R3" s="7">
        <f>IF($W3="","",Q3+N3)</f>
        <v/>
      </c>
      <c r="S3" s="7">
        <f>IF($W3="","",T3-R3)</f>
        <v/>
      </c>
      <c r="T3" s="7">
        <f>IF($W3="","",M3+P3)</f>
        <v/>
      </c>
      <c r="U3" s="7">
        <f>IF($W3="","",T3-R3-J3)</f>
        <v/>
      </c>
      <c r="V3" s="12" t="n"/>
      <c r="W3" s="13">
        <f>IF(ROWS($W$2:$W3)&lt;=MAX('Per Line'!$AC$2:$AC$501),MATCH(ROWS($W$2:$W3),'Per Line'!$AC$2:$AC$501,0),"")</f>
        <v/>
      </c>
    </row>
    <row r="4">
      <c r="A4" s="12" t="n"/>
      <c r="B4">
        <f>IF($W4="","",INDEX('Per Line'!$C$2:$C$501,$W4)&amp;"")</f>
        <v/>
      </c>
      <c r="C4">
        <f>IF($W4="","",INDEX('Per Line'!$A$2:$A$501,$W4)&amp;"")</f>
        <v/>
      </c>
      <c r="D4">
        <f>IF($W4="","",INDEX('Per Line'!$E$2:$E$501,$W4)&amp;"")</f>
        <v/>
      </c>
      <c r="E4">
        <f>IF($W4="","",INDEX('Per Line'!$H$2:$H$501,$W4)&amp;"")</f>
        <v/>
      </c>
      <c r="F4">
        <f>IF($W4="","",INDEX('Per Line'!$K$2:$K$501,$W4)&amp;"")</f>
        <v/>
      </c>
      <c r="G4">
        <f>IF($W4="","",INDEX('Per Line'!$L$2:$L$501,$W4)&amp;"")</f>
        <v/>
      </c>
      <c r="H4" s="12" t="n"/>
      <c r="I4">
        <f>IF($W4="","",INDEX('Per Line'!$M$2:$M$501,$W4))</f>
        <v/>
      </c>
      <c r="J4" s="7">
        <f>IF($W4="","",I4*T4/100)</f>
        <v/>
      </c>
      <c r="K4" s="11">
        <f>IF($W4="","",INDEX('Per Line'!$O$2:$O$501,$W4))</f>
        <v/>
      </c>
      <c r="L4">
        <f>IF($W4="","",Settings!$C$7)</f>
        <v/>
      </c>
      <c r="M4" s="7">
        <f>IF($W4="","",SUMIFS('Per Line'!$Y$2:$Y$501,'Per Line'!$C$2:$C$501,$B4,'Per Line'!$AD$2:$AD$501,0))</f>
        <v/>
      </c>
      <c r="N4" s="7">
        <f>IF($W4="","",M4*L4)</f>
        <v/>
      </c>
      <c r="O4">
        <f>IF($W4="","",Settings!$C$6)</f>
        <v/>
      </c>
      <c r="P4" s="7">
        <f>IF($W4="","",SUMIFS('Per Line'!$Y$2:$Y$501,'Per Line'!$C$2:$C$501,$B4,'Per Line'!$AD$2:$AD$501,1))</f>
        <v/>
      </c>
      <c r="Q4" s="7">
        <f>IF($W4="","",P4*O4)</f>
        <v/>
      </c>
      <c r="R4" s="7">
        <f>IF($W4="","",Q4+N4)</f>
        <v/>
      </c>
      <c r="S4" s="7">
        <f>IF($W4="","",T4-R4)</f>
        <v/>
      </c>
      <c r="T4" s="7">
        <f>IF($W4="","",M4+P4)</f>
        <v/>
      </c>
      <c r="U4" s="7">
        <f>IF($W4="","",T4-R4-J4)</f>
        <v/>
      </c>
      <c r="V4" s="12" t="n"/>
      <c r="W4" s="13">
        <f>IF(ROWS($W$2:$W4)&lt;=MAX('Per Line'!$AC$2:$AC$501),MATCH(ROWS($W$2:$W4),'Per Line'!$AC$2:$AC$501,0),"")</f>
        <v/>
      </c>
    </row>
    <row r="5">
      <c r="A5" s="12" t="n"/>
      <c r="B5">
        <f>IF($W5="","",INDEX('Per Line'!$C$2:$C$501,$W5)&amp;"")</f>
        <v/>
      </c>
      <c r="C5">
        <f>IF($W5="","",INDEX('Per Line'!$A$2:$A$501,$W5)&amp;"")</f>
        <v/>
      </c>
      <c r="D5">
        <f>IF($W5="","",INDEX('Per Line'!$E$2:$E$501,$W5)&amp;"")</f>
        <v/>
      </c>
      <c r="E5">
        <f>IF($W5="","",INDEX('Per Line'!$H$2:$H$501,$W5)&amp;"")</f>
        <v/>
      </c>
      <c r="F5">
        <f>IF($W5="","",INDEX('Per Line'!$K$2:$K$501,$W5)&amp;"")</f>
        <v/>
      </c>
      <c r="G5">
        <f>IF($W5="","",INDEX('Per Line'!$L$2:$L$501,$W5)&amp;"")</f>
        <v/>
      </c>
      <c r="H5" s="12" t="n"/>
      <c r="I5">
        <f>IF($W5="","",INDEX('Per Line'!$M$2:$M$501,$W5))</f>
        <v/>
      </c>
      <c r="J5" s="7">
        <f>IF($W5="","",I5*T5/100)</f>
        <v/>
      </c>
      <c r="K5" s="11">
        <f>IF($W5="","",INDEX('Per Line'!$O$2:$O$501,$W5))</f>
        <v/>
      </c>
      <c r="L5">
        <f>IF($W5="","",Settings!$C$7)</f>
        <v/>
      </c>
      <c r="M5" s="7">
        <f>IF($W5="","",SUMIFS('Per Line'!$Y$2:$Y$501,'Per Line'!$C$2:$C$501,$B5,'Per Line'!$AD$2:$AD$501,0))</f>
        <v/>
      </c>
      <c r="N5" s="7">
        <f>IF($W5="","",M5*L5)</f>
        <v/>
      </c>
      <c r="O5">
        <f>IF($W5="","",Settings!$C$6)</f>
        <v/>
      </c>
      <c r="P5" s="7">
        <f>IF($W5="","",SUMIFS('Per Line'!$Y$2:$Y$501,'Per Line'!$C$2:$C$501,$B5,'Per Line'!$AD$2:$AD$501,1))</f>
        <v/>
      </c>
      <c r="Q5" s="7">
        <f>IF($W5="","",P5*O5)</f>
        <v/>
      </c>
      <c r="R5" s="7">
        <f>IF($W5="","",Q5+N5)</f>
        <v/>
      </c>
      <c r="S5" s="7">
        <f>IF($W5="","",T5-R5)</f>
        <v/>
      </c>
      <c r="T5" s="7">
        <f>IF($W5="","",M5+P5)</f>
        <v/>
      </c>
      <c r="U5" s="7">
        <f>IF($W5="","",T5-R5-J5)</f>
        <v/>
      </c>
      <c r="V5" s="12" t="n"/>
      <c r="W5" s="13">
        <f>IF(ROWS($W$2:$W5)&lt;=MAX('Per Line'!$AC$2:$AC$501),MATCH(ROWS($W$2:$W5),'Per Line'!$AC$2:$AC$501,0),"")</f>
        <v/>
      </c>
    </row>
    <row r="6">
      <c r="A6" s="12" t="n"/>
      <c r="B6">
        <f>IF($W6="","",INDEX('Per Line'!$C$2:$C$501,$W6)&amp;"")</f>
        <v/>
      </c>
      <c r="C6">
        <f>IF($W6="","",INDEX('Per Line'!$A$2:$A$501,$W6)&amp;"")</f>
        <v/>
      </c>
      <c r="D6">
        <f>IF($W6="","",INDEX('Per Line'!$E$2:$E$501,$W6)&amp;"")</f>
        <v/>
      </c>
      <c r="E6">
        <f>IF($W6="","",INDEX('Per Line'!$H$2:$H$501,$W6)&amp;"")</f>
        <v/>
      </c>
      <c r="F6">
        <f>IF($W6="","",INDEX('Per Line'!$K$2:$K$501,$W6)&amp;"")</f>
        <v/>
      </c>
      <c r="G6">
        <f>IF($W6="","",INDEX('Per Line'!$L$2:$L$501,$W6)&amp;"")</f>
        <v/>
      </c>
      <c r="H6" s="12" t="n"/>
      <c r="I6">
        <f>IF($W6="","",INDEX('Per Line'!$M$2:$M$501,$W6))</f>
        <v/>
      </c>
      <c r="J6" s="7">
        <f>IF($W6="","",I6*T6/100)</f>
        <v/>
      </c>
      <c r="K6" s="11">
        <f>IF($W6="","",INDEX('Per Line'!$O$2:$O$501,$W6))</f>
        <v/>
      </c>
      <c r="L6">
        <f>IF($W6="","",Settings!$C$7)</f>
        <v/>
      </c>
      <c r="M6" s="7">
        <f>IF($W6="","",SUMIFS('Per Line'!$Y$2:$Y$501,'Per Line'!$C$2:$C$501,$B6,'Per Line'!$AD$2:$AD$501,0))</f>
        <v/>
      </c>
      <c r="N6" s="7">
        <f>IF($W6="","",M6*L6)</f>
        <v/>
      </c>
      <c r="O6">
        <f>IF($W6="","",Settings!$C$6)</f>
        <v/>
      </c>
      <c r="P6" s="7">
        <f>IF($W6="","",SUMIFS('Per Line'!$Y$2:$Y$501,'Per Line'!$C$2:$C$501,$B6,'Per Line'!$AD$2:$AD$501,1))</f>
        <v/>
      </c>
      <c r="Q6" s="7">
        <f>IF($W6="","",P6*O6)</f>
        <v/>
      </c>
      <c r="R6" s="7">
        <f>IF($W6="","",Q6+N6)</f>
        <v/>
      </c>
      <c r="S6" s="7">
        <f>IF($W6="","",T6-R6)</f>
        <v/>
      </c>
      <c r="T6" s="7">
        <f>IF($W6="","",M6+P6)</f>
        <v/>
      </c>
      <c r="U6" s="7">
        <f>IF($W6="","",T6-R6-J6)</f>
        <v/>
      </c>
      <c r="V6" s="12" t="n"/>
      <c r="W6" s="13">
        <f>IF(ROWS($W$2:$W6)&lt;=MAX('Per Line'!$AC$2:$AC$501),MATCH(ROWS($W$2:$W6),'Per Line'!$AC$2:$AC$501,0),"")</f>
        <v/>
      </c>
    </row>
    <row r="7">
      <c r="A7" s="12" t="n"/>
      <c r="B7">
        <f>IF($W7="","",INDEX('Per Line'!$C$2:$C$501,$W7)&amp;"")</f>
        <v/>
      </c>
      <c r="C7">
        <f>IF($W7="","",INDEX('Per Line'!$A$2:$A$501,$W7)&amp;"")</f>
        <v/>
      </c>
      <c r="D7">
        <f>IF($W7="","",INDEX('Per Line'!$E$2:$E$501,$W7)&amp;"")</f>
        <v/>
      </c>
      <c r="E7">
        <f>IF($W7="","",INDEX('Per Line'!$H$2:$H$501,$W7)&amp;"")</f>
        <v/>
      </c>
      <c r="F7">
        <f>IF($W7="","",INDEX('Per Line'!$K$2:$K$501,$W7)&amp;"")</f>
        <v/>
      </c>
      <c r="G7">
        <f>IF($W7="","",INDEX('Per Line'!$L$2:$L$501,$W7)&amp;"")</f>
        <v/>
      </c>
      <c r="H7" s="12" t="n"/>
      <c r="I7">
        <f>IF($W7="","",INDEX('Per Line'!$M$2:$M$501,$W7))</f>
        <v/>
      </c>
      <c r="J7" s="7">
        <f>IF($W7="","",I7*T7/100)</f>
        <v/>
      </c>
      <c r="K7" s="11">
        <f>IF($W7="","",INDEX('Per Line'!$O$2:$O$501,$W7))</f>
        <v/>
      </c>
      <c r="L7">
        <f>IF($W7="","",Settings!$C$7)</f>
        <v/>
      </c>
      <c r="M7" s="7">
        <f>IF($W7="","",SUMIFS('Per Line'!$Y$2:$Y$501,'Per Line'!$C$2:$C$501,$B7,'Per Line'!$AD$2:$AD$501,0))</f>
        <v/>
      </c>
      <c r="N7" s="7">
        <f>IF($W7="","",M7*L7)</f>
        <v/>
      </c>
      <c r="O7">
        <f>IF($W7="","",Settings!$C$6)</f>
        <v/>
      </c>
      <c r="P7" s="7">
        <f>IF($W7="","",SUMIFS('Per Line'!$Y$2:$Y$501,'Per Line'!$C$2:$C$501,$B7,'Per Line'!$AD$2:$AD$501,1))</f>
        <v/>
      </c>
      <c r="Q7" s="7">
        <f>IF($W7="","",P7*O7)</f>
        <v/>
      </c>
      <c r="R7" s="7">
        <f>IF($W7="","",Q7+N7)</f>
        <v/>
      </c>
      <c r="S7" s="7">
        <f>IF($W7="","",T7-R7)</f>
        <v/>
      </c>
      <c r="T7" s="7">
        <f>IF($W7="","",M7+P7)</f>
        <v/>
      </c>
      <c r="U7" s="7">
        <f>IF($W7="","",T7-R7-J7)</f>
        <v/>
      </c>
      <c r="V7" s="12" t="n"/>
      <c r="W7" s="13">
        <f>IF(ROWS($W$2:$W7)&lt;=MAX('Per Line'!$AC$2:$AC$501),MATCH(ROWS($W$2:$W7),'Per Line'!$AC$2:$AC$501,0),"")</f>
        <v/>
      </c>
    </row>
    <row r="8">
      <c r="A8" s="12" t="n"/>
      <c r="B8">
        <f>IF($W8="","",INDEX('Per Line'!$C$2:$C$501,$W8)&amp;"")</f>
        <v/>
      </c>
      <c r="C8">
        <f>IF($W8="","",INDEX('Per Line'!$A$2:$A$501,$W8)&amp;"")</f>
        <v/>
      </c>
      <c r="D8">
        <f>IF($W8="","",INDEX('Per Line'!$E$2:$E$501,$W8)&amp;"")</f>
        <v/>
      </c>
      <c r="E8">
        <f>IF($W8="","",INDEX('Per Line'!$H$2:$H$501,$W8)&amp;"")</f>
        <v/>
      </c>
      <c r="F8">
        <f>IF($W8="","",INDEX('Per Line'!$K$2:$K$501,$W8)&amp;"")</f>
        <v/>
      </c>
      <c r="G8">
        <f>IF($W8="","",INDEX('Per Line'!$L$2:$L$501,$W8)&amp;"")</f>
        <v/>
      </c>
      <c r="H8" s="12" t="n"/>
      <c r="I8">
        <f>IF($W8="","",INDEX('Per Line'!$M$2:$M$501,$W8))</f>
        <v/>
      </c>
      <c r="J8" s="7">
        <f>IF($W8="","",I8*T8/100)</f>
        <v/>
      </c>
      <c r="K8" s="11">
        <f>IF($W8="","",INDEX('Per Line'!$O$2:$O$501,$W8))</f>
        <v/>
      </c>
      <c r="L8">
        <f>IF($W8="","",Settings!$C$7)</f>
        <v/>
      </c>
      <c r="M8" s="7">
        <f>IF($W8="","",SUMIFS('Per Line'!$Y$2:$Y$501,'Per Line'!$C$2:$C$501,$B8,'Per Line'!$AD$2:$AD$501,0))</f>
        <v/>
      </c>
      <c r="N8" s="7">
        <f>IF($W8="","",M8*L8)</f>
        <v/>
      </c>
      <c r="O8">
        <f>IF($W8="","",Settings!$C$6)</f>
        <v/>
      </c>
      <c r="P8" s="7">
        <f>IF($W8="","",SUMIFS('Per Line'!$Y$2:$Y$501,'Per Line'!$C$2:$C$501,$B8,'Per Line'!$AD$2:$AD$501,1))</f>
        <v/>
      </c>
      <c r="Q8" s="7">
        <f>IF($W8="","",P8*O8)</f>
        <v/>
      </c>
      <c r="R8" s="7">
        <f>IF($W8="","",Q8+N8)</f>
        <v/>
      </c>
      <c r="S8" s="7">
        <f>IF($W8="","",T8-R8)</f>
        <v/>
      </c>
      <c r="T8" s="7">
        <f>IF($W8="","",M8+P8)</f>
        <v/>
      </c>
      <c r="U8" s="7">
        <f>IF($W8="","",T8-R8-J8)</f>
        <v/>
      </c>
      <c r="V8" s="12" t="n"/>
      <c r="W8" s="13">
        <f>IF(ROWS($W$2:$W8)&lt;=MAX('Per Line'!$AC$2:$AC$501),MATCH(ROWS($W$2:$W8),'Per Line'!$AC$2:$AC$501,0),"")</f>
        <v/>
      </c>
    </row>
    <row r="9">
      <c r="A9" s="12" t="n"/>
      <c r="B9">
        <f>IF($W9="","",INDEX('Per Line'!$C$2:$C$501,$W9)&amp;"")</f>
        <v/>
      </c>
      <c r="C9">
        <f>IF($W9="","",INDEX('Per Line'!$A$2:$A$501,$W9)&amp;"")</f>
        <v/>
      </c>
      <c r="D9">
        <f>IF($W9="","",INDEX('Per Line'!$E$2:$E$501,$W9)&amp;"")</f>
        <v/>
      </c>
      <c r="E9">
        <f>IF($W9="","",INDEX('Per Line'!$H$2:$H$501,$W9)&amp;"")</f>
        <v/>
      </c>
      <c r="F9">
        <f>IF($W9="","",INDEX('Per Line'!$K$2:$K$501,$W9)&amp;"")</f>
        <v/>
      </c>
      <c r="G9">
        <f>IF($W9="","",INDEX('Per Line'!$L$2:$L$501,$W9)&amp;"")</f>
        <v/>
      </c>
      <c r="H9" s="12" t="n"/>
      <c r="I9">
        <f>IF($W9="","",INDEX('Per Line'!$M$2:$M$501,$W9))</f>
        <v/>
      </c>
      <c r="J9" s="7">
        <f>IF($W9="","",I9*T9/100)</f>
        <v/>
      </c>
      <c r="K9" s="11">
        <f>IF($W9="","",INDEX('Per Line'!$O$2:$O$501,$W9))</f>
        <v/>
      </c>
      <c r="L9">
        <f>IF($W9="","",Settings!$C$7)</f>
        <v/>
      </c>
      <c r="M9" s="7">
        <f>IF($W9="","",SUMIFS('Per Line'!$Y$2:$Y$501,'Per Line'!$C$2:$C$501,$B9,'Per Line'!$AD$2:$AD$501,0))</f>
        <v/>
      </c>
      <c r="N9" s="7">
        <f>IF($W9="","",M9*L9)</f>
        <v/>
      </c>
      <c r="O9">
        <f>IF($W9="","",Settings!$C$6)</f>
        <v/>
      </c>
      <c r="P9" s="7">
        <f>IF($W9="","",SUMIFS('Per Line'!$Y$2:$Y$501,'Per Line'!$C$2:$C$501,$B9,'Per Line'!$AD$2:$AD$501,1))</f>
        <v/>
      </c>
      <c r="Q9" s="7">
        <f>IF($W9="","",P9*O9)</f>
        <v/>
      </c>
      <c r="R9" s="7">
        <f>IF($W9="","",Q9+N9)</f>
        <v/>
      </c>
      <c r="S9" s="7">
        <f>IF($W9="","",T9-R9)</f>
        <v/>
      </c>
      <c r="T9" s="7">
        <f>IF($W9="","",M9+P9)</f>
        <v/>
      </c>
      <c r="U9" s="7">
        <f>IF($W9="","",T9-R9-J9)</f>
        <v/>
      </c>
      <c r="V9" s="12" t="n"/>
      <c r="W9" s="13">
        <f>IF(ROWS($W$2:$W9)&lt;=MAX('Per Line'!$AC$2:$AC$501),MATCH(ROWS($W$2:$W9),'Per Line'!$AC$2:$AC$501,0),"")</f>
        <v/>
      </c>
    </row>
    <row r="10">
      <c r="A10" s="12" t="n"/>
      <c r="B10">
        <f>IF($W10="","",INDEX('Per Line'!$C$2:$C$501,$W10)&amp;"")</f>
        <v/>
      </c>
      <c r="C10">
        <f>IF($W10="","",INDEX('Per Line'!$A$2:$A$501,$W10)&amp;"")</f>
        <v/>
      </c>
      <c r="D10">
        <f>IF($W10="","",INDEX('Per Line'!$E$2:$E$501,$W10)&amp;"")</f>
        <v/>
      </c>
      <c r="E10">
        <f>IF($W10="","",INDEX('Per Line'!$H$2:$H$501,$W10)&amp;"")</f>
        <v/>
      </c>
      <c r="F10">
        <f>IF($W10="","",INDEX('Per Line'!$K$2:$K$501,$W10)&amp;"")</f>
        <v/>
      </c>
      <c r="G10">
        <f>IF($W10="","",INDEX('Per Line'!$L$2:$L$501,$W10)&amp;"")</f>
        <v/>
      </c>
      <c r="H10" s="12" t="n"/>
      <c r="I10">
        <f>IF($W10="","",INDEX('Per Line'!$M$2:$M$501,$W10))</f>
        <v/>
      </c>
      <c r="J10" s="7">
        <f>IF($W10="","",I10*T10/100)</f>
        <v/>
      </c>
      <c r="K10" s="11">
        <f>IF($W10="","",INDEX('Per Line'!$O$2:$O$501,$W10))</f>
        <v/>
      </c>
      <c r="L10">
        <f>IF($W10="","",Settings!$C$7)</f>
        <v/>
      </c>
      <c r="M10" s="7">
        <f>IF($W10="","",SUMIFS('Per Line'!$Y$2:$Y$501,'Per Line'!$C$2:$C$501,$B10,'Per Line'!$AD$2:$AD$501,0))</f>
        <v/>
      </c>
      <c r="N10" s="7">
        <f>IF($W10="","",M10*L10)</f>
        <v/>
      </c>
      <c r="O10">
        <f>IF($W10="","",Settings!$C$6)</f>
        <v/>
      </c>
      <c r="P10" s="7">
        <f>IF($W10="","",SUMIFS('Per Line'!$Y$2:$Y$501,'Per Line'!$C$2:$C$501,$B10,'Per Line'!$AD$2:$AD$501,1))</f>
        <v/>
      </c>
      <c r="Q10" s="7">
        <f>IF($W10="","",P10*O10)</f>
        <v/>
      </c>
      <c r="R10" s="7">
        <f>IF($W10="","",Q10+N10)</f>
        <v/>
      </c>
      <c r="S10" s="7">
        <f>IF($W10="","",T10-R10)</f>
        <v/>
      </c>
      <c r="T10" s="7">
        <f>IF($W10="","",M10+P10)</f>
        <v/>
      </c>
      <c r="U10" s="7">
        <f>IF($W10="","",T10-R10-J10)</f>
        <v/>
      </c>
      <c r="V10" s="12" t="n"/>
      <c r="W10" s="13">
        <f>IF(ROWS($W$2:$W10)&lt;=MAX('Per Line'!$AC$2:$AC$501),MATCH(ROWS($W$2:$W10),'Per Line'!$AC$2:$AC$501,0),"")</f>
        <v/>
      </c>
    </row>
    <row r="11">
      <c r="A11" s="12" t="n"/>
      <c r="B11">
        <f>IF($W11="","",INDEX('Per Line'!$C$2:$C$501,$W11)&amp;"")</f>
        <v/>
      </c>
      <c r="C11">
        <f>IF($W11="","",INDEX('Per Line'!$A$2:$A$501,$W11)&amp;"")</f>
        <v/>
      </c>
      <c r="D11">
        <f>IF($W11="","",INDEX('Per Line'!$E$2:$E$501,$W11)&amp;"")</f>
        <v/>
      </c>
      <c r="E11">
        <f>IF($W11="","",INDEX('Per Line'!$H$2:$H$501,$W11)&amp;"")</f>
        <v/>
      </c>
      <c r="F11">
        <f>IF($W11="","",INDEX('Per Line'!$K$2:$K$501,$W11)&amp;"")</f>
        <v/>
      </c>
      <c r="G11">
        <f>IF($W11="","",INDEX('Per Line'!$L$2:$L$501,$W11)&amp;"")</f>
        <v/>
      </c>
      <c r="H11" s="12" t="n"/>
      <c r="I11">
        <f>IF($W11="","",INDEX('Per Line'!$M$2:$M$501,$W11))</f>
        <v/>
      </c>
      <c r="J11" s="7">
        <f>IF($W11="","",I11*T11/100)</f>
        <v/>
      </c>
      <c r="K11" s="11">
        <f>IF($W11="","",INDEX('Per Line'!$O$2:$O$501,$W11))</f>
        <v/>
      </c>
      <c r="L11">
        <f>IF($W11="","",Settings!$C$7)</f>
        <v/>
      </c>
      <c r="M11" s="7">
        <f>IF($W11="","",SUMIFS('Per Line'!$Y$2:$Y$501,'Per Line'!$C$2:$C$501,$B11,'Per Line'!$AD$2:$AD$501,0))</f>
        <v/>
      </c>
      <c r="N11" s="7">
        <f>IF($W11="","",M11*L11)</f>
        <v/>
      </c>
      <c r="O11">
        <f>IF($W11="","",Settings!$C$6)</f>
        <v/>
      </c>
      <c r="P11" s="7">
        <f>IF($W11="","",SUMIFS('Per Line'!$Y$2:$Y$501,'Per Line'!$C$2:$C$501,$B11,'Per Line'!$AD$2:$AD$501,1))</f>
        <v/>
      </c>
      <c r="Q11" s="7">
        <f>IF($W11="","",P11*O11)</f>
        <v/>
      </c>
      <c r="R11" s="7">
        <f>IF($W11="","",Q11+N11)</f>
        <v/>
      </c>
      <c r="S11" s="7">
        <f>IF($W11="","",T11-R11)</f>
        <v/>
      </c>
      <c r="T11" s="7">
        <f>IF($W11="","",M11+P11)</f>
        <v/>
      </c>
      <c r="U11" s="7">
        <f>IF($W11="","",T11-R11-J11)</f>
        <v/>
      </c>
      <c r="V11" s="12" t="n"/>
      <c r="W11" s="13">
        <f>IF(ROWS($W$2:$W11)&lt;=MAX('Per Line'!$AC$2:$AC$501),MATCH(ROWS($W$2:$W11),'Per Line'!$AC$2:$AC$501,0),"")</f>
        <v/>
      </c>
    </row>
    <row r="12">
      <c r="A12" s="12" t="n"/>
      <c r="B12">
        <f>IF($W12="","",INDEX('Per Line'!$C$2:$C$501,$W12)&amp;"")</f>
        <v/>
      </c>
      <c r="C12">
        <f>IF($W12="","",INDEX('Per Line'!$A$2:$A$501,$W12)&amp;"")</f>
        <v/>
      </c>
      <c r="D12">
        <f>IF($W12="","",INDEX('Per Line'!$E$2:$E$501,$W12)&amp;"")</f>
        <v/>
      </c>
      <c r="E12">
        <f>IF($W12="","",INDEX('Per Line'!$H$2:$H$501,$W12)&amp;"")</f>
        <v/>
      </c>
      <c r="F12">
        <f>IF($W12="","",INDEX('Per Line'!$K$2:$K$501,$W12)&amp;"")</f>
        <v/>
      </c>
      <c r="G12">
        <f>IF($W12="","",INDEX('Per Line'!$L$2:$L$501,$W12)&amp;"")</f>
        <v/>
      </c>
      <c r="H12" s="12" t="n"/>
      <c r="I12">
        <f>IF($W12="","",INDEX('Per Line'!$M$2:$M$501,$W12))</f>
        <v/>
      </c>
      <c r="J12" s="7">
        <f>IF($W12="","",I12*T12/100)</f>
        <v/>
      </c>
      <c r="K12" s="11">
        <f>IF($W12="","",INDEX('Per Line'!$O$2:$O$501,$W12))</f>
        <v/>
      </c>
      <c r="L12">
        <f>IF($W12="","",Settings!$C$7)</f>
        <v/>
      </c>
      <c r="M12" s="7">
        <f>IF($W12="","",SUMIFS('Per Line'!$Y$2:$Y$501,'Per Line'!$C$2:$C$501,$B12,'Per Line'!$AD$2:$AD$501,0))</f>
        <v/>
      </c>
      <c r="N12" s="7">
        <f>IF($W12="","",M12*L12)</f>
        <v/>
      </c>
      <c r="O12">
        <f>IF($W12="","",Settings!$C$6)</f>
        <v/>
      </c>
      <c r="P12" s="7">
        <f>IF($W12="","",SUMIFS('Per Line'!$Y$2:$Y$501,'Per Line'!$C$2:$C$501,$B12,'Per Line'!$AD$2:$AD$501,1))</f>
        <v/>
      </c>
      <c r="Q12" s="7">
        <f>IF($W12="","",P12*O12)</f>
        <v/>
      </c>
      <c r="R12" s="7">
        <f>IF($W12="","",Q12+N12)</f>
        <v/>
      </c>
      <c r="S12" s="7">
        <f>IF($W12="","",T12-R12)</f>
        <v/>
      </c>
      <c r="T12" s="7">
        <f>IF($W12="","",M12+P12)</f>
        <v/>
      </c>
      <c r="U12" s="7">
        <f>IF($W12="","",T12-R12-J12)</f>
        <v/>
      </c>
      <c r="V12" s="12" t="n"/>
      <c r="W12" s="13">
        <f>IF(ROWS($W$2:$W12)&lt;=MAX('Per Line'!$AC$2:$AC$501),MATCH(ROWS($W$2:$W12),'Per Line'!$AC$2:$AC$501,0),"")</f>
        <v/>
      </c>
    </row>
    <row r="13">
      <c r="A13" s="12" t="n"/>
      <c r="B13">
        <f>IF($W13="","",INDEX('Per Line'!$C$2:$C$501,$W13)&amp;"")</f>
        <v/>
      </c>
      <c r="C13">
        <f>IF($W13="","",INDEX('Per Line'!$A$2:$A$501,$W13)&amp;"")</f>
        <v/>
      </c>
      <c r="D13">
        <f>IF($W13="","",INDEX('Per Line'!$E$2:$E$501,$W13)&amp;"")</f>
        <v/>
      </c>
      <c r="E13">
        <f>IF($W13="","",INDEX('Per Line'!$H$2:$H$501,$W13)&amp;"")</f>
        <v/>
      </c>
      <c r="F13">
        <f>IF($W13="","",INDEX('Per Line'!$K$2:$K$501,$W13)&amp;"")</f>
        <v/>
      </c>
      <c r="G13">
        <f>IF($W13="","",INDEX('Per Line'!$L$2:$L$501,$W13)&amp;"")</f>
        <v/>
      </c>
      <c r="H13" s="12" t="n"/>
      <c r="I13">
        <f>IF($W13="","",INDEX('Per Line'!$M$2:$M$501,$W13))</f>
        <v/>
      </c>
      <c r="J13" s="7">
        <f>IF($W13="","",I13*T13/100)</f>
        <v/>
      </c>
      <c r="K13" s="11">
        <f>IF($W13="","",INDEX('Per Line'!$O$2:$O$501,$W13))</f>
        <v/>
      </c>
      <c r="L13">
        <f>IF($W13="","",Settings!$C$7)</f>
        <v/>
      </c>
      <c r="M13" s="7">
        <f>IF($W13="","",SUMIFS('Per Line'!$Y$2:$Y$501,'Per Line'!$C$2:$C$501,$B13,'Per Line'!$AD$2:$AD$501,0))</f>
        <v/>
      </c>
      <c r="N13" s="7">
        <f>IF($W13="","",M13*L13)</f>
        <v/>
      </c>
      <c r="O13">
        <f>IF($W13="","",Settings!$C$6)</f>
        <v/>
      </c>
      <c r="P13" s="7">
        <f>IF($W13="","",SUMIFS('Per Line'!$Y$2:$Y$501,'Per Line'!$C$2:$C$501,$B13,'Per Line'!$AD$2:$AD$501,1))</f>
        <v/>
      </c>
      <c r="Q13" s="7">
        <f>IF($W13="","",P13*O13)</f>
        <v/>
      </c>
      <c r="R13" s="7">
        <f>IF($W13="","",Q13+N13)</f>
        <v/>
      </c>
      <c r="S13" s="7">
        <f>IF($W13="","",T13-R13)</f>
        <v/>
      </c>
      <c r="T13" s="7">
        <f>IF($W13="","",M13+P13)</f>
        <v/>
      </c>
      <c r="U13" s="7">
        <f>IF($W13="","",T13-R13-J13)</f>
        <v/>
      </c>
      <c r="V13" s="12" t="n"/>
      <c r="W13" s="13">
        <f>IF(ROWS($W$2:$W13)&lt;=MAX('Per Line'!$AC$2:$AC$501),MATCH(ROWS($W$2:$W13),'Per Line'!$AC$2:$AC$501,0),"")</f>
        <v/>
      </c>
    </row>
    <row r="14">
      <c r="A14" s="12" t="n"/>
      <c r="B14">
        <f>IF($W14="","",INDEX('Per Line'!$C$2:$C$501,$W14)&amp;"")</f>
        <v/>
      </c>
      <c r="C14">
        <f>IF($W14="","",INDEX('Per Line'!$A$2:$A$501,$W14)&amp;"")</f>
        <v/>
      </c>
      <c r="D14">
        <f>IF($W14="","",INDEX('Per Line'!$E$2:$E$501,$W14)&amp;"")</f>
        <v/>
      </c>
      <c r="E14">
        <f>IF($W14="","",INDEX('Per Line'!$H$2:$H$501,$W14)&amp;"")</f>
        <v/>
      </c>
      <c r="F14">
        <f>IF($W14="","",INDEX('Per Line'!$K$2:$K$501,$W14)&amp;"")</f>
        <v/>
      </c>
      <c r="G14">
        <f>IF($W14="","",INDEX('Per Line'!$L$2:$L$501,$W14)&amp;"")</f>
        <v/>
      </c>
      <c r="H14" s="12" t="n"/>
      <c r="I14">
        <f>IF($W14="","",INDEX('Per Line'!$M$2:$M$501,$W14))</f>
        <v/>
      </c>
      <c r="J14" s="7">
        <f>IF($W14="","",I14*T14/100)</f>
        <v/>
      </c>
      <c r="K14" s="11">
        <f>IF($W14="","",INDEX('Per Line'!$O$2:$O$501,$W14))</f>
        <v/>
      </c>
      <c r="L14">
        <f>IF($W14="","",Settings!$C$7)</f>
        <v/>
      </c>
      <c r="M14" s="7">
        <f>IF($W14="","",SUMIFS('Per Line'!$Y$2:$Y$501,'Per Line'!$C$2:$C$501,$B14,'Per Line'!$AD$2:$AD$501,0))</f>
        <v/>
      </c>
      <c r="N14" s="7">
        <f>IF($W14="","",M14*L14)</f>
        <v/>
      </c>
      <c r="O14">
        <f>IF($W14="","",Settings!$C$6)</f>
        <v/>
      </c>
      <c r="P14" s="7">
        <f>IF($W14="","",SUMIFS('Per Line'!$Y$2:$Y$501,'Per Line'!$C$2:$C$501,$B14,'Per Line'!$AD$2:$AD$501,1))</f>
        <v/>
      </c>
      <c r="Q14" s="7">
        <f>IF($W14="","",P14*O14)</f>
        <v/>
      </c>
      <c r="R14" s="7">
        <f>IF($W14="","",Q14+N14)</f>
        <v/>
      </c>
      <c r="S14" s="7">
        <f>IF($W14="","",T14-R14)</f>
        <v/>
      </c>
      <c r="T14" s="7">
        <f>IF($W14="","",M14+P14)</f>
        <v/>
      </c>
      <c r="U14" s="7">
        <f>IF($W14="","",T14-R14-J14)</f>
        <v/>
      </c>
      <c r="V14" s="12" t="n"/>
      <c r="W14" s="13">
        <f>IF(ROWS($W$2:$W14)&lt;=MAX('Per Line'!$AC$2:$AC$501),MATCH(ROWS($W$2:$W14),'Per Line'!$AC$2:$AC$501,0),"")</f>
        <v/>
      </c>
    </row>
    <row r="15">
      <c r="A15" s="12" t="n"/>
      <c r="B15">
        <f>IF($W15="","",INDEX('Per Line'!$C$2:$C$501,$W15)&amp;"")</f>
        <v/>
      </c>
      <c r="C15">
        <f>IF($W15="","",INDEX('Per Line'!$A$2:$A$501,$W15)&amp;"")</f>
        <v/>
      </c>
      <c r="D15">
        <f>IF($W15="","",INDEX('Per Line'!$E$2:$E$501,$W15)&amp;"")</f>
        <v/>
      </c>
      <c r="E15">
        <f>IF($W15="","",INDEX('Per Line'!$H$2:$H$501,$W15)&amp;"")</f>
        <v/>
      </c>
      <c r="F15">
        <f>IF($W15="","",INDEX('Per Line'!$K$2:$K$501,$W15)&amp;"")</f>
        <v/>
      </c>
      <c r="G15">
        <f>IF($W15="","",INDEX('Per Line'!$L$2:$L$501,$W15)&amp;"")</f>
        <v/>
      </c>
      <c r="H15" s="12" t="n"/>
      <c r="I15">
        <f>IF($W15="","",INDEX('Per Line'!$M$2:$M$501,$W15))</f>
        <v/>
      </c>
      <c r="J15" s="7">
        <f>IF($W15="","",I15*T15/100)</f>
        <v/>
      </c>
      <c r="K15" s="11">
        <f>IF($W15="","",INDEX('Per Line'!$O$2:$O$501,$W15))</f>
        <v/>
      </c>
      <c r="L15">
        <f>IF($W15="","",Settings!$C$7)</f>
        <v/>
      </c>
      <c r="M15" s="7">
        <f>IF($W15="","",SUMIFS('Per Line'!$Y$2:$Y$501,'Per Line'!$C$2:$C$501,$B15,'Per Line'!$AD$2:$AD$501,0))</f>
        <v/>
      </c>
      <c r="N15" s="7">
        <f>IF($W15="","",M15*L15)</f>
        <v/>
      </c>
      <c r="O15">
        <f>IF($W15="","",Settings!$C$6)</f>
        <v/>
      </c>
      <c r="P15" s="7">
        <f>IF($W15="","",SUMIFS('Per Line'!$Y$2:$Y$501,'Per Line'!$C$2:$C$501,$B15,'Per Line'!$AD$2:$AD$501,1))</f>
        <v/>
      </c>
      <c r="Q15" s="7">
        <f>IF($W15="","",P15*O15)</f>
        <v/>
      </c>
      <c r="R15" s="7">
        <f>IF($W15="","",Q15+N15)</f>
        <v/>
      </c>
      <c r="S15" s="7">
        <f>IF($W15="","",T15-R15)</f>
        <v/>
      </c>
      <c r="T15" s="7">
        <f>IF($W15="","",M15+P15)</f>
        <v/>
      </c>
      <c r="U15" s="7">
        <f>IF($W15="","",T15-R15-J15)</f>
        <v/>
      </c>
      <c r="V15" s="12" t="n"/>
      <c r="W15" s="13">
        <f>IF(ROWS($W$2:$W15)&lt;=MAX('Per Line'!$AC$2:$AC$501),MATCH(ROWS($W$2:$W15),'Per Line'!$AC$2:$AC$501,0),"")</f>
        <v/>
      </c>
    </row>
    <row r="16">
      <c r="A16" s="12" t="n"/>
      <c r="B16">
        <f>IF($W16="","",INDEX('Per Line'!$C$2:$C$501,$W16)&amp;"")</f>
        <v/>
      </c>
      <c r="C16">
        <f>IF($W16="","",INDEX('Per Line'!$A$2:$A$501,$W16)&amp;"")</f>
        <v/>
      </c>
      <c r="D16">
        <f>IF($W16="","",INDEX('Per Line'!$E$2:$E$501,$W16)&amp;"")</f>
        <v/>
      </c>
      <c r="E16">
        <f>IF($W16="","",INDEX('Per Line'!$H$2:$H$501,$W16)&amp;"")</f>
        <v/>
      </c>
      <c r="F16">
        <f>IF($W16="","",INDEX('Per Line'!$K$2:$K$501,$W16)&amp;"")</f>
        <v/>
      </c>
      <c r="G16">
        <f>IF($W16="","",INDEX('Per Line'!$L$2:$L$501,$W16)&amp;"")</f>
        <v/>
      </c>
      <c r="H16" s="12" t="n"/>
      <c r="I16">
        <f>IF($W16="","",INDEX('Per Line'!$M$2:$M$501,$W16))</f>
        <v/>
      </c>
      <c r="J16" s="7">
        <f>IF($W16="","",I16*T16/100)</f>
        <v/>
      </c>
      <c r="K16" s="11">
        <f>IF($W16="","",INDEX('Per Line'!$O$2:$O$501,$W16))</f>
        <v/>
      </c>
      <c r="L16">
        <f>IF($W16="","",Settings!$C$7)</f>
        <v/>
      </c>
      <c r="M16" s="7">
        <f>IF($W16="","",SUMIFS('Per Line'!$Y$2:$Y$501,'Per Line'!$C$2:$C$501,$B16,'Per Line'!$AD$2:$AD$501,0))</f>
        <v/>
      </c>
      <c r="N16" s="7">
        <f>IF($W16="","",M16*L16)</f>
        <v/>
      </c>
      <c r="O16">
        <f>IF($W16="","",Settings!$C$6)</f>
        <v/>
      </c>
      <c r="P16" s="7">
        <f>IF($W16="","",SUMIFS('Per Line'!$Y$2:$Y$501,'Per Line'!$C$2:$C$501,$B16,'Per Line'!$AD$2:$AD$501,1))</f>
        <v/>
      </c>
      <c r="Q16" s="7">
        <f>IF($W16="","",P16*O16)</f>
        <v/>
      </c>
      <c r="R16" s="7">
        <f>IF($W16="","",Q16+N16)</f>
        <v/>
      </c>
      <c r="S16" s="7">
        <f>IF($W16="","",T16-R16)</f>
        <v/>
      </c>
      <c r="T16" s="7">
        <f>IF($W16="","",M16+P16)</f>
        <v/>
      </c>
      <c r="U16" s="7">
        <f>IF($W16="","",T16-R16-J16)</f>
        <v/>
      </c>
      <c r="V16" s="12" t="n"/>
      <c r="W16" s="13">
        <f>IF(ROWS($W$2:$W16)&lt;=MAX('Per Line'!$AC$2:$AC$501),MATCH(ROWS($W$2:$W16),'Per Line'!$AC$2:$AC$501,0),"")</f>
        <v/>
      </c>
    </row>
    <row r="17">
      <c r="A17" s="12" t="n"/>
      <c r="B17">
        <f>IF($W17="","",INDEX('Per Line'!$C$2:$C$501,$W17)&amp;"")</f>
        <v/>
      </c>
      <c r="C17">
        <f>IF($W17="","",INDEX('Per Line'!$A$2:$A$501,$W17)&amp;"")</f>
        <v/>
      </c>
      <c r="D17">
        <f>IF($W17="","",INDEX('Per Line'!$E$2:$E$501,$W17)&amp;"")</f>
        <v/>
      </c>
      <c r="E17">
        <f>IF($W17="","",INDEX('Per Line'!$H$2:$H$501,$W17)&amp;"")</f>
        <v/>
      </c>
      <c r="F17">
        <f>IF($W17="","",INDEX('Per Line'!$K$2:$K$501,$W17)&amp;"")</f>
        <v/>
      </c>
      <c r="G17">
        <f>IF($W17="","",INDEX('Per Line'!$L$2:$L$501,$W17)&amp;"")</f>
        <v/>
      </c>
      <c r="H17" s="12" t="n"/>
      <c r="I17">
        <f>IF($W17="","",INDEX('Per Line'!$M$2:$M$501,$W17))</f>
        <v/>
      </c>
      <c r="J17" s="7">
        <f>IF($W17="","",I17*T17/100)</f>
        <v/>
      </c>
      <c r="K17" s="11">
        <f>IF($W17="","",INDEX('Per Line'!$O$2:$O$501,$W17))</f>
        <v/>
      </c>
      <c r="L17">
        <f>IF($W17="","",Settings!$C$7)</f>
        <v/>
      </c>
      <c r="M17" s="7">
        <f>IF($W17="","",SUMIFS('Per Line'!$Y$2:$Y$501,'Per Line'!$C$2:$C$501,$B17,'Per Line'!$AD$2:$AD$501,0))</f>
        <v/>
      </c>
      <c r="N17" s="7">
        <f>IF($W17="","",M17*L17)</f>
        <v/>
      </c>
      <c r="O17">
        <f>IF($W17="","",Settings!$C$6)</f>
        <v/>
      </c>
      <c r="P17" s="7">
        <f>IF($W17="","",SUMIFS('Per Line'!$Y$2:$Y$501,'Per Line'!$C$2:$C$501,$B17,'Per Line'!$AD$2:$AD$501,1))</f>
        <v/>
      </c>
      <c r="Q17" s="7">
        <f>IF($W17="","",P17*O17)</f>
        <v/>
      </c>
      <c r="R17" s="7">
        <f>IF($W17="","",Q17+N17)</f>
        <v/>
      </c>
      <c r="S17" s="7">
        <f>IF($W17="","",T17-R17)</f>
        <v/>
      </c>
      <c r="T17" s="7">
        <f>IF($W17="","",M17+P17)</f>
        <v/>
      </c>
      <c r="U17" s="7">
        <f>IF($W17="","",T17-R17-J17)</f>
        <v/>
      </c>
      <c r="V17" s="12" t="n"/>
      <c r="W17" s="13">
        <f>IF(ROWS($W$2:$W17)&lt;=MAX('Per Line'!$AC$2:$AC$501),MATCH(ROWS($W$2:$W17),'Per Line'!$AC$2:$AC$501,0),"")</f>
        <v/>
      </c>
    </row>
    <row r="18">
      <c r="A18" s="12" t="n"/>
      <c r="B18">
        <f>IF($W18="","",INDEX('Per Line'!$C$2:$C$501,$W18)&amp;"")</f>
        <v/>
      </c>
      <c r="C18">
        <f>IF($W18="","",INDEX('Per Line'!$A$2:$A$501,$W18)&amp;"")</f>
        <v/>
      </c>
      <c r="D18">
        <f>IF($W18="","",INDEX('Per Line'!$E$2:$E$501,$W18)&amp;"")</f>
        <v/>
      </c>
      <c r="E18">
        <f>IF($W18="","",INDEX('Per Line'!$H$2:$H$501,$W18)&amp;"")</f>
        <v/>
      </c>
      <c r="F18">
        <f>IF($W18="","",INDEX('Per Line'!$K$2:$K$501,$W18)&amp;"")</f>
        <v/>
      </c>
      <c r="G18">
        <f>IF($W18="","",INDEX('Per Line'!$L$2:$L$501,$W18)&amp;"")</f>
        <v/>
      </c>
      <c r="H18" s="12" t="n"/>
      <c r="I18">
        <f>IF($W18="","",INDEX('Per Line'!$M$2:$M$501,$W18))</f>
        <v/>
      </c>
      <c r="J18" s="7">
        <f>IF($W18="","",I18*T18/100)</f>
        <v/>
      </c>
      <c r="K18" s="11">
        <f>IF($W18="","",INDEX('Per Line'!$O$2:$O$501,$W18))</f>
        <v/>
      </c>
      <c r="L18">
        <f>IF($W18="","",Settings!$C$7)</f>
        <v/>
      </c>
      <c r="M18" s="7">
        <f>IF($W18="","",SUMIFS('Per Line'!$Y$2:$Y$501,'Per Line'!$C$2:$C$501,$B18,'Per Line'!$AD$2:$AD$501,0))</f>
        <v/>
      </c>
      <c r="N18" s="7">
        <f>IF($W18="","",M18*L18)</f>
        <v/>
      </c>
      <c r="O18">
        <f>IF($W18="","",Settings!$C$6)</f>
        <v/>
      </c>
      <c r="P18" s="7">
        <f>IF($W18="","",SUMIFS('Per Line'!$Y$2:$Y$501,'Per Line'!$C$2:$C$501,$B18,'Per Line'!$AD$2:$AD$501,1))</f>
        <v/>
      </c>
      <c r="Q18" s="7">
        <f>IF($W18="","",P18*O18)</f>
        <v/>
      </c>
      <c r="R18" s="7">
        <f>IF($W18="","",Q18+N18)</f>
        <v/>
      </c>
      <c r="S18" s="7">
        <f>IF($W18="","",T18-R18)</f>
        <v/>
      </c>
      <c r="T18" s="7">
        <f>IF($W18="","",M18+P18)</f>
        <v/>
      </c>
      <c r="U18" s="7">
        <f>IF($W18="","",T18-R18-J18)</f>
        <v/>
      </c>
      <c r="V18" s="12" t="n"/>
      <c r="W18" s="13">
        <f>IF(ROWS($W$2:$W18)&lt;=MAX('Per Line'!$AC$2:$AC$501),MATCH(ROWS($W$2:$W18),'Per Line'!$AC$2:$AC$501,0),"")</f>
        <v/>
      </c>
    </row>
    <row r="19">
      <c r="A19" s="12" t="n"/>
      <c r="B19">
        <f>IF($W19="","",INDEX('Per Line'!$C$2:$C$501,$W19)&amp;"")</f>
        <v/>
      </c>
      <c r="C19">
        <f>IF($W19="","",INDEX('Per Line'!$A$2:$A$501,$W19)&amp;"")</f>
        <v/>
      </c>
      <c r="D19">
        <f>IF($W19="","",INDEX('Per Line'!$E$2:$E$501,$W19)&amp;"")</f>
        <v/>
      </c>
      <c r="E19">
        <f>IF($W19="","",INDEX('Per Line'!$H$2:$H$501,$W19)&amp;"")</f>
        <v/>
      </c>
      <c r="F19">
        <f>IF($W19="","",INDEX('Per Line'!$K$2:$K$501,$W19)&amp;"")</f>
        <v/>
      </c>
      <c r="G19">
        <f>IF($W19="","",INDEX('Per Line'!$L$2:$L$501,$W19)&amp;"")</f>
        <v/>
      </c>
      <c r="H19" s="12" t="n"/>
      <c r="I19">
        <f>IF($W19="","",INDEX('Per Line'!$M$2:$M$501,$W19))</f>
        <v/>
      </c>
      <c r="J19" s="7">
        <f>IF($W19="","",I19*T19/100)</f>
        <v/>
      </c>
      <c r="K19" s="11">
        <f>IF($W19="","",INDEX('Per Line'!$O$2:$O$501,$W19))</f>
        <v/>
      </c>
      <c r="L19">
        <f>IF($W19="","",Settings!$C$7)</f>
        <v/>
      </c>
      <c r="M19" s="7">
        <f>IF($W19="","",SUMIFS('Per Line'!$Y$2:$Y$501,'Per Line'!$C$2:$C$501,$B19,'Per Line'!$AD$2:$AD$501,0))</f>
        <v/>
      </c>
      <c r="N19" s="7">
        <f>IF($W19="","",M19*L19)</f>
        <v/>
      </c>
      <c r="O19">
        <f>IF($W19="","",Settings!$C$6)</f>
        <v/>
      </c>
      <c r="P19" s="7">
        <f>IF($W19="","",SUMIFS('Per Line'!$Y$2:$Y$501,'Per Line'!$C$2:$C$501,$B19,'Per Line'!$AD$2:$AD$501,1))</f>
        <v/>
      </c>
      <c r="Q19" s="7">
        <f>IF($W19="","",P19*O19)</f>
        <v/>
      </c>
      <c r="R19" s="7">
        <f>IF($W19="","",Q19+N19)</f>
        <v/>
      </c>
      <c r="S19" s="7">
        <f>IF($W19="","",T19-R19)</f>
        <v/>
      </c>
      <c r="T19" s="7">
        <f>IF($W19="","",M19+P19)</f>
        <v/>
      </c>
      <c r="U19" s="7">
        <f>IF($W19="","",T19-R19-J19)</f>
        <v/>
      </c>
      <c r="V19" s="12" t="n"/>
      <c r="W19" s="13">
        <f>IF(ROWS($W$2:$W19)&lt;=MAX('Per Line'!$AC$2:$AC$501),MATCH(ROWS($W$2:$W19),'Per Line'!$AC$2:$AC$501,0),"")</f>
        <v/>
      </c>
    </row>
    <row r="20">
      <c r="A20" s="12" t="n"/>
      <c r="B20">
        <f>IF($W20="","",INDEX('Per Line'!$C$2:$C$501,$W20)&amp;"")</f>
        <v/>
      </c>
      <c r="C20">
        <f>IF($W20="","",INDEX('Per Line'!$A$2:$A$501,$W20)&amp;"")</f>
        <v/>
      </c>
      <c r="D20">
        <f>IF($W20="","",INDEX('Per Line'!$E$2:$E$501,$W20)&amp;"")</f>
        <v/>
      </c>
      <c r="E20">
        <f>IF($W20="","",INDEX('Per Line'!$H$2:$H$501,$W20)&amp;"")</f>
        <v/>
      </c>
      <c r="F20">
        <f>IF($W20="","",INDEX('Per Line'!$K$2:$K$501,$W20)&amp;"")</f>
        <v/>
      </c>
      <c r="G20">
        <f>IF($W20="","",INDEX('Per Line'!$L$2:$L$501,$W20)&amp;"")</f>
        <v/>
      </c>
      <c r="H20" s="12" t="n"/>
      <c r="I20">
        <f>IF($W20="","",INDEX('Per Line'!$M$2:$M$501,$W20))</f>
        <v/>
      </c>
      <c r="J20" s="7">
        <f>IF($W20="","",I20*T20/100)</f>
        <v/>
      </c>
      <c r="K20" s="11">
        <f>IF($W20="","",INDEX('Per Line'!$O$2:$O$501,$W20))</f>
        <v/>
      </c>
      <c r="L20">
        <f>IF($W20="","",Settings!$C$7)</f>
        <v/>
      </c>
      <c r="M20" s="7">
        <f>IF($W20="","",SUMIFS('Per Line'!$Y$2:$Y$501,'Per Line'!$C$2:$C$501,$B20,'Per Line'!$AD$2:$AD$501,0))</f>
        <v/>
      </c>
      <c r="N20" s="7">
        <f>IF($W20="","",M20*L20)</f>
        <v/>
      </c>
      <c r="O20">
        <f>IF($W20="","",Settings!$C$6)</f>
        <v/>
      </c>
      <c r="P20" s="7">
        <f>IF($W20="","",SUMIFS('Per Line'!$Y$2:$Y$501,'Per Line'!$C$2:$C$501,$B20,'Per Line'!$AD$2:$AD$501,1))</f>
        <v/>
      </c>
      <c r="Q20" s="7">
        <f>IF($W20="","",P20*O20)</f>
        <v/>
      </c>
      <c r="R20" s="7">
        <f>IF($W20="","",Q20+N20)</f>
        <v/>
      </c>
      <c r="S20" s="7">
        <f>IF($W20="","",T20-R20)</f>
        <v/>
      </c>
      <c r="T20" s="7">
        <f>IF($W20="","",M20+P20)</f>
        <v/>
      </c>
      <c r="U20" s="7">
        <f>IF($W20="","",T20-R20-J20)</f>
        <v/>
      </c>
      <c r="V20" s="12" t="n"/>
      <c r="W20" s="13">
        <f>IF(ROWS($W$2:$W20)&lt;=MAX('Per Line'!$AC$2:$AC$501),MATCH(ROWS($W$2:$W20),'Per Line'!$AC$2:$AC$501,0),"")</f>
        <v/>
      </c>
    </row>
    <row r="21">
      <c r="A21" s="12" t="n"/>
      <c r="B21">
        <f>IF($W21="","",INDEX('Per Line'!$C$2:$C$501,$W21)&amp;"")</f>
        <v/>
      </c>
      <c r="C21">
        <f>IF($W21="","",INDEX('Per Line'!$A$2:$A$501,$W21)&amp;"")</f>
        <v/>
      </c>
      <c r="D21">
        <f>IF($W21="","",INDEX('Per Line'!$E$2:$E$501,$W21)&amp;"")</f>
        <v/>
      </c>
      <c r="E21">
        <f>IF($W21="","",INDEX('Per Line'!$H$2:$H$501,$W21)&amp;"")</f>
        <v/>
      </c>
      <c r="F21">
        <f>IF($W21="","",INDEX('Per Line'!$K$2:$K$501,$W21)&amp;"")</f>
        <v/>
      </c>
      <c r="G21">
        <f>IF($W21="","",INDEX('Per Line'!$L$2:$L$501,$W21)&amp;"")</f>
        <v/>
      </c>
      <c r="H21" s="12" t="n"/>
      <c r="I21">
        <f>IF($W21="","",INDEX('Per Line'!$M$2:$M$501,$W21))</f>
        <v/>
      </c>
      <c r="J21" s="7">
        <f>IF($W21="","",I21*T21/100)</f>
        <v/>
      </c>
      <c r="K21" s="11">
        <f>IF($W21="","",INDEX('Per Line'!$O$2:$O$501,$W21))</f>
        <v/>
      </c>
      <c r="L21">
        <f>IF($W21="","",Settings!$C$7)</f>
        <v/>
      </c>
      <c r="M21" s="7">
        <f>IF($W21="","",SUMIFS('Per Line'!$Y$2:$Y$501,'Per Line'!$C$2:$C$501,$B21,'Per Line'!$AD$2:$AD$501,0))</f>
        <v/>
      </c>
      <c r="N21" s="7">
        <f>IF($W21="","",M21*L21)</f>
        <v/>
      </c>
      <c r="O21">
        <f>IF($W21="","",Settings!$C$6)</f>
        <v/>
      </c>
      <c r="P21" s="7">
        <f>IF($W21="","",SUMIFS('Per Line'!$Y$2:$Y$501,'Per Line'!$C$2:$C$501,$B21,'Per Line'!$AD$2:$AD$501,1))</f>
        <v/>
      </c>
      <c r="Q21" s="7">
        <f>IF($W21="","",P21*O21)</f>
        <v/>
      </c>
      <c r="R21" s="7">
        <f>IF($W21="","",Q21+N21)</f>
        <v/>
      </c>
      <c r="S21" s="7">
        <f>IF($W21="","",T21-R21)</f>
        <v/>
      </c>
      <c r="T21" s="7">
        <f>IF($W21="","",M21+P21)</f>
        <v/>
      </c>
      <c r="U21" s="7">
        <f>IF($W21="","",T21-R21-J21)</f>
        <v/>
      </c>
      <c r="V21" s="12" t="n"/>
      <c r="W21" s="13">
        <f>IF(ROWS($W$2:$W21)&lt;=MAX('Per Line'!$AC$2:$AC$501),MATCH(ROWS($W$2:$W21),'Per Line'!$AC$2:$AC$501,0),"")</f>
        <v/>
      </c>
    </row>
    <row r="22">
      <c r="A22" s="12" t="n"/>
      <c r="B22">
        <f>IF($W22="","",INDEX('Per Line'!$C$2:$C$501,$W22)&amp;"")</f>
        <v/>
      </c>
      <c r="C22">
        <f>IF($W22="","",INDEX('Per Line'!$A$2:$A$501,$W22)&amp;"")</f>
        <v/>
      </c>
      <c r="D22">
        <f>IF($W22="","",INDEX('Per Line'!$E$2:$E$501,$W22)&amp;"")</f>
        <v/>
      </c>
      <c r="E22">
        <f>IF($W22="","",INDEX('Per Line'!$H$2:$H$501,$W22)&amp;"")</f>
        <v/>
      </c>
      <c r="F22">
        <f>IF($W22="","",INDEX('Per Line'!$K$2:$K$501,$W22)&amp;"")</f>
        <v/>
      </c>
      <c r="G22">
        <f>IF($W22="","",INDEX('Per Line'!$L$2:$L$501,$W22)&amp;"")</f>
        <v/>
      </c>
      <c r="H22" s="12" t="n"/>
      <c r="I22">
        <f>IF($W22="","",INDEX('Per Line'!$M$2:$M$501,$W22))</f>
        <v/>
      </c>
      <c r="J22" s="7">
        <f>IF($W22="","",I22*T22/100)</f>
        <v/>
      </c>
      <c r="K22" s="11">
        <f>IF($W22="","",INDEX('Per Line'!$O$2:$O$501,$W22))</f>
        <v/>
      </c>
      <c r="L22">
        <f>IF($W22="","",Settings!$C$7)</f>
        <v/>
      </c>
      <c r="M22" s="7">
        <f>IF($W22="","",SUMIFS('Per Line'!$Y$2:$Y$501,'Per Line'!$C$2:$C$501,$B22,'Per Line'!$AD$2:$AD$501,0))</f>
        <v/>
      </c>
      <c r="N22" s="7">
        <f>IF($W22="","",M22*L22)</f>
        <v/>
      </c>
      <c r="O22">
        <f>IF($W22="","",Settings!$C$6)</f>
        <v/>
      </c>
      <c r="P22" s="7">
        <f>IF($W22="","",SUMIFS('Per Line'!$Y$2:$Y$501,'Per Line'!$C$2:$C$501,$B22,'Per Line'!$AD$2:$AD$501,1))</f>
        <v/>
      </c>
      <c r="Q22" s="7">
        <f>IF($W22="","",P22*O22)</f>
        <v/>
      </c>
      <c r="R22" s="7">
        <f>IF($W22="","",Q22+N22)</f>
        <v/>
      </c>
      <c r="S22" s="7">
        <f>IF($W22="","",T22-R22)</f>
        <v/>
      </c>
      <c r="T22" s="7">
        <f>IF($W22="","",M22+P22)</f>
        <v/>
      </c>
      <c r="U22" s="7">
        <f>IF($W22="","",T22-R22-J22)</f>
        <v/>
      </c>
      <c r="V22" s="12" t="n"/>
      <c r="W22" s="13">
        <f>IF(ROWS($W$2:$W22)&lt;=MAX('Per Line'!$AC$2:$AC$501),MATCH(ROWS($W$2:$W22),'Per Line'!$AC$2:$AC$501,0),"")</f>
        <v/>
      </c>
    </row>
    <row r="23">
      <c r="A23" s="12" t="n"/>
      <c r="B23">
        <f>IF($W23="","",INDEX('Per Line'!$C$2:$C$501,$W23)&amp;"")</f>
        <v/>
      </c>
      <c r="C23">
        <f>IF($W23="","",INDEX('Per Line'!$A$2:$A$501,$W23)&amp;"")</f>
        <v/>
      </c>
      <c r="D23">
        <f>IF($W23="","",INDEX('Per Line'!$E$2:$E$501,$W23)&amp;"")</f>
        <v/>
      </c>
      <c r="E23">
        <f>IF($W23="","",INDEX('Per Line'!$H$2:$H$501,$W23)&amp;"")</f>
        <v/>
      </c>
      <c r="F23">
        <f>IF($W23="","",INDEX('Per Line'!$K$2:$K$501,$W23)&amp;"")</f>
        <v/>
      </c>
      <c r="G23">
        <f>IF($W23="","",INDEX('Per Line'!$L$2:$L$501,$W23)&amp;"")</f>
        <v/>
      </c>
      <c r="H23" s="12" t="n"/>
      <c r="I23">
        <f>IF($W23="","",INDEX('Per Line'!$M$2:$M$501,$W23))</f>
        <v/>
      </c>
      <c r="J23" s="7">
        <f>IF($W23="","",I23*T23/100)</f>
        <v/>
      </c>
      <c r="K23" s="11">
        <f>IF($W23="","",INDEX('Per Line'!$O$2:$O$501,$W23))</f>
        <v/>
      </c>
      <c r="L23">
        <f>IF($W23="","",Settings!$C$7)</f>
        <v/>
      </c>
      <c r="M23" s="7">
        <f>IF($W23="","",SUMIFS('Per Line'!$Y$2:$Y$501,'Per Line'!$C$2:$C$501,$B23,'Per Line'!$AD$2:$AD$501,0))</f>
        <v/>
      </c>
      <c r="N23" s="7">
        <f>IF($W23="","",M23*L23)</f>
        <v/>
      </c>
      <c r="O23">
        <f>IF($W23="","",Settings!$C$6)</f>
        <v/>
      </c>
      <c r="P23" s="7">
        <f>IF($W23="","",SUMIFS('Per Line'!$Y$2:$Y$501,'Per Line'!$C$2:$C$501,$B23,'Per Line'!$AD$2:$AD$501,1))</f>
        <v/>
      </c>
      <c r="Q23" s="7">
        <f>IF($W23="","",P23*O23)</f>
        <v/>
      </c>
      <c r="R23" s="7">
        <f>IF($W23="","",Q23+N23)</f>
        <v/>
      </c>
      <c r="S23" s="7">
        <f>IF($W23="","",T23-R23)</f>
        <v/>
      </c>
      <c r="T23" s="7">
        <f>IF($W23="","",M23+P23)</f>
        <v/>
      </c>
      <c r="U23" s="7">
        <f>IF($W23="","",T23-R23-J23)</f>
        <v/>
      </c>
      <c r="V23" s="12" t="n"/>
      <c r="W23" s="13">
        <f>IF(ROWS($W$2:$W23)&lt;=MAX('Per Line'!$AC$2:$AC$501),MATCH(ROWS($W$2:$W23),'Per Line'!$AC$2:$AC$501,0),"")</f>
        <v/>
      </c>
    </row>
    <row r="24">
      <c r="A24" s="12" t="n"/>
      <c r="B24">
        <f>IF($W24="","",INDEX('Per Line'!$C$2:$C$501,$W24)&amp;"")</f>
        <v/>
      </c>
      <c r="C24">
        <f>IF($W24="","",INDEX('Per Line'!$A$2:$A$501,$W24)&amp;"")</f>
        <v/>
      </c>
      <c r="D24">
        <f>IF($W24="","",INDEX('Per Line'!$E$2:$E$501,$W24)&amp;"")</f>
        <v/>
      </c>
      <c r="E24">
        <f>IF($W24="","",INDEX('Per Line'!$H$2:$H$501,$W24)&amp;"")</f>
        <v/>
      </c>
      <c r="F24">
        <f>IF($W24="","",INDEX('Per Line'!$K$2:$K$501,$W24)&amp;"")</f>
        <v/>
      </c>
      <c r="G24">
        <f>IF($W24="","",INDEX('Per Line'!$L$2:$L$501,$W24)&amp;"")</f>
        <v/>
      </c>
      <c r="H24" s="12" t="n"/>
      <c r="I24">
        <f>IF($W24="","",INDEX('Per Line'!$M$2:$M$501,$W24))</f>
        <v/>
      </c>
      <c r="J24" s="7">
        <f>IF($W24="","",I24*T24/100)</f>
        <v/>
      </c>
      <c r="K24" s="11">
        <f>IF($W24="","",INDEX('Per Line'!$O$2:$O$501,$W24))</f>
        <v/>
      </c>
      <c r="L24">
        <f>IF($W24="","",Settings!$C$7)</f>
        <v/>
      </c>
      <c r="M24" s="7">
        <f>IF($W24="","",SUMIFS('Per Line'!$Y$2:$Y$501,'Per Line'!$C$2:$C$501,$B24,'Per Line'!$AD$2:$AD$501,0))</f>
        <v/>
      </c>
      <c r="N24" s="7">
        <f>IF($W24="","",M24*L24)</f>
        <v/>
      </c>
      <c r="O24">
        <f>IF($W24="","",Settings!$C$6)</f>
        <v/>
      </c>
      <c r="P24" s="7">
        <f>IF($W24="","",SUMIFS('Per Line'!$Y$2:$Y$501,'Per Line'!$C$2:$C$501,$B24,'Per Line'!$AD$2:$AD$501,1))</f>
        <v/>
      </c>
      <c r="Q24" s="7">
        <f>IF($W24="","",P24*O24)</f>
        <v/>
      </c>
      <c r="R24" s="7">
        <f>IF($W24="","",Q24+N24)</f>
        <v/>
      </c>
      <c r="S24" s="7">
        <f>IF($W24="","",T24-R24)</f>
        <v/>
      </c>
      <c r="T24" s="7">
        <f>IF($W24="","",M24+P24)</f>
        <v/>
      </c>
      <c r="U24" s="7">
        <f>IF($W24="","",T24-R24-J24)</f>
        <v/>
      </c>
      <c r="V24" s="12" t="n"/>
      <c r="W24" s="13">
        <f>IF(ROWS($W$2:$W24)&lt;=MAX('Per Line'!$AC$2:$AC$501),MATCH(ROWS($W$2:$W24),'Per Line'!$AC$2:$AC$501,0),"")</f>
        <v/>
      </c>
    </row>
    <row r="25">
      <c r="A25" s="12" t="n"/>
      <c r="B25">
        <f>IF($W25="","",INDEX('Per Line'!$C$2:$C$501,$W25)&amp;"")</f>
        <v/>
      </c>
      <c r="C25">
        <f>IF($W25="","",INDEX('Per Line'!$A$2:$A$501,$W25)&amp;"")</f>
        <v/>
      </c>
      <c r="D25">
        <f>IF($W25="","",INDEX('Per Line'!$E$2:$E$501,$W25)&amp;"")</f>
        <v/>
      </c>
      <c r="E25">
        <f>IF($W25="","",INDEX('Per Line'!$H$2:$H$501,$W25)&amp;"")</f>
        <v/>
      </c>
      <c r="F25">
        <f>IF($W25="","",INDEX('Per Line'!$K$2:$K$501,$W25)&amp;"")</f>
        <v/>
      </c>
      <c r="G25">
        <f>IF($W25="","",INDEX('Per Line'!$L$2:$L$501,$W25)&amp;"")</f>
        <v/>
      </c>
      <c r="H25" s="12" t="n"/>
      <c r="I25">
        <f>IF($W25="","",INDEX('Per Line'!$M$2:$M$501,$W25))</f>
        <v/>
      </c>
      <c r="J25" s="7">
        <f>IF($W25="","",I25*T25/100)</f>
        <v/>
      </c>
      <c r="K25" s="11">
        <f>IF($W25="","",INDEX('Per Line'!$O$2:$O$501,$W25))</f>
        <v/>
      </c>
      <c r="L25">
        <f>IF($W25="","",Settings!$C$7)</f>
        <v/>
      </c>
      <c r="M25" s="7">
        <f>IF($W25="","",SUMIFS('Per Line'!$Y$2:$Y$501,'Per Line'!$C$2:$C$501,$B25,'Per Line'!$AD$2:$AD$501,0))</f>
        <v/>
      </c>
      <c r="N25" s="7">
        <f>IF($W25="","",M25*L25)</f>
        <v/>
      </c>
      <c r="O25">
        <f>IF($W25="","",Settings!$C$6)</f>
        <v/>
      </c>
      <c r="P25" s="7">
        <f>IF($W25="","",SUMIFS('Per Line'!$Y$2:$Y$501,'Per Line'!$C$2:$C$501,$B25,'Per Line'!$AD$2:$AD$501,1))</f>
        <v/>
      </c>
      <c r="Q25" s="7">
        <f>IF($W25="","",P25*O25)</f>
        <v/>
      </c>
      <c r="R25" s="7">
        <f>IF($W25="","",Q25+N25)</f>
        <v/>
      </c>
      <c r="S25" s="7">
        <f>IF($W25="","",T25-R25)</f>
        <v/>
      </c>
      <c r="T25" s="7">
        <f>IF($W25="","",M25+P25)</f>
        <v/>
      </c>
      <c r="U25" s="7">
        <f>IF($W25="","",T25-R25-J25)</f>
        <v/>
      </c>
      <c r="V25" s="12" t="n"/>
      <c r="W25" s="13">
        <f>IF(ROWS($W$2:$W25)&lt;=MAX('Per Line'!$AC$2:$AC$501),MATCH(ROWS($W$2:$W25),'Per Line'!$AC$2:$AC$501,0),"")</f>
        <v/>
      </c>
    </row>
    <row r="26">
      <c r="A26" s="12" t="n"/>
      <c r="B26">
        <f>IF($W26="","",INDEX('Per Line'!$C$2:$C$501,$W26)&amp;"")</f>
        <v/>
      </c>
      <c r="C26">
        <f>IF($W26="","",INDEX('Per Line'!$A$2:$A$501,$W26)&amp;"")</f>
        <v/>
      </c>
      <c r="D26">
        <f>IF($W26="","",INDEX('Per Line'!$E$2:$E$501,$W26)&amp;"")</f>
        <v/>
      </c>
      <c r="E26">
        <f>IF($W26="","",INDEX('Per Line'!$H$2:$H$501,$W26)&amp;"")</f>
        <v/>
      </c>
      <c r="F26">
        <f>IF($W26="","",INDEX('Per Line'!$K$2:$K$501,$W26)&amp;"")</f>
        <v/>
      </c>
      <c r="G26">
        <f>IF($W26="","",INDEX('Per Line'!$L$2:$L$501,$W26)&amp;"")</f>
        <v/>
      </c>
      <c r="H26" s="12" t="n"/>
      <c r="I26">
        <f>IF($W26="","",INDEX('Per Line'!$M$2:$M$501,$W26))</f>
        <v/>
      </c>
      <c r="J26" s="7">
        <f>IF($W26="","",I26*T26/100)</f>
        <v/>
      </c>
      <c r="K26" s="11">
        <f>IF($W26="","",INDEX('Per Line'!$O$2:$O$501,$W26))</f>
        <v/>
      </c>
      <c r="L26">
        <f>IF($W26="","",Settings!$C$7)</f>
        <v/>
      </c>
      <c r="M26" s="7">
        <f>IF($W26="","",SUMIFS('Per Line'!$Y$2:$Y$501,'Per Line'!$C$2:$C$501,$B26,'Per Line'!$AD$2:$AD$501,0))</f>
        <v/>
      </c>
      <c r="N26" s="7">
        <f>IF($W26="","",M26*L26)</f>
        <v/>
      </c>
      <c r="O26">
        <f>IF($W26="","",Settings!$C$6)</f>
        <v/>
      </c>
      <c r="P26" s="7">
        <f>IF($W26="","",SUMIFS('Per Line'!$Y$2:$Y$501,'Per Line'!$C$2:$C$501,$B26,'Per Line'!$AD$2:$AD$501,1))</f>
        <v/>
      </c>
      <c r="Q26" s="7">
        <f>IF($W26="","",P26*O26)</f>
        <v/>
      </c>
      <c r="R26" s="7">
        <f>IF($W26="","",Q26+N26)</f>
        <v/>
      </c>
      <c r="S26" s="7">
        <f>IF($W26="","",T26-R26)</f>
        <v/>
      </c>
      <c r="T26" s="7">
        <f>IF($W26="","",M26+P26)</f>
        <v/>
      </c>
      <c r="U26" s="7">
        <f>IF($W26="","",T26-R26-J26)</f>
        <v/>
      </c>
      <c r="V26" s="12" t="n"/>
      <c r="W26" s="13">
        <f>IF(ROWS($W$2:$W26)&lt;=MAX('Per Line'!$AC$2:$AC$501),MATCH(ROWS($W$2:$W26),'Per Line'!$AC$2:$AC$501,0),"")</f>
        <v/>
      </c>
    </row>
    <row r="27">
      <c r="A27" s="12" t="n"/>
      <c r="B27">
        <f>IF($W27="","",INDEX('Per Line'!$C$2:$C$501,$W27)&amp;"")</f>
        <v/>
      </c>
      <c r="C27">
        <f>IF($W27="","",INDEX('Per Line'!$A$2:$A$501,$W27)&amp;"")</f>
        <v/>
      </c>
      <c r="D27">
        <f>IF($W27="","",INDEX('Per Line'!$E$2:$E$501,$W27)&amp;"")</f>
        <v/>
      </c>
      <c r="E27">
        <f>IF($W27="","",INDEX('Per Line'!$H$2:$H$501,$W27)&amp;"")</f>
        <v/>
      </c>
      <c r="F27">
        <f>IF($W27="","",INDEX('Per Line'!$K$2:$K$501,$W27)&amp;"")</f>
        <v/>
      </c>
      <c r="G27">
        <f>IF($W27="","",INDEX('Per Line'!$L$2:$L$501,$W27)&amp;"")</f>
        <v/>
      </c>
      <c r="H27" s="12" t="n"/>
      <c r="I27">
        <f>IF($W27="","",INDEX('Per Line'!$M$2:$M$501,$W27))</f>
        <v/>
      </c>
      <c r="J27" s="7">
        <f>IF($W27="","",I27*T27/100)</f>
        <v/>
      </c>
      <c r="K27" s="11">
        <f>IF($W27="","",INDEX('Per Line'!$O$2:$O$501,$W27))</f>
        <v/>
      </c>
      <c r="L27">
        <f>IF($W27="","",Settings!$C$7)</f>
        <v/>
      </c>
      <c r="M27" s="7">
        <f>IF($W27="","",SUMIFS('Per Line'!$Y$2:$Y$501,'Per Line'!$C$2:$C$501,$B27,'Per Line'!$AD$2:$AD$501,0))</f>
        <v/>
      </c>
      <c r="N27" s="7">
        <f>IF($W27="","",M27*L27)</f>
        <v/>
      </c>
      <c r="O27">
        <f>IF($W27="","",Settings!$C$6)</f>
        <v/>
      </c>
      <c r="P27" s="7">
        <f>IF($W27="","",SUMIFS('Per Line'!$Y$2:$Y$501,'Per Line'!$C$2:$C$501,$B27,'Per Line'!$AD$2:$AD$501,1))</f>
        <v/>
      </c>
      <c r="Q27" s="7">
        <f>IF($W27="","",P27*O27)</f>
        <v/>
      </c>
      <c r="R27" s="7">
        <f>IF($W27="","",Q27+N27)</f>
        <v/>
      </c>
      <c r="S27" s="7">
        <f>IF($W27="","",T27-R27)</f>
        <v/>
      </c>
      <c r="T27" s="7">
        <f>IF($W27="","",M27+P27)</f>
        <v/>
      </c>
      <c r="U27" s="7">
        <f>IF($W27="","",T27-R27-J27)</f>
        <v/>
      </c>
      <c r="V27" s="12" t="n"/>
      <c r="W27" s="13">
        <f>IF(ROWS($W$2:$W27)&lt;=MAX('Per Line'!$AC$2:$AC$501),MATCH(ROWS($W$2:$W27),'Per Line'!$AC$2:$AC$501,0),"")</f>
        <v/>
      </c>
    </row>
    <row r="28">
      <c r="A28" s="12" t="n"/>
      <c r="B28">
        <f>IF($W28="","",INDEX('Per Line'!$C$2:$C$501,$W28)&amp;"")</f>
        <v/>
      </c>
      <c r="C28">
        <f>IF($W28="","",INDEX('Per Line'!$A$2:$A$501,$W28)&amp;"")</f>
        <v/>
      </c>
      <c r="D28">
        <f>IF($W28="","",INDEX('Per Line'!$E$2:$E$501,$W28)&amp;"")</f>
        <v/>
      </c>
      <c r="E28">
        <f>IF($W28="","",INDEX('Per Line'!$H$2:$H$501,$W28)&amp;"")</f>
        <v/>
      </c>
      <c r="F28">
        <f>IF($W28="","",INDEX('Per Line'!$K$2:$K$501,$W28)&amp;"")</f>
        <v/>
      </c>
      <c r="G28">
        <f>IF($W28="","",INDEX('Per Line'!$L$2:$L$501,$W28)&amp;"")</f>
        <v/>
      </c>
      <c r="H28" s="12" t="n"/>
      <c r="I28">
        <f>IF($W28="","",INDEX('Per Line'!$M$2:$M$501,$W28))</f>
        <v/>
      </c>
      <c r="J28" s="7">
        <f>IF($W28="","",I28*T28/100)</f>
        <v/>
      </c>
      <c r="K28" s="11">
        <f>IF($W28="","",INDEX('Per Line'!$O$2:$O$501,$W28))</f>
        <v/>
      </c>
      <c r="L28">
        <f>IF($W28="","",Settings!$C$7)</f>
        <v/>
      </c>
      <c r="M28" s="7">
        <f>IF($W28="","",SUMIFS('Per Line'!$Y$2:$Y$501,'Per Line'!$C$2:$C$501,$B28,'Per Line'!$AD$2:$AD$501,0))</f>
        <v/>
      </c>
      <c r="N28" s="7">
        <f>IF($W28="","",M28*L28)</f>
        <v/>
      </c>
      <c r="O28">
        <f>IF($W28="","",Settings!$C$6)</f>
        <v/>
      </c>
      <c r="P28" s="7">
        <f>IF($W28="","",SUMIFS('Per Line'!$Y$2:$Y$501,'Per Line'!$C$2:$C$501,$B28,'Per Line'!$AD$2:$AD$501,1))</f>
        <v/>
      </c>
      <c r="Q28" s="7">
        <f>IF($W28="","",P28*O28)</f>
        <v/>
      </c>
      <c r="R28" s="7">
        <f>IF($W28="","",Q28+N28)</f>
        <v/>
      </c>
      <c r="S28" s="7">
        <f>IF($W28="","",T28-R28)</f>
        <v/>
      </c>
      <c r="T28" s="7">
        <f>IF($W28="","",M28+P28)</f>
        <v/>
      </c>
      <c r="U28" s="7">
        <f>IF($W28="","",T28-R28-J28)</f>
        <v/>
      </c>
      <c r="V28" s="12" t="n"/>
      <c r="W28" s="13">
        <f>IF(ROWS($W$2:$W28)&lt;=MAX('Per Line'!$AC$2:$AC$501),MATCH(ROWS($W$2:$W28),'Per Line'!$AC$2:$AC$501,0),"")</f>
        <v/>
      </c>
    </row>
    <row r="29">
      <c r="A29" s="12" t="n"/>
      <c r="B29">
        <f>IF($W29="","",INDEX('Per Line'!$C$2:$C$501,$W29)&amp;"")</f>
        <v/>
      </c>
      <c r="C29">
        <f>IF($W29="","",INDEX('Per Line'!$A$2:$A$501,$W29)&amp;"")</f>
        <v/>
      </c>
      <c r="D29">
        <f>IF($W29="","",INDEX('Per Line'!$E$2:$E$501,$W29)&amp;"")</f>
        <v/>
      </c>
      <c r="E29">
        <f>IF($W29="","",INDEX('Per Line'!$H$2:$H$501,$W29)&amp;"")</f>
        <v/>
      </c>
      <c r="F29">
        <f>IF($W29="","",INDEX('Per Line'!$K$2:$K$501,$W29)&amp;"")</f>
        <v/>
      </c>
      <c r="G29">
        <f>IF($W29="","",INDEX('Per Line'!$L$2:$L$501,$W29)&amp;"")</f>
        <v/>
      </c>
      <c r="H29" s="12" t="n"/>
      <c r="I29">
        <f>IF($W29="","",INDEX('Per Line'!$M$2:$M$501,$W29))</f>
        <v/>
      </c>
      <c r="J29" s="7">
        <f>IF($W29="","",I29*T29/100)</f>
        <v/>
      </c>
      <c r="K29" s="11">
        <f>IF($W29="","",INDEX('Per Line'!$O$2:$O$501,$W29))</f>
        <v/>
      </c>
      <c r="L29">
        <f>IF($W29="","",Settings!$C$7)</f>
        <v/>
      </c>
      <c r="M29" s="7">
        <f>IF($W29="","",SUMIFS('Per Line'!$Y$2:$Y$501,'Per Line'!$C$2:$C$501,$B29,'Per Line'!$AD$2:$AD$501,0))</f>
        <v/>
      </c>
      <c r="N29" s="7">
        <f>IF($W29="","",M29*L29)</f>
        <v/>
      </c>
      <c r="O29">
        <f>IF($W29="","",Settings!$C$6)</f>
        <v/>
      </c>
      <c r="P29" s="7">
        <f>IF($W29="","",SUMIFS('Per Line'!$Y$2:$Y$501,'Per Line'!$C$2:$C$501,$B29,'Per Line'!$AD$2:$AD$501,1))</f>
        <v/>
      </c>
      <c r="Q29" s="7">
        <f>IF($W29="","",P29*O29)</f>
        <v/>
      </c>
      <c r="R29" s="7">
        <f>IF($W29="","",Q29+N29)</f>
        <v/>
      </c>
      <c r="S29" s="7">
        <f>IF($W29="","",T29-R29)</f>
        <v/>
      </c>
      <c r="T29" s="7">
        <f>IF($W29="","",M29+P29)</f>
        <v/>
      </c>
      <c r="U29" s="7">
        <f>IF($W29="","",T29-R29-J29)</f>
        <v/>
      </c>
      <c r="V29" s="12" t="n"/>
      <c r="W29" s="13">
        <f>IF(ROWS($W$2:$W29)&lt;=MAX('Per Line'!$AC$2:$AC$501),MATCH(ROWS($W$2:$W29),'Per Line'!$AC$2:$AC$501,0),"")</f>
        <v/>
      </c>
    </row>
    <row r="30">
      <c r="A30" s="12" t="n"/>
      <c r="B30">
        <f>IF($W30="","",INDEX('Per Line'!$C$2:$C$501,$W30)&amp;"")</f>
        <v/>
      </c>
      <c r="C30">
        <f>IF($W30="","",INDEX('Per Line'!$A$2:$A$501,$W30)&amp;"")</f>
        <v/>
      </c>
      <c r="D30">
        <f>IF($W30="","",INDEX('Per Line'!$E$2:$E$501,$W30)&amp;"")</f>
        <v/>
      </c>
      <c r="E30">
        <f>IF($W30="","",INDEX('Per Line'!$H$2:$H$501,$W30)&amp;"")</f>
        <v/>
      </c>
      <c r="F30">
        <f>IF($W30="","",INDEX('Per Line'!$K$2:$K$501,$W30)&amp;"")</f>
        <v/>
      </c>
      <c r="G30">
        <f>IF($W30="","",INDEX('Per Line'!$L$2:$L$501,$W30)&amp;"")</f>
        <v/>
      </c>
      <c r="H30" s="12" t="n"/>
      <c r="I30">
        <f>IF($W30="","",INDEX('Per Line'!$M$2:$M$501,$W30))</f>
        <v/>
      </c>
      <c r="J30" s="7">
        <f>IF($W30="","",I30*T30/100)</f>
        <v/>
      </c>
      <c r="K30" s="11">
        <f>IF($W30="","",INDEX('Per Line'!$O$2:$O$501,$W30))</f>
        <v/>
      </c>
      <c r="L30">
        <f>IF($W30="","",Settings!$C$7)</f>
        <v/>
      </c>
      <c r="M30" s="7">
        <f>IF($W30="","",SUMIFS('Per Line'!$Y$2:$Y$501,'Per Line'!$C$2:$C$501,$B30,'Per Line'!$AD$2:$AD$501,0))</f>
        <v/>
      </c>
      <c r="N30" s="7">
        <f>IF($W30="","",M30*L30)</f>
        <v/>
      </c>
      <c r="O30">
        <f>IF($W30="","",Settings!$C$6)</f>
        <v/>
      </c>
      <c r="P30" s="7">
        <f>IF($W30="","",SUMIFS('Per Line'!$Y$2:$Y$501,'Per Line'!$C$2:$C$501,$B30,'Per Line'!$AD$2:$AD$501,1))</f>
        <v/>
      </c>
      <c r="Q30" s="7">
        <f>IF($W30="","",P30*O30)</f>
        <v/>
      </c>
      <c r="R30" s="7">
        <f>IF($W30="","",Q30+N30)</f>
        <v/>
      </c>
      <c r="S30" s="7">
        <f>IF($W30="","",T30-R30)</f>
        <v/>
      </c>
      <c r="T30" s="7">
        <f>IF($W30="","",M30+P30)</f>
        <v/>
      </c>
      <c r="U30" s="7">
        <f>IF($W30="","",T30-R30-J30)</f>
        <v/>
      </c>
      <c r="V30" s="12" t="n"/>
      <c r="W30" s="13">
        <f>IF(ROWS($W$2:$W30)&lt;=MAX('Per Line'!$AC$2:$AC$501),MATCH(ROWS($W$2:$W30),'Per Line'!$AC$2:$AC$501,0),"")</f>
        <v/>
      </c>
    </row>
    <row r="31">
      <c r="A31" s="12" t="n"/>
      <c r="B31">
        <f>IF($W31="","",INDEX('Per Line'!$C$2:$C$501,$W31)&amp;"")</f>
        <v/>
      </c>
      <c r="C31">
        <f>IF($W31="","",INDEX('Per Line'!$A$2:$A$501,$W31)&amp;"")</f>
        <v/>
      </c>
      <c r="D31">
        <f>IF($W31="","",INDEX('Per Line'!$E$2:$E$501,$W31)&amp;"")</f>
        <v/>
      </c>
      <c r="E31">
        <f>IF($W31="","",INDEX('Per Line'!$H$2:$H$501,$W31)&amp;"")</f>
        <v/>
      </c>
      <c r="F31">
        <f>IF($W31="","",INDEX('Per Line'!$K$2:$K$501,$W31)&amp;"")</f>
        <v/>
      </c>
      <c r="G31">
        <f>IF($W31="","",INDEX('Per Line'!$L$2:$L$501,$W31)&amp;"")</f>
        <v/>
      </c>
      <c r="H31" s="12" t="n"/>
      <c r="I31">
        <f>IF($W31="","",INDEX('Per Line'!$M$2:$M$501,$W31))</f>
        <v/>
      </c>
      <c r="J31" s="7">
        <f>IF($W31="","",I31*T31/100)</f>
        <v/>
      </c>
      <c r="K31" s="11">
        <f>IF($W31="","",INDEX('Per Line'!$O$2:$O$501,$W31))</f>
        <v/>
      </c>
      <c r="L31">
        <f>IF($W31="","",Settings!$C$7)</f>
        <v/>
      </c>
      <c r="M31" s="7">
        <f>IF($W31="","",SUMIFS('Per Line'!$Y$2:$Y$501,'Per Line'!$C$2:$C$501,$B31,'Per Line'!$AD$2:$AD$501,0))</f>
        <v/>
      </c>
      <c r="N31" s="7">
        <f>IF($W31="","",M31*L31)</f>
        <v/>
      </c>
      <c r="O31">
        <f>IF($W31="","",Settings!$C$6)</f>
        <v/>
      </c>
      <c r="P31" s="7">
        <f>IF($W31="","",SUMIFS('Per Line'!$Y$2:$Y$501,'Per Line'!$C$2:$C$501,$B31,'Per Line'!$AD$2:$AD$501,1))</f>
        <v/>
      </c>
      <c r="Q31" s="7">
        <f>IF($W31="","",P31*O31)</f>
        <v/>
      </c>
      <c r="R31" s="7">
        <f>IF($W31="","",Q31+N31)</f>
        <v/>
      </c>
      <c r="S31" s="7">
        <f>IF($W31="","",T31-R31)</f>
        <v/>
      </c>
      <c r="T31" s="7">
        <f>IF($W31="","",M31+P31)</f>
        <v/>
      </c>
      <c r="U31" s="7">
        <f>IF($W31="","",T31-R31-J31)</f>
        <v/>
      </c>
      <c r="V31" s="12" t="n"/>
      <c r="W31" s="13">
        <f>IF(ROWS($W$2:$W31)&lt;=MAX('Per Line'!$AC$2:$AC$501),MATCH(ROWS($W$2:$W31),'Per Line'!$AC$2:$AC$501,0),"")</f>
        <v/>
      </c>
    </row>
    <row r="32">
      <c r="A32" s="12" t="n"/>
      <c r="B32">
        <f>IF($W32="","",INDEX('Per Line'!$C$2:$C$501,$W32)&amp;"")</f>
        <v/>
      </c>
      <c r="C32">
        <f>IF($W32="","",INDEX('Per Line'!$A$2:$A$501,$W32)&amp;"")</f>
        <v/>
      </c>
      <c r="D32">
        <f>IF($W32="","",INDEX('Per Line'!$E$2:$E$501,$W32)&amp;"")</f>
        <v/>
      </c>
      <c r="E32">
        <f>IF($W32="","",INDEX('Per Line'!$H$2:$H$501,$W32)&amp;"")</f>
        <v/>
      </c>
      <c r="F32">
        <f>IF($W32="","",INDEX('Per Line'!$K$2:$K$501,$W32)&amp;"")</f>
        <v/>
      </c>
      <c r="G32">
        <f>IF($W32="","",INDEX('Per Line'!$L$2:$L$501,$W32)&amp;"")</f>
        <v/>
      </c>
      <c r="H32" s="12" t="n"/>
      <c r="I32">
        <f>IF($W32="","",INDEX('Per Line'!$M$2:$M$501,$W32))</f>
        <v/>
      </c>
      <c r="J32" s="7">
        <f>IF($W32="","",I32*T32/100)</f>
        <v/>
      </c>
      <c r="K32" s="11">
        <f>IF($W32="","",INDEX('Per Line'!$O$2:$O$501,$W32))</f>
        <v/>
      </c>
      <c r="L32">
        <f>IF($W32="","",Settings!$C$7)</f>
        <v/>
      </c>
      <c r="M32" s="7">
        <f>IF($W32="","",SUMIFS('Per Line'!$Y$2:$Y$501,'Per Line'!$C$2:$C$501,$B32,'Per Line'!$AD$2:$AD$501,0))</f>
        <v/>
      </c>
      <c r="N32" s="7">
        <f>IF($W32="","",M32*L32)</f>
        <v/>
      </c>
      <c r="O32">
        <f>IF($W32="","",Settings!$C$6)</f>
        <v/>
      </c>
      <c r="P32" s="7">
        <f>IF($W32="","",SUMIFS('Per Line'!$Y$2:$Y$501,'Per Line'!$C$2:$C$501,$B32,'Per Line'!$AD$2:$AD$501,1))</f>
        <v/>
      </c>
      <c r="Q32" s="7">
        <f>IF($W32="","",P32*O32)</f>
        <v/>
      </c>
      <c r="R32" s="7">
        <f>IF($W32="","",Q32+N32)</f>
        <v/>
      </c>
      <c r="S32" s="7">
        <f>IF($W32="","",T32-R32)</f>
        <v/>
      </c>
      <c r="T32" s="7">
        <f>IF($W32="","",M32+P32)</f>
        <v/>
      </c>
      <c r="U32" s="7">
        <f>IF($W32="","",T32-R32-J32)</f>
        <v/>
      </c>
      <c r="V32" s="12" t="n"/>
      <c r="W32" s="13">
        <f>IF(ROWS($W$2:$W32)&lt;=MAX('Per Line'!$AC$2:$AC$501),MATCH(ROWS($W$2:$W32),'Per Line'!$AC$2:$AC$501,0),"")</f>
        <v/>
      </c>
    </row>
    <row r="33">
      <c r="A33" s="12" t="n"/>
      <c r="B33">
        <f>IF($W33="","",INDEX('Per Line'!$C$2:$C$501,$W33)&amp;"")</f>
        <v/>
      </c>
      <c r="C33">
        <f>IF($W33="","",INDEX('Per Line'!$A$2:$A$501,$W33)&amp;"")</f>
        <v/>
      </c>
      <c r="D33">
        <f>IF($W33="","",INDEX('Per Line'!$E$2:$E$501,$W33)&amp;"")</f>
        <v/>
      </c>
      <c r="E33">
        <f>IF($W33="","",INDEX('Per Line'!$H$2:$H$501,$W33)&amp;"")</f>
        <v/>
      </c>
      <c r="F33">
        <f>IF($W33="","",INDEX('Per Line'!$K$2:$K$501,$W33)&amp;"")</f>
        <v/>
      </c>
      <c r="G33">
        <f>IF($W33="","",INDEX('Per Line'!$L$2:$L$501,$W33)&amp;"")</f>
        <v/>
      </c>
      <c r="H33" s="12" t="n"/>
      <c r="I33">
        <f>IF($W33="","",INDEX('Per Line'!$M$2:$M$501,$W33))</f>
        <v/>
      </c>
      <c r="J33" s="7">
        <f>IF($W33="","",I33*T33/100)</f>
        <v/>
      </c>
      <c r="K33" s="11">
        <f>IF($W33="","",INDEX('Per Line'!$O$2:$O$501,$W33))</f>
        <v/>
      </c>
      <c r="L33">
        <f>IF($W33="","",Settings!$C$7)</f>
        <v/>
      </c>
      <c r="M33" s="7">
        <f>IF($W33="","",SUMIFS('Per Line'!$Y$2:$Y$501,'Per Line'!$C$2:$C$501,$B33,'Per Line'!$AD$2:$AD$501,0))</f>
        <v/>
      </c>
      <c r="N33" s="7">
        <f>IF($W33="","",M33*L33)</f>
        <v/>
      </c>
      <c r="O33">
        <f>IF($W33="","",Settings!$C$6)</f>
        <v/>
      </c>
      <c r="P33" s="7">
        <f>IF($W33="","",SUMIFS('Per Line'!$Y$2:$Y$501,'Per Line'!$C$2:$C$501,$B33,'Per Line'!$AD$2:$AD$501,1))</f>
        <v/>
      </c>
      <c r="Q33" s="7">
        <f>IF($W33="","",P33*O33)</f>
        <v/>
      </c>
      <c r="R33" s="7">
        <f>IF($W33="","",Q33+N33)</f>
        <v/>
      </c>
      <c r="S33" s="7">
        <f>IF($W33="","",T33-R33)</f>
        <v/>
      </c>
      <c r="T33" s="7">
        <f>IF($W33="","",M33+P33)</f>
        <v/>
      </c>
      <c r="U33" s="7">
        <f>IF($W33="","",T33-R33-J33)</f>
        <v/>
      </c>
      <c r="V33" s="12" t="n"/>
      <c r="W33" s="13">
        <f>IF(ROWS($W$2:$W33)&lt;=MAX('Per Line'!$AC$2:$AC$501),MATCH(ROWS($W$2:$W33),'Per Line'!$AC$2:$AC$501,0),"")</f>
        <v/>
      </c>
    </row>
    <row r="34">
      <c r="A34" s="12" t="n"/>
      <c r="B34">
        <f>IF($W34="","",INDEX('Per Line'!$C$2:$C$501,$W34)&amp;"")</f>
        <v/>
      </c>
      <c r="C34">
        <f>IF($W34="","",INDEX('Per Line'!$A$2:$A$501,$W34)&amp;"")</f>
        <v/>
      </c>
      <c r="D34">
        <f>IF($W34="","",INDEX('Per Line'!$E$2:$E$501,$W34)&amp;"")</f>
        <v/>
      </c>
      <c r="E34">
        <f>IF($W34="","",INDEX('Per Line'!$H$2:$H$501,$W34)&amp;"")</f>
        <v/>
      </c>
      <c r="F34">
        <f>IF($W34="","",INDEX('Per Line'!$K$2:$K$501,$W34)&amp;"")</f>
        <v/>
      </c>
      <c r="G34">
        <f>IF($W34="","",INDEX('Per Line'!$L$2:$L$501,$W34)&amp;"")</f>
        <v/>
      </c>
      <c r="H34" s="12" t="n"/>
      <c r="I34">
        <f>IF($W34="","",INDEX('Per Line'!$M$2:$M$501,$W34))</f>
        <v/>
      </c>
      <c r="J34" s="7">
        <f>IF($W34="","",I34*T34/100)</f>
        <v/>
      </c>
      <c r="K34" s="11">
        <f>IF($W34="","",INDEX('Per Line'!$O$2:$O$501,$W34))</f>
        <v/>
      </c>
      <c r="L34">
        <f>IF($W34="","",Settings!$C$7)</f>
        <v/>
      </c>
      <c r="M34" s="7">
        <f>IF($W34="","",SUMIFS('Per Line'!$Y$2:$Y$501,'Per Line'!$C$2:$C$501,$B34,'Per Line'!$AD$2:$AD$501,0))</f>
        <v/>
      </c>
      <c r="N34" s="7">
        <f>IF($W34="","",M34*L34)</f>
        <v/>
      </c>
      <c r="O34">
        <f>IF($W34="","",Settings!$C$6)</f>
        <v/>
      </c>
      <c r="P34" s="7">
        <f>IF($W34="","",SUMIFS('Per Line'!$Y$2:$Y$501,'Per Line'!$C$2:$C$501,$B34,'Per Line'!$AD$2:$AD$501,1))</f>
        <v/>
      </c>
      <c r="Q34" s="7">
        <f>IF($W34="","",P34*O34)</f>
        <v/>
      </c>
      <c r="R34" s="7">
        <f>IF($W34="","",Q34+N34)</f>
        <v/>
      </c>
      <c r="S34" s="7">
        <f>IF($W34="","",T34-R34)</f>
        <v/>
      </c>
      <c r="T34" s="7">
        <f>IF($W34="","",M34+P34)</f>
        <v/>
      </c>
      <c r="U34" s="7">
        <f>IF($W34="","",T34-R34-J34)</f>
        <v/>
      </c>
      <c r="V34" s="12" t="n"/>
      <c r="W34" s="13">
        <f>IF(ROWS($W$2:$W34)&lt;=MAX('Per Line'!$AC$2:$AC$501),MATCH(ROWS($W$2:$W34),'Per Line'!$AC$2:$AC$501,0),"")</f>
        <v/>
      </c>
    </row>
    <row r="35">
      <c r="A35" s="12" t="n"/>
      <c r="B35">
        <f>IF($W35="","",INDEX('Per Line'!$C$2:$C$501,$W35)&amp;"")</f>
        <v/>
      </c>
      <c r="C35">
        <f>IF($W35="","",INDEX('Per Line'!$A$2:$A$501,$W35)&amp;"")</f>
        <v/>
      </c>
      <c r="D35">
        <f>IF($W35="","",INDEX('Per Line'!$E$2:$E$501,$W35)&amp;"")</f>
        <v/>
      </c>
      <c r="E35">
        <f>IF($W35="","",INDEX('Per Line'!$H$2:$H$501,$W35)&amp;"")</f>
        <v/>
      </c>
      <c r="F35">
        <f>IF($W35="","",INDEX('Per Line'!$K$2:$K$501,$W35)&amp;"")</f>
        <v/>
      </c>
      <c r="G35">
        <f>IF($W35="","",INDEX('Per Line'!$L$2:$L$501,$W35)&amp;"")</f>
        <v/>
      </c>
      <c r="H35" s="12" t="n"/>
      <c r="I35">
        <f>IF($W35="","",INDEX('Per Line'!$M$2:$M$501,$W35))</f>
        <v/>
      </c>
      <c r="J35" s="7">
        <f>IF($W35="","",I35*T35/100)</f>
        <v/>
      </c>
      <c r="K35" s="11">
        <f>IF($W35="","",INDEX('Per Line'!$O$2:$O$501,$W35))</f>
        <v/>
      </c>
      <c r="L35">
        <f>IF($W35="","",Settings!$C$7)</f>
        <v/>
      </c>
      <c r="M35" s="7">
        <f>IF($W35="","",SUMIFS('Per Line'!$Y$2:$Y$501,'Per Line'!$C$2:$C$501,$B35,'Per Line'!$AD$2:$AD$501,0))</f>
        <v/>
      </c>
      <c r="N35" s="7">
        <f>IF($W35="","",M35*L35)</f>
        <v/>
      </c>
      <c r="O35">
        <f>IF($W35="","",Settings!$C$6)</f>
        <v/>
      </c>
      <c r="P35" s="7">
        <f>IF($W35="","",SUMIFS('Per Line'!$Y$2:$Y$501,'Per Line'!$C$2:$C$501,$B35,'Per Line'!$AD$2:$AD$501,1))</f>
        <v/>
      </c>
      <c r="Q35" s="7">
        <f>IF($W35="","",P35*O35)</f>
        <v/>
      </c>
      <c r="R35" s="7">
        <f>IF($W35="","",Q35+N35)</f>
        <v/>
      </c>
      <c r="S35" s="7">
        <f>IF($W35="","",T35-R35)</f>
        <v/>
      </c>
      <c r="T35" s="7">
        <f>IF($W35="","",M35+P35)</f>
        <v/>
      </c>
      <c r="U35" s="7">
        <f>IF($W35="","",T35-R35-J35)</f>
        <v/>
      </c>
      <c r="V35" s="12" t="n"/>
      <c r="W35" s="13">
        <f>IF(ROWS($W$2:$W35)&lt;=MAX('Per Line'!$AC$2:$AC$501),MATCH(ROWS($W$2:$W35),'Per Line'!$AC$2:$AC$501,0),"")</f>
        <v/>
      </c>
    </row>
    <row r="36">
      <c r="A36" s="12" t="n"/>
      <c r="B36">
        <f>IF($W36="","",INDEX('Per Line'!$C$2:$C$501,$W36)&amp;"")</f>
        <v/>
      </c>
      <c r="C36">
        <f>IF($W36="","",INDEX('Per Line'!$A$2:$A$501,$W36)&amp;"")</f>
        <v/>
      </c>
      <c r="D36">
        <f>IF($W36="","",INDEX('Per Line'!$E$2:$E$501,$W36)&amp;"")</f>
        <v/>
      </c>
      <c r="E36">
        <f>IF($W36="","",INDEX('Per Line'!$H$2:$H$501,$W36)&amp;"")</f>
        <v/>
      </c>
      <c r="F36">
        <f>IF($W36="","",INDEX('Per Line'!$K$2:$K$501,$W36)&amp;"")</f>
        <v/>
      </c>
      <c r="G36">
        <f>IF($W36="","",INDEX('Per Line'!$L$2:$L$501,$W36)&amp;"")</f>
        <v/>
      </c>
      <c r="H36" s="12" t="n"/>
      <c r="I36">
        <f>IF($W36="","",INDEX('Per Line'!$M$2:$M$501,$W36))</f>
        <v/>
      </c>
      <c r="J36" s="7">
        <f>IF($W36="","",I36*T36/100)</f>
        <v/>
      </c>
      <c r="K36" s="11">
        <f>IF($W36="","",INDEX('Per Line'!$O$2:$O$501,$W36))</f>
        <v/>
      </c>
      <c r="L36">
        <f>IF($W36="","",Settings!$C$7)</f>
        <v/>
      </c>
      <c r="M36" s="7">
        <f>IF($W36="","",SUMIFS('Per Line'!$Y$2:$Y$501,'Per Line'!$C$2:$C$501,$B36,'Per Line'!$AD$2:$AD$501,0))</f>
        <v/>
      </c>
      <c r="N36" s="7">
        <f>IF($W36="","",M36*L36)</f>
        <v/>
      </c>
      <c r="O36">
        <f>IF($W36="","",Settings!$C$6)</f>
        <v/>
      </c>
      <c r="P36" s="7">
        <f>IF($W36="","",SUMIFS('Per Line'!$Y$2:$Y$501,'Per Line'!$C$2:$C$501,$B36,'Per Line'!$AD$2:$AD$501,1))</f>
        <v/>
      </c>
      <c r="Q36" s="7">
        <f>IF($W36="","",P36*O36)</f>
        <v/>
      </c>
      <c r="R36" s="7">
        <f>IF($W36="","",Q36+N36)</f>
        <v/>
      </c>
      <c r="S36" s="7">
        <f>IF($W36="","",T36-R36)</f>
        <v/>
      </c>
      <c r="T36" s="7">
        <f>IF($W36="","",M36+P36)</f>
        <v/>
      </c>
      <c r="U36" s="7">
        <f>IF($W36="","",T36-R36-J36)</f>
        <v/>
      </c>
      <c r="V36" s="12" t="n"/>
      <c r="W36" s="13">
        <f>IF(ROWS($W$2:$W36)&lt;=MAX('Per Line'!$AC$2:$AC$501),MATCH(ROWS($W$2:$W36),'Per Line'!$AC$2:$AC$501,0),"")</f>
        <v/>
      </c>
    </row>
    <row r="37">
      <c r="A37" s="12" t="n"/>
      <c r="B37">
        <f>IF($W37="","",INDEX('Per Line'!$C$2:$C$501,$W37)&amp;"")</f>
        <v/>
      </c>
      <c r="C37">
        <f>IF($W37="","",INDEX('Per Line'!$A$2:$A$501,$W37)&amp;"")</f>
        <v/>
      </c>
      <c r="D37">
        <f>IF($W37="","",INDEX('Per Line'!$E$2:$E$501,$W37)&amp;"")</f>
        <v/>
      </c>
      <c r="E37">
        <f>IF($W37="","",INDEX('Per Line'!$H$2:$H$501,$W37)&amp;"")</f>
        <v/>
      </c>
      <c r="F37">
        <f>IF($W37="","",INDEX('Per Line'!$K$2:$K$501,$W37)&amp;"")</f>
        <v/>
      </c>
      <c r="G37">
        <f>IF($W37="","",INDEX('Per Line'!$L$2:$L$501,$W37)&amp;"")</f>
        <v/>
      </c>
      <c r="H37" s="12" t="n"/>
      <c r="I37">
        <f>IF($W37="","",INDEX('Per Line'!$M$2:$M$501,$W37))</f>
        <v/>
      </c>
      <c r="J37" s="7">
        <f>IF($W37="","",I37*T37/100)</f>
        <v/>
      </c>
      <c r="K37" s="11">
        <f>IF($W37="","",INDEX('Per Line'!$O$2:$O$501,$W37))</f>
        <v/>
      </c>
      <c r="L37">
        <f>IF($W37="","",Settings!$C$7)</f>
        <v/>
      </c>
      <c r="M37" s="7">
        <f>IF($W37="","",SUMIFS('Per Line'!$Y$2:$Y$501,'Per Line'!$C$2:$C$501,$B37,'Per Line'!$AD$2:$AD$501,0))</f>
        <v/>
      </c>
      <c r="N37" s="7">
        <f>IF($W37="","",M37*L37)</f>
        <v/>
      </c>
      <c r="O37">
        <f>IF($W37="","",Settings!$C$6)</f>
        <v/>
      </c>
      <c r="P37" s="7">
        <f>IF($W37="","",SUMIFS('Per Line'!$Y$2:$Y$501,'Per Line'!$C$2:$C$501,$B37,'Per Line'!$AD$2:$AD$501,1))</f>
        <v/>
      </c>
      <c r="Q37" s="7">
        <f>IF($W37="","",P37*O37)</f>
        <v/>
      </c>
      <c r="R37" s="7">
        <f>IF($W37="","",Q37+N37)</f>
        <v/>
      </c>
      <c r="S37" s="7">
        <f>IF($W37="","",T37-R37)</f>
        <v/>
      </c>
      <c r="T37" s="7">
        <f>IF($W37="","",M37+P37)</f>
        <v/>
      </c>
      <c r="U37" s="7">
        <f>IF($W37="","",T37-R37-J37)</f>
        <v/>
      </c>
      <c r="V37" s="12" t="n"/>
      <c r="W37" s="13">
        <f>IF(ROWS($W$2:$W37)&lt;=MAX('Per Line'!$AC$2:$AC$501),MATCH(ROWS($W$2:$W37),'Per Line'!$AC$2:$AC$501,0),"")</f>
        <v/>
      </c>
    </row>
    <row r="38">
      <c r="A38" s="12" t="n"/>
      <c r="B38">
        <f>IF($W38="","",INDEX('Per Line'!$C$2:$C$501,$W38)&amp;"")</f>
        <v/>
      </c>
      <c r="C38">
        <f>IF($W38="","",INDEX('Per Line'!$A$2:$A$501,$W38)&amp;"")</f>
        <v/>
      </c>
      <c r="D38">
        <f>IF($W38="","",INDEX('Per Line'!$E$2:$E$501,$W38)&amp;"")</f>
        <v/>
      </c>
      <c r="E38">
        <f>IF($W38="","",INDEX('Per Line'!$H$2:$H$501,$W38)&amp;"")</f>
        <v/>
      </c>
      <c r="F38">
        <f>IF($W38="","",INDEX('Per Line'!$K$2:$K$501,$W38)&amp;"")</f>
        <v/>
      </c>
      <c r="G38">
        <f>IF($W38="","",INDEX('Per Line'!$L$2:$L$501,$W38)&amp;"")</f>
        <v/>
      </c>
      <c r="H38" s="12" t="n"/>
      <c r="I38">
        <f>IF($W38="","",INDEX('Per Line'!$M$2:$M$501,$W38))</f>
        <v/>
      </c>
      <c r="J38" s="7">
        <f>IF($W38="","",I38*T38/100)</f>
        <v/>
      </c>
      <c r="K38" s="11">
        <f>IF($W38="","",INDEX('Per Line'!$O$2:$O$501,$W38))</f>
        <v/>
      </c>
      <c r="L38">
        <f>IF($W38="","",Settings!$C$7)</f>
        <v/>
      </c>
      <c r="M38" s="7">
        <f>IF($W38="","",SUMIFS('Per Line'!$Y$2:$Y$501,'Per Line'!$C$2:$C$501,$B38,'Per Line'!$AD$2:$AD$501,0))</f>
        <v/>
      </c>
      <c r="N38" s="7">
        <f>IF($W38="","",M38*L38)</f>
        <v/>
      </c>
      <c r="O38">
        <f>IF($W38="","",Settings!$C$6)</f>
        <v/>
      </c>
      <c r="P38" s="7">
        <f>IF($W38="","",SUMIFS('Per Line'!$Y$2:$Y$501,'Per Line'!$C$2:$C$501,$B38,'Per Line'!$AD$2:$AD$501,1))</f>
        <v/>
      </c>
      <c r="Q38" s="7">
        <f>IF($W38="","",P38*O38)</f>
        <v/>
      </c>
      <c r="R38" s="7">
        <f>IF($W38="","",Q38+N38)</f>
        <v/>
      </c>
      <c r="S38" s="7">
        <f>IF($W38="","",T38-R38)</f>
        <v/>
      </c>
      <c r="T38" s="7">
        <f>IF($W38="","",M38+P38)</f>
        <v/>
      </c>
      <c r="U38" s="7">
        <f>IF($W38="","",T38-R38-J38)</f>
        <v/>
      </c>
      <c r="V38" s="12" t="n"/>
      <c r="W38" s="13">
        <f>IF(ROWS($W$2:$W38)&lt;=MAX('Per Line'!$AC$2:$AC$501),MATCH(ROWS($W$2:$W38),'Per Line'!$AC$2:$AC$501,0),"")</f>
        <v/>
      </c>
    </row>
    <row r="39">
      <c r="A39" s="12" t="n"/>
      <c r="B39">
        <f>IF($W39="","",INDEX('Per Line'!$C$2:$C$501,$W39)&amp;"")</f>
        <v/>
      </c>
      <c r="C39">
        <f>IF($W39="","",INDEX('Per Line'!$A$2:$A$501,$W39)&amp;"")</f>
        <v/>
      </c>
      <c r="D39">
        <f>IF($W39="","",INDEX('Per Line'!$E$2:$E$501,$W39)&amp;"")</f>
        <v/>
      </c>
      <c r="E39">
        <f>IF($W39="","",INDEX('Per Line'!$H$2:$H$501,$W39)&amp;"")</f>
        <v/>
      </c>
      <c r="F39">
        <f>IF($W39="","",INDEX('Per Line'!$K$2:$K$501,$W39)&amp;"")</f>
        <v/>
      </c>
      <c r="G39">
        <f>IF($W39="","",INDEX('Per Line'!$L$2:$L$501,$W39)&amp;"")</f>
        <v/>
      </c>
      <c r="H39" s="12" t="n"/>
      <c r="I39">
        <f>IF($W39="","",INDEX('Per Line'!$M$2:$M$501,$W39))</f>
        <v/>
      </c>
      <c r="J39" s="7">
        <f>IF($W39="","",I39*T39/100)</f>
        <v/>
      </c>
      <c r="K39" s="11">
        <f>IF($W39="","",INDEX('Per Line'!$O$2:$O$501,$W39))</f>
        <v/>
      </c>
      <c r="L39">
        <f>IF($W39="","",Settings!$C$7)</f>
        <v/>
      </c>
      <c r="M39" s="7">
        <f>IF($W39="","",SUMIFS('Per Line'!$Y$2:$Y$501,'Per Line'!$C$2:$C$501,$B39,'Per Line'!$AD$2:$AD$501,0))</f>
        <v/>
      </c>
      <c r="N39" s="7">
        <f>IF($W39="","",M39*L39)</f>
        <v/>
      </c>
      <c r="O39">
        <f>IF($W39="","",Settings!$C$6)</f>
        <v/>
      </c>
      <c r="P39" s="7">
        <f>IF($W39="","",SUMIFS('Per Line'!$Y$2:$Y$501,'Per Line'!$C$2:$C$501,$B39,'Per Line'!$AD$2:$AD$501,1))</f>
        <v/>
      </c>
      <c r="Q39" s="7">
        <f>IF($W39="","",P39*O39)</f>
        <v/>
      </c>
      <c r="R39" s="7">
        <f>IF($W39="","",Q39+N39)</f>
        <v/>
      </c>
      <c r="S39" s="7">
        <f>IF($W39="","",T39-R39)</f>
        <v/>
      </c>
      <c r="T39" s="7">
        <f>IF($W39="","",M39+P39)</f>
        <v/>
      </c>
      <c r="U39" s="7">
        <f>IF($W39="","",T39-R39-J39)</f>
        <v/>
      </c>
      <c r="V39" s="12" t="n"/>
      <c r="W39" s="13">
        <f>IF(ROWS($W$2:$W39)&lt;=MAX('Per Line'!$AC$2:$AC$501),MATCH(ROWS($W$2:$W39),'Per Line'!$AC$2:$AC$501,0),"")</f>
        <v/>
      </c>
    </row>
    <row r="40">
      <c r="A40" s="12" t="n"/>
      <c r="B40">
        <f>IF($W40="","",INDEX('Per Line'!$C$2:$C$501,$W40)&amp;"")</f>
        <v/>
      </c>
      <c r="C40">
        <f>IF($W40="","",INDEX('Per Line'!$A$2:$A$501,$W40)&amp;"")</f>
        <v/>
      </c>
      <c r="D40">
        <f>IF($W40="","",INDEX('Per Line'!$E$2:$E$501,$W40)&amp;"")</f>
        <v/>
      </c>
      <c r="E40">
        <f>IF($W40="","",INDEX('Per Line'!$H$2:$H$501,$W40)&amp;"")</f>
        <v/>
      </c>
      <c r="F40">
        <f>IF($W40="","",INDEX('Per Line'!$K$2:$K$501,$W40)&amp;"")</f>
        <v/>
      </c>
      <c r="G40">
        <f>IF($W40="","",INDEX('Per Line'!$L$2:$L$501,$W40)&amp;"")</f>
        <v/>
      </c>
      <c r="H40" s="12" t="n"/>
      <c r="I40">
        <f>IF($W40="","",INDEX('Per Line'!$M$2:$M$501,$W40))</f>
        <v/>
      </c>
      <c r="J40" s="7">
        <f>IF($W40="","",I40*T40/100)</f>
        <v/>
      </c>
      <c r="K40" s="11">
        <f>IF($W40="","",INDEX('Per Line'!$O$2:$O$501,$W40))</f>
        <v/>
      </c>
      <c r="L40">
        <f>IF($W40="","",Settings!$C$7)</f>
        <v/>
      </c>
      <c r="M40" s="7">
        <f>IF($W40="","",SUMIFS('Per Line'!$Y$2:$Y$501,'Per Line'!$C$2:$C$501,$B40,'Per Line'!$AD$2:$AD$501,0))</f>
        <v/>
      </c>
      <c r="N40" s="7">
        <f>IF($W40="","",M40*L40)</f>
        <v/>
      </c>
      <c r="O40">
        <f>IF($W40="","",Settings!$C$6)</f>
        <v/>
      </c>
      <c r="P40" s="7">
        <f>IF($W40="","",SUMIFS('Per Line'!$Y$2:$Y$501,'Per Line'!$C$2:$C$501,$B40,'Per Line'!$AD$2:$AD$501,1))</f>
        <v/>
      </c>
      <c r="Q40" s="7">
        <f>IF($W40="","",P40*O40)</f>
        <v/>
      </c>
      <c r="R40" s="7">
        <f>IF($W40="","",Q40+N40)</f>
        <v/>
      </c>
      <c r="S40" s="7">
        <f>IF($W40="","",T40-R40)</f>
        <v/>
      </c>
      <c r="T40" s="7">
        <f>IF($W40="","",M40+P40)</f>
        <v/>
      </c>
      <c r="U40" s="7">
        <f>IF($W40="","",T40-R40-J40)</f>
        <v/>
      </c>
      <c r="V40" s="12" t="n"/>
      <c r="W40" s="13">
        <f>IF(ROWS($W$2:$W40)&lt;=MAX('Per Line'!$AC$2:$AC$501),MATCH(ROWS($W$2:$W40),'Per Line'!$AC$2:$AC$501,0),"")</f>
        <v/>
      </c>
    </row>
    <row r="41">
      <c r="A41" s="12" t="n"/>
      <c r="B41">
        <f>IF($W41="","",INDEX('Per Line'!$C$2:$C$501,$W41)&amp;"")</f>
        <v/>
      </c>
      <c r="C41">
        <f>IF($W41="","",INDEX('Per Line'!$A$2:$A$501,$W41)&amp;"")</f>
        <v/>
      </c>
      <c r="D41">
        <f>IF($W41="","",INDEX('Per Line'!$E$2:$E$501,$W41)&amp;"")</f>
        <v/>
      </c>
      <c r="E41">
        <f>IF($W41="","",INDEX('Per Line'!$H$2:$H$501,$W41)&amp;"")</f>
        <v/>
      </c>
      <c r="F41">
        <f>IF($W41="","",INDEX('Per Line'!$K$2:$K$501,$W41)&amp;"")</f>
        <v/>
      </c>
      <c r="G41">
        <f>IF($W41="","",INDEX('Per Line'!$L$2:$L$501,$W41)&amp;"")</f>
        <v/>
      </c>
      <c r="H41" s="12" t="n"/>
      <c r="I41">
        <f>IF($W41="","",INDEX('Per Line'!$M$2:$M$501,$W41))</f>
        <v/>
      </c>
      <c r="J41" s="7">
        <f>IF($W41="","",I41*T41/100)</f>
        <v/>
      </c>
      <c r="K41" s="11">
        <f>IF($W41="","",INDEX('Per Line'!$O$2:$O$501,$W41))</f>
        <v/>
      </c>
      <c r="L41">
        <f>IF($W41="","",Settings!$C$7)</f>
        <v/>
      </c>
      <c r="M41" s="7">
        <f>IF($W41="","",SUMIFS('Per Line'!$Y$2:$Y$501,'Per Line'!$C$2:$C$501,$B41,'Per Line'!$AD$2:$AD$501,0))</f>
        <v/>
      </c>
      <c r="N41" s="7">
        <f>IF($W41="","",M41*L41)</f>
        <v/>
      </c>
      <c r="O41">
        <f>IF($W41="","",Settings!$C$6)</f>
        <v/>
      </c>
      <c r="P41" s="7">
        <f>IF($W41="","",SUMIFS('Per Line'!$Y$2:$Y$501,'Per Line'!$C$2:$C$501,$B41,'Per Line'!$AD$2:$AD$501,1))</f>
        <v/>
      </c>
      <c r="Q41" s="7">
        <f>IF($W41="","",P41*O41)</f>
        <v/>
      </c>
      <c r="R41" s="7">
        <f>IF($W41="","",Q41+N41)</f>
        <v/>
      </c>
      <c r="S41" s="7">
        <f>IF($W41="","",T41-R41)</f>
        <v/>
      </c>
      <c r="T41" s="7">
        <f>IF($W41="","",M41+P41)</f>
        <v/>
      </c>
      <c r="U41" s="7">
        <f>IF($W41="","",T41-R41-J41)</f>
        <v/>
      </c>
      <c r="V41" s="12" t="n"/>
      <c r="W41" s="13">
        <f>IF(ROWS($W$2:$W41)&lt;=MAX('Per Line'!$AC$2:$AC$501),MATCH(ROWS($W$2:$W41),'Per Line'!$AC$2:$AC$501,0),"")</f>
        <v/>
      </c>
    </row>
    <row r="42">
      <c r="A42" s="12" t="n"/>
      <c r="B42">
        <f>IF($W42="","",INDEX('Per Line'!$C$2:$C$501,$W42)&amp;"")</f>
        <v/>
      </c>
      <c r="C42">
        <f>IF($W42="","",INDEX('Per Line'!$A$2:$A$501,$W42)&amp;"")</f>
        <v/>
      </c>
      <c r="D42">
        <f>IF($W42="","",INDEX('Per Line'!$E$2:$E$501,$W42)&amp;"")</f>
        <v/>
      </c>
      <c r="E42">
        <f>IF($W42="","",INDEX('Per Line'!$H$2:$H$501,$W42)&amp;"")</f>
        <v/>
      </c>
      <c r="F42">
        <f>IF($W42="","",INDEX('Per Line'!$K$2:$K$501,$W42)&amp;"")</f>
        <v/>
      </c>
      <c r="G42">
        <f>IF($W42="","",INDEX('Per Line'!$L$2:$L$501,$W42)&amp;"")</f>
        <v/>
      </c>
      <c r="H42" s="12" t="n"/>
      <c r="I42">
        <f>IF($W42="","",INDEX('Per Line'!$M$2:$M$501,$W42))</f>
        <v/>
      </c>
      <c r="J42" s="7">
        <f>IF($W42="","",I42*T42/100)</f>
        <v/>
      </c>
      <c r="K42" s="11">
        <f>IF($W42="","",INDEX('Per Line'!$O$2:$O$501,$W42))</f>
        <v/>
      </c>
      <c r="L42">
        <f>IF($W42="","",Settings!$C$7)</f>
        <v/>
      </c>
      <c r="M42" s="7">
        <f>IF($W42="","",SUMIFS('Per Line'!$Y$2:$Y$501,'Per Line'!$C$2:$C$501,$B42,'Per Line'!$AD$2:$AD$501,0))</f>
        <v/>
      </c>
      <c r="N42" s="7">
        <f>IF($W42="","",M42*L42)</f>
        <v/>
      </c>
      <c r="O42">
        <f>IF($W42="","",Settings!$C$6)</f>
        <v/>
      </c>
      <c r="P42" s="7">
        <f>IF($W42="","",SUMIFS('Per Line'!$Y$2:$Y$501,'Per Line'!$C$2:$C$501,$B42,'Per Line'!$AD$2:$AD$501,1))</f>
        <v/>
      </c>
      <c r="Q42" s="7">
        <f>IF($W42="","",P42*O42)</f>
        <v/>
      </c>
      <c r="R42" s="7">
        <f>IF($W42="","",Q42+N42)</f>
        <v/>
      </c>
      <c r="S42" s="7">
        <f>IF($W42="","",T42-R42)</f>
        <v/>
      </c>
      <c r="T42" s="7">
        <f>IF($W42="","",M42+P42)</f>
        <v/>
      </c>
      <c r="U42" s="7">
        <f>IF($W42="","",T42-R42-J42)</f>
        <v/>
      </c>
      <c r="V42" s="12" t="n"/>
      <c r="W42" s="13">
        <f>IF(ROWS($W$2:$W42)&lt;=MAX('Per Line'!$AC$2:$AC$501),MATCH(ROWS($W$2:$W42),'Per Line'!$AC$2:$AC$501,0),"")</f>
        <v/>
      </c>
    </row>
    <row r="43">
      <c r="A43" s="12" t="n"/>
      <c r="B43">
        <f>IF($W43="","",INDEX('Per Line'!$C$2:$C$501,$W43)&amp;"")</f>
        <v/>
      </c>
      <c r="C43">
        <f>IF($W43="","",INDEX('Per Line'!$A$2:$A$501,$W43)&amp;"")</f>
        <v/>
      </c>
      <c r="D43">
        <f>IF($W43="","",INDEX('Per Line'!$E$2:$E$501,$W43)&amp;"")</f>
        <v/>
      </c>
      <c r="E43">
        <f>IF($W43="","",INDEX('Per Line'!$H$2:$H$501,$W43)&amp;"")</f>
        <v/>
      </c>
      <c r="F43">
        <f>IF($W43="","",INDEX('Per Line'!$K$2:$K$501,$W43)&amp;"")</f>
        <v/>
      </c>
      <c r="G43">
        <f>IF($W43="","",INDEX('Per Line'!$L$2:$L$501,$W43)&amp;"")</f>
        <v/>
      </c>
      <c r="H43" s="12" t="n"/>
      <c r="I43">
        <f>IF($W43="","",INDEX('Per Line'!$M$2:$M$501,$W43))</f>
        <v/>
      </c>
      <c r="J43" s="7">
        <f>IF($W43="","",I43*T43/100)</f>
        <v/>
      </c>
      <c r="K43" s="11">
        <f>IF($W43="","",INDEX('Per Line'!$O$2:$O$501,$W43))</f>
        <v/>
      </c>
      <c r="L43">
        <f>IF($W43="","",Settings!$C$7)</f>
        <v/>
      </c>
      <c r="M43" s="7">
        <f>IF($W43="","",SUMIFS('Per Line'!$Y$2:$Y$501,'Per Line'!$C$2:$C$501,$B43,'Per Line'!$AD$2:$AD$501,0))</f>
        <v/>
      </c>
      <c r="N43" s="7">
        <f>IF($W43="","",M43*L43)</f>
        <v/>
      </c>
      <c r="O43">
        <f>IF($W43="","",Settings!$C$6)</f>
        <v/>
      </c>
      <c r="P43" s="7">
        <f>IF($W43="","",SUMIFS('Per Line'!$Y$2:$Y$501,'Per Line'!$C$2:$C$501,$B43,'Per Line'!$AD$2:$AD$501,1))</f>
        <v/>
      </c>
      <c r="Q43" s="7">
        <f>IF($W43="","",P43*O43)</f>
        <v/>
      </c>
      <c r="R43" s="7">
        <f>IF($W43="","",Q43+N43)</f>
        <v/>
      </c>
      <c r="S43" s="7">
        <f>IF($W43="","",T43-R43)</f>
        <v/>
      </c>
      <c r="T43" s="7">
        <f>IF($W43="","",M43+P43)</f>
        <v/>
      </c>
      <c r="U43" s="7">
        <f>IF($W43="","",T43-R43-J43)</f>
        <v/>
      </c>
      <c r="V43" s="12" t="n"/>
      <c r="W43" s="13">
        <f>IF(ROWS($W$2:$W43)&lt;=MAX('Per Line'!$AC$2:$AC$501),MATCH(ROWS($W$2:$W43),'Per Line'!$AC$2:$AC$501,0),"")</f>
        <v/>
      </c>
    </row>
    <row r="44">
      <c r="A44" s="12" t="n"/>
      <c r="B44">
        <f>IF($W44="","",INDEX('Per Line'!$C$2:$C$501,$W44)&amp;"")</f>
        <v/>
      </c>
      <c r="C44">
        <f>IF($W44="","",INDEX('Per Line'!$A$2:$A$501,$W44)&amp;"")</f>
        <v/>
      </c>
      <c r="D44">
        <f>IF($W44="","",INDEX('Per Line'!$E$2:$E$501,$W44)&amp;"")</f>
        <v/>
      </c>
      <c r="E44">
        <f>IF($W44="","",INDEX('Per Line'!$H$2:$H$501,$W44)&amp;"")</f>
        <v/>
      </c>
      <c r="F44">
        <f>IF($W44="","",INDEX('Per Line'!$K$2:$K$501,$W44)&amp;"")</f>
        <v/>
      </c>
      <c r="G44">
        <f>IF($W44="","",INDEX('Per Line'!$L$2:$L$501,$W44)&amp;"")</f>
        <v/>
      </c>
      <c r="H44" s="12" t="n"/>
      <c r="I44">
        <f>IF($W44="","",INDEX('Per Line'!$M$2:$M$501,$W44))</f>
        <v/>
      </c>
      <c r="J44" s="7">
        <f>IF($W44="","",I44*T44/100)</f>
        <v/>
      </c>
      <c r="K44" s="11">
        <f>IF($W44="","",INDEX('Per Line'!$O$2:$O$501,$W44))</f>
        <v/>
      </c>
      <c r="L44">
        <f>IF($W44="","",Settings!$C$7)</f>
        <v/>
      </c>
      <c r="M44" s="7">
        <f>IF($W44="","",SUMIFS('Per Line'!$Y$2:$Y$501,'Per Line'!$C$2:$C$501,$B44,'Per Line'!$AD$2:$AD$501,0))</f>
        <v/>
      </c>
      <c r="N44" s="7">
        <f>IF($W44="","",M44*L44)</f>
        <v/>
      </c>
      <c r="O44">
        <f>IF($W44="","",Settings!$C$6)</f>
        <v/>
      </c>
      <c r="P44" s="7">
        <f>IF($W44="","",SUMIFS('Per Line'!$Y$2:$Y$501,'Per Line'!$C$2:$C$501,$B44,'Per Line'!$AD$2:$AD$501,1))</f>
        <v/>
      </c>
      <c r="Q44" s="7">
        <f>IF($W44="","",P44*O44)</f>
        <v/>
      </c>
      <c r="R44" s="7">
        <f>IF($W44="","",Q44+N44)</f>
        <v/>
      </c>
      <c r="S44" s="7">
        <f>IF($W44="","",T44-R44)</f>
        <v/>
      </c>
      <c r="T44" s="7">
        <f>IF($W44="","",M44+P44)</f>
        <v/>
      </c>
      <c r="U44" s="7">
        <f>IF($W44="","",T44-R44-J44)</f>
        <v/>
      </c>
      <c r="V44" s="12" t="n"/>
      <c r="W44" s="13">
        <f>IF(ROWS($W$2:$W44)&lt;=MAX('Per Line'!$AC$2:$AC$501),MATCH(ROWS($W$2:$W44),'Per Line'!$AC$2:$AC$501,0),"")</f>
        <v/>
      </c>
    </row>
    <row r="45">
      <c r="A45" s="12" t="n"/>
      <c r="B45">
        <f>IF($W45="","",INDEX('Per Line'!$C$2:$C$501,$W45)&amp;"")</f>
        <v/>
      </c>
      <c r="C45">
        <f>IF($W45="","",INDEX('Per Line'!$A$2:$A$501,$W45)&amp;"")</f>
        <v/>
      </c>
      <c r="D45">
        <f>IF($W45="","",INDEX('Per Line'!$E$2:$E$501,$W45)&amp;"")</f>
        <v/>
      </c>
      <c r="E45">
        <f>IF($W45="","",INDEX('Per Line'!$H$2:$H$501,$W45)&amp;"")</f>
        <v/>
      </c>
      <c r="F45">
        <f>IF($W45="","",INDEX('Per Line'!$K$2:$K$501,$W45)&amp;"")</f>
        <v/>
      </c>
      <c r="G45">
        <f>IF($W45="","",INDEX('Per Line'!$L$2:$L$501,$W45)&amp;"")</f>
        <v/>
      </c>
      <c r="H45" s="12" t="n"/>
      <c r="I45">
        <f>IF($W45="","",INDEX('Per Line'!$M$2:$M$501,$W45))</f>
        <v/>
      </c>
      <c r="J45" s="7">
        <f>IF($W45="","",I45*T45/100)</f>
        <v/>
      </c>
      <c r="K45" s="11">
        <f>IF($W45="","",INDEX('Per Line'!$O$2:$O$501,$W45))</f>
        <v/>
      </c>
      <c r="L45">
        <f>IF($W45="","",Settings!$C$7)</f>
        <v/>
      </c>
      <c r="M45" s="7">
        <f>IF($W45="","",SUMIFS('Per Line'!$Y$2:$Y$501,'Per Line'!$C$2:$C$501,$B45,'Per Line'!$AD$2:$AD$501,0))</f>
        <v/>
      </c>
      <c r="N45" s="7">
        <f>IF($W45="","",M45*L45)</f>
        <v/>
      </c>
      <c r="O45">
        <f>IF($W45="","",Settings!$C$6)</f>
        <v/>
      </c>
      <c r="P45" s="7">
        <f>IF($W45="","",SUMIFS('Per Line'!$Y$2:$Y$501,'Per Line'!$C$2:$C$501,$B45,'Per Line'!$AD$2:$AD$501,1))</f>
        <v/>
      </c>
      <c r="Q45" s="7">
        <f>IF($W45="","",P45*O45)</f>
        <v/>
      </c>
      <c r="R45" s="7">
        <f>IF($W45="","",Q45+N45)</f>
        <v/>
      </c>
      <c r="S45" s="7">
        <f>IF($W45="","",T45-R45)</f>
        <v/>
      </c>
      <c r="T45" s="7">
        <f>IF($W45="","",M45+P45)</f>
        <v/>
      </c>
      <c r="U45" s="7">
        <f>IF($W45="","",T45-R45-J45)</f>
        <v/>
      </c>
      <c r="V45" s="12" t="n"/>
      <c r="W45" s="13">
        <f>IF(ROWS($W$2:$W45)&lt;=MAX('Per Line'!$AC$2:$AC$501),MATCH(ROWS($W$2:$W45),'Per Line'!$AC$2:$AC$501,0),"")</f>
        <v/>
      </c>
    </row>
    <row r="46">
      <c r="A46" s="12" t="n"/>
      <c r="B46">
        <f>IF($W46="","",INDEX('Per Line'!$C$2:$C$501,$W46)&amp;"")</f>
        <v/>
      </c>
      <c r="C46">
        <f>IF($W46="","",INDEX('Per Line'!$A$2:$A$501,$W46)&amp;"")</f>
        <v/>
      </c>
      <c r="D46">
        <f>IF($W46="","",INDEX('Per Line'!$E$2:$E$501,$W46)&amp;"")</f>
        <v/>
      </c>
      <c r="E46">
        <f>IF($W46="","",INDEX('Per Line'!$H$2:$H$501,$W46)&amp;"")</f>
        <v/>
      </c>
      <c r="F46">
        <f>IF($W46="","",INDEX('Per Line'!$K$2:$K$501,$W46)&amp;"")</f>
        <v/>
      </c>
      <c r="G46">
        <f>IF($W46="","",INDEX('Per Line'!$L$2:$L$501,$W46)&amp;"")</f>
        <v/>
      </c>
      <c r="H46" s="12" t="n"/>
      <c r="I46">
        <f>IF($W46="","",INDEX('Per Line'!$M$2:$M$501,$W46))</f>
        <v/>
      </c>
      <c r="J46" s="7">
        <f>IF($W46="","",I46*T46/100)</f>
        <v/>
      </c>
      <c r="K46" s="11">
        <f>IF($W46="","",INDEX('Per Line'!$O$2:$O$501,$W46))</f>
        <v/>
      </c>
      <c r="L46">
        <f>IF($W46="","",Settings!$C$7)</f>
        <v/>
      </c>
      <c r="M46" s="7">
        <f>IF($W46="","",SUMIFS('Per Line'!$Y$2:$Y$501,'Per Line'!$C$2:$C$501,$B46,'Per Line'!$AD$2:$AD$501,0))</f>
        <v/>
      </c>
      <c r="N46" s="7">
        <f>IF($W46="","",M46*L46)</f>
        <v/>
      </c>
      <c r="O46">
        <f>IF($W46="","",Settings!$C$6)</f>
        <v/>
      </c>
      <c r="P46" s="7">
        <f>IF($W46="","",SUMIFS('Per Line'!$Y$2:$Y$501,'Per Line'!$C$2:$C$501,$B46,'Per Line'!$AD$2:$AD$501,1))</f>
        <v/>
      </c>
      <c r="Q46" s="7">
        <f>IF($W46="","",P46*O46)</f>
        <v/>
      </c>
      <c r="R46" s="7">
        <f>IF($W46="","",Q46+N46)</f>
        <v/>
      </c>
      <c r="S46" s="7">
        <f>IF($W46="","",T46-R46)</f>
        <v/>
      </c>
      <c r="T46" s="7">
        <f>IF($W46="","",M46+P46)</f>
        <v/>
      </c>
      <c r="U46" s="7">
        <f>IF($W46="","",T46-R46-J46)</f>
        <v/>
      </c>
      <c r="V46" s="12" t="n"/>
      <c r="W46" s="13">
        <f>IF(ROWS($W$2:$W46)&lt;=MAX('Per Line'!$AC$2:$AC$501),MATCH(ROWS($W$2:$W46),'Per Line'!$AC$2:$AC$501,0),"")</f>
        <v/>
      </c>
    </row>
    <row r="47">
      <c r="A47" s="12" t="n"/>
      <c r="B47">
        <f>IF($W47="","",INDEX('Per Line'!$C$2:$C$501,$W47)&amp;"")</f>
        <v/>
      </c>
      <c r="C47">
        <f>IF($W47="","",INDEX('Per Line'!$A$2:$A$501,$W47)&amp;"")</f>
        <v/>
      </c>
      <c r="D47">
        <f>IF($W47="","",INDEX('Per Line'!$E$2:$E$501,$W47)&amp;"")</f>
        <v/>
      </c>
      <c r="E47">
        <f>IF($W47="","",INDEX('Per Line'!$H$2:$H$501,$W47)&amp;"")</f>
        <v/>
      </c>
      <c r="F47">
        <f>IF($W47="","",INDEX('Per Line'!$K$2:$K$501,$W47)&amp;"")</f>
        <v/>
      </c>
      <c r="G47">
        <f>IF($W47="","",INDEX('Per Line'!$L$2:$L$501,$W47)&amp;"")</f>
        <v/>
      </c>
      <c r="H47" s="12" t="n"/>
      <c r="I47">
        <f>IF($W47="","",INDEX('Per Line'!$M$2:$M$501,$W47))</f>
        <v/>
      </c>
      <c r="J47" s="7">
        <f>IF($W47="","",I47*T47/100)</f>
        <v/>
      </c>
      <c r="K47" s="11">
        <f>IF($W47="","",INDEX('Per Line'!$O$2:$O$501,$W47))</f>
        <v/>
      </c>
      <c r="L47">
        <f>IF($W47="","",Settings!$C$7)</f>
        <v/>
      </c>
      <c r="M47" s="7">
        <f>IF($W47="","",SUMIFS('Per Line'!$Y$2:$Y$501,'Per Line'!$C$2:$C$501,$B47,'Per Line'!$AD$2:$AD$501,0))</f>
        <v/>
      </c>
      <c r="N47" s="7">
        <f>IF($W47="","",M47*L47)</f>
        <v/>
      </c>
      <c r="O47">
        <f>IF($W47="","",Settings!$C$6)</f>
        <v/>
      </c>
      <c r="P47" s="7">
        <f>IF($W47="","",SUMIFS('Per Line'!$Y$2:$Y$501,'Per Line'!$C$2:$C$501,$B47,'Per Line'!$AD$2:$AD$501,1))</f>
        <v/>
      </c>
      <c r="Q47" s="7">
        <f>IF($W47="","",P47*O47)</f>
        <v/>
      </c>
      <c r="R47" s="7">
        <f>IF($W47="","",Q47+N47)</f>
        <v/>
      </c>
      <c r="S47" s="7">
        <f>IF($W47="","",T47-R47)</f>
        <v/>
      </c>
      <c r="T47" s="7">
        <f>IF($W47="","",M47+P47)</f>
        <v/>
      </c>
      <c r="U47" s="7">
        <f>IF($W47="","",T47-R47-J47)</f>
        <v/>
      </c>
      <c r="V47" s="12" t="n"/>
      <c r="W47" s="13">
        <f>IF(ROWS($W$2:$W47)&lt;=MAX('Per Line'!$AC$2:$AC$501),MATCH(ROWS($W$2:$W47),'Per Line'!$AC$2:$AC$501,0),"")</f>
        <v/>
      </c>
    </row>
    <row r="48">
      <c r="A48" s="12" t="n"/>
      <c r="B48">
        <f>IF($W48="","",INDEX('Per Line'!$C$2:$C$501,$W48)&amp;"")</f>
        <v/>
      </c>
      <c r="C48">
        <f>IF($W48="","",INDEX('Per Line'!$A$2:$A$501,$W48)&amp;"")</f>
        <v/>
      </c>
      <c r="D48">
        <f>IF($W48="","",INDEX('Per Line'!$E$2:$E$501,$W48)&amp;"")</f>
        <v/>
      </c>
      <c r="E48">
        <f>IF($W48="","",INDEX('Per Line'!$H$2:$H$501,$W48)&amp;"")</f>
        <v/>
      </c>
      <c r="F48">
        <f>IF($W48="","",INDEX('Per Line'!$K$2:$K$501,$W48)&amp;"")</f>
        <v/>
      </c>
      <c r="G48">
        <f>IF($W48="","",INDEX('Per Line'!$L$2:$L$501,$W48)&amp;"")</f>
        <v/>
      </c>
      <c r="H48" s="12" t="n"/>
      <c r="I48">
        <f>IF($W48="","",INDEX('Per Line'!$M$2:$M$501,$W48))</f>
        <v/>
      </c>
      <c r="J48" s="7">
        <f>IF($W48="","",I48*T48/100)</f>
        <v/>
      </c>
      <c r="K48" s="11">
        <f>IF($W48="","",INDEX('Per Line'!$O$2:$O$501,$W48))</f>
        <v/>
      </c>
      <c r="L48">
        <f>IF($W48="","",Settings!$C$7)</f>
        <v/>
      </c>
      <c r="M48" s="7">
        <f>IF($W48="","",SUMIFS('Per Line'!$Y$2:$Y$501,'Per Line'!$C$2:$C$501,$B48,'Per Line'!$AD$2:$AD$501,0))</f>
        <v/>
      </c>
      <c r="N48" s="7">
        <f>IF($W48="","",M48*L48)</f>
        <v/>
      </c>
      <c r="O48">
        <f>IF($W48="","",Settings!$C$6)</f>
        <v/>
      </c>
      <c r="P48" s="7">
        <f>IF($W48="","",SUMIFS('Per Line'!$Y$2:$Y$501,'Per Line'!$C$2:$C$501,$B48,'Per Line'!$AD$2:$AD$501,1))</f>
        <v/>
      </c>
      <c r="Q48" s="7">
        <f>IF($W48="","",P48*O48)</f>
        <v/>
      </c>
      <c r="R48" s="7">
        <f>IF($W48="","",Q48+N48)</f>
        <v/>
      </c>
      <c r="S48" s="7">
        <f>IF($W48="","",T48-R48)</f>
        <v/>
      </c>
      <c r="T48" s="7">
        <f>IF($W48="","",M48+P48)</f>
        <v/>
      </c>
      <c r="U48" s="7">
        <f>IF($W48="","",T48-R48-J48)</f>
        <v/>
      </c>
      <c r="V48" s="12" t="n"/>
      <c r="W48" s="13">
        <f>IF(ROWS($W$2:$W48)&lt;=MAX('Per Line'!$AC$2:$AC$501),MATCH(ROWS($W$2:$W48),'Per Line'!$AC$2:$AC$501,0),"")</f>
        <v/>
      </c>
    </row>
    <row r="49">
      <c r="A49" s="12" t="n"/>
      <c r="B49">
        <f>IF($W49="","",INDEX('Per Line'!$C$2:$C$501,$W49)&amp;"")</f>
        <v/>
      </c>
      <c r="C49">
        <f>IF($W49="","",INDEX('Per Line'!$A$2:$A$501,$W49)&amp;"")</f>
        <v/>
      </c>
      <c r="D49">
        <f>IF($W49="","",INDEX('Per Line'!$E$2:$E$501,$W49)&amp;"")</f>
        <v/>
      </c>
      <c r="E49">
        <f>IF($W49="","",INDEX('Per Line'!$H$2:$H$501,$W49)&amp;"")</f>
        <v/>
      </c>
      <c r="F49">
        <f>IF($W49="","",INDEX('Per Line'!$K$2:$K$501,$W49)&amp;"")</f>
        <v/>
      </c>
      <c r="G49">
        <f>IF($W49="","",INDEX('Per Line'!$L$2:$L$501,$W49)&amp;"")</f>
        <v/>
      </c>
      <c r="H49" s="12" t="n"/>
      <c r="I49">
        <f>IF($W49="","",INDEX('Per Line'!$M$2:$M$501,$W49))</f>
        <v/>
      </c>
      <c r="J49" s="7">
        <f>IF($W49="","",I49*T49/100)</f>
        <v/>
      </c>
      <c r="K49" s="11">
        <f>IF($W49="","",INDEX('Per Line'!$O$2:$O$501,$W49))</f>
        <v/>
      </c>
      <c r="L49">
        <f>IF($W49="","",Settings!$C$7)</f>
        <v/>
      </c>
      <c r="M49" s="7">
        <f>IF($W49="","",SUMIFS('Per Line'!$Y$2:$Y$501,'Per Line'!$C$2:$C$501,$B49,'Per Line'!$AD$2:$AD$501,0))</f>
        <v/>
      </c>
      <c r="N49" s="7">
        <f>IF($W49="","",M49*L49)</f>
        <v/>
      </c>
      <c r="O49">
        <f>IF($W49="","",Settings!$C$6)</f>
        <v/>
      </c>
      <c r="P49" s="7">
        <f>IF($W49="","",SUMIFS('Per Line'!$Y$2:$Y$501,'Per Line'!$C$2:$C$501,$B49,'Per Line'!$AD$2:$AD$501,1))</f>
        <v/>
      </c>
      <c r="Q49" s="7">
        <f>IF($W49="","",P49*O49)</f>
        <v/>
      </c>
      <c r="R49" s="7">
        <f>IF($W49="","",Q49+N49)</f>
        <v/>
      </c>
      <c r="S49" s="7">
        <f>IF($W49="","",T49-R49)</f>
        <v/>
      </c>
      <c r="T49" s="7">
        <f>IF($W49="","",M49+P49)</f>
        <v/>
      </c>
      <c r="U49" s="7">
        <f>IF($W49="","",T49-R49-J49)</f>
        <v/>
      </c>
      <c r="V49" s="12" t="n"/>
      <c r="W49" s="13">
        <f>IF(ROWS($W$2:$W49)&lt;=MAX('Per Line'!$AC$2:$AC$501),MATCH(ROWS($W$2:$W49),'Per Line'!$AC$2:$AC$501,0),"")</f>
        <v/>
      </c>
    </row>
    <row r="50">
      <c r="A50" s="12" t="n"/>
      <c r="B50">
        <f>IF($W50="","",INDEX('Per Line'!$C$2:$C$501,$W50)&amp;"")</f>
        <v/>
      </c>
      <c r="C50">
        <f>IF($W50="","",INDEX('Per Line'!$A$2:$A$501,$W50)&amp;"")</f>
        <v/>
      </c>
      <c r="D50">
        <f>IF($W50="","",INDEX('Per Line'!$E$2:$E$501,$W50)&amp;"")</f>
        <v/>
      </c>
      <c r="E50">
        <f>IF($W50="","",INDEX('Per Line'!$H$2:$H$501,$W50)&amp;"")</f>
        <v/>
      </c>
      <c r="F50">
        <f>IF($W50="","",INDEX('Per Line'!$K$2:$K$501,$W50)&amp;"")</f>
        <v/>
      </c>
      <c r="G50">
        <f>IF($W50="","",INDEX('Per Line'!$L$2:$L$501,$W50)&amp;"")</f>
        <v/>
      </c>
      <c r="H50" s="12" t="n"/>
      <c r="I50">
        <f>IF($W50="","",INDEX('Per Line'!$M$2:$M$501,$W50))</f>
        <v/>
      </c>
      <c r="J50" s="7">
        <f>IF($W50="","",I50*T50/100)</f>
        <v/>
      </c>
      <c r="K50" s="11">
        <f>IF($W50="","",INDEX('Per Line'!$O$2:$O$501,$W50))</f>
        <v/>
      </c>
      <c r="L50">
        <f>IF($W50="","",Settings!$C$7)</f>
        <v/>
      </c>
      <c r="M50" s="7">
        <f>IF($W50="","",SUMIFS('Per Line'!$Y$2:$Y$501,'Per Line'!$C$2:$C$501,$B50,'Per Line'!$AD$2:$AD$501,0))</f>
        <v/>
      </c>
      <c r="N50" s="7">
        <f>IF($W50="","",M50*L50)</f>
        <v/>
      </c>
      <c r="O50">
        <f>IF($W50="","",Settings!$C$6)</f>
        <v/>
      </c>
      <c r="P50" s="7">
        <f>IF($W50="","",SUMIFS('Per Line'!$Y$2:$Y$501,'Per Line'!$C$2:$C$501,$B50,'Per Line'!$AD$2:$AD$501,1))</f>
        <v/>
      </c>
      <c r="Q50" s="7">
        <f>IF($W50="","",P50*O50)</f>
        <v/>
      </c>
      <c r="R50" s="7">
        <f>IF($W50="","",Q50+N50)</f>
        <v/>
      </c>
      <c r="S50" s="7">
        <f>IF($W50="","",T50-R50)</f>
        <v/>
      </c>
      <c r="T50" s="7">
        <f>IF($W50="","",M50+P50)</f>
        <v/>
      </c>
      <c r="U50" s="7">
        <f>IF($W50="","",T50-R50-J50)</f>
        <v/>
      </c>
      <c r="V50" s="12" t="n"/>
      <c r="W50" s="13">
        <f>IF(ROWS($W$2:$W50)&lt;=MAX('Per Line'!$AC$2:$AC$501),MATCH(ROWS($W$2:$W50),'Per Line'!$AC$2:$AC$501,0),"")</f>
        <v/>
      </c>
    </row>
    <row r="51">
      <c r="A51" s="12" t="n"/>
      <c r="B51">
        <f>IF($W51="","",INDEX('Per Line'!$C$2:$C$501,$W51)&amp;"")</f>
        <v/>
      </c>
      <c r="C51">
        <f>IF($W51="","",INDEX('Per Line'!$A$2:$A$501,$W51)&amp;"")</f>
        <v/>
      </c>
      <c r="D51">
        <f>IF($W51="","",INDEX('Per Line'!$E$2:$E$501,$W51)&amp;"")</f>
        <v/>
      </c>
      <c r="E51">
        <f>IF($W51="","",INDEX('Per Line'!$H$2:$H$501,$W51)&amp;"")</f>
        <v/>
      </c>
      <c r="F51">
        <f>IF($W51="","",INDEX('Per Line'!$K$2:$K$501,$W51)&amp;"")</f>
        <v/>
      </c>
      <c r="G51">
        <f>IF($W51="","",INDEX('Per Line'!$L$2:$L$501,$W51)&amp;"")</f>
        <v/>
      </c>
      <c r="H51" s="12" t="n"/>
      <c r="I51">
        <f>IF($W51="","",INDEX('Per Line'!$M$2:$M$501,$W51))</f>
        <v/>
      </c>
      <c r="J51" s="7">
        <f>IF($W51="","",I51*T51/100)</f>
        <v/>
      </c>
      <c r="K51" s="11">
        <f>IF($W51="","",INDEX('Per Line'!$O$2:$O$501,$W51))</f>
        <v/>
      </c>
      <c r="L51">
        <f>IF($W51="","",Settings!$C$7)</f>
        <v/>
      </c>
      <c r="M51" s="7">
        <f>IF($W51="","",SUMIFS('Per Line'!$Y$2:$Y$501,'Per Line'!$C$2:$C$501,$B51,'Per Line'!$AD$2:$AD$501,0))</f>
        <v/>
      </c>
      <c r="N51" s="7">
        <f>IF($W51="","",M51*L51)</f>
        <v/>
      </c>
      <c r="O51">
        <f>IF($W51="","",Settings!$C$6)</f>
        <v/>
      </c>
      <c r="P51" s="7">
        <f>IF($W51="","",SUMIFS('Per Line'!$Y$2:$Y$501,'Per Line'!$C$2:$C$501,$B51,'Per Line'!$AD$2:$AD$501,1))</f>
        <v/>
      </c>
      <c r="Q51" s="7">
        <f>IF($W51="","",P51*O51)</f>
        <v/>
      </c>
      <c r="R51" s="7">
        <f>IF($W51="","",Q51+N51)</f>
        <v/>
      </c>
      <c r="S51" s="7">
        <f>IF($W51="","",T51-R51)</f>
        <v/>
      </c>
      <c r="T51" s="7">
        <f>IF($W51="","",M51+P51)</f>
        <v/>
      </c>
      <c r="U51" s="7">
        <f>IF($W51="","",T51-R51-J51)</f>
        <v/>
      </c>
      <c r="V51" s="12" t="n"/>
      <c r="W51" s="13">
        <f>IF(ROWS($W$2:$W51)&lt;=MAX('Per Line'!$AC$2:$AC$501),MATCH(ROWS($W$2:$W51),'Per Line'!$AC$2:$AC$501,0),"")</f>
        <v/>
      </c>
    </row>
    <row r="52">
      <c r="A52" s="12" t="n"/>
      <c r="B52">
        <f>IF($W52="","",INDEX('Per Line'!$C$2:$C$501,$W52)&amp;"")</f>
        <v/>
      </c>
      <c r="C52">
        <f>IF($W52="","",INDEX('Per Line'!$A$2:$A$501,$W52)&amp;"")</f>
        <v/>
      </c>
      <c r="D52">
        <f>IF($W52="","",INDEX('Per Line'!$E$2:$E$501,$W52)&amp;"")</f>
        <v/>
      </c>
      <c r="E52">
        <f>IF($W52="","",INDEX('Per Line'!$H$2:$H$501,$W52)&amp;"")</f>
        <v/>
      </c>
      <c r="F52">
        <f>IF($W52="","",INDEX('Per Line'!$K$2:$K$501,$W52)&amp;"")</f>
        <v/>
      </c>
      <c r="G52">
        <f>IF($W52="","",INDEX('Per Line'!$L$2:$L$501,$W52)&amp;"")</f>
        <v/>
      </c>
      <c r="H52" s="12" t="n"/>
      <c r="I52">
        <f>IF($W52="","",INDEX('Per Line'!$M$2:$M$501,$W52))</f>
        <v/>
      </c>
      <c r="J52" s="7">
        <f>IF($W52="","",I52*T52/100)</f>
        <v/>
      </c>
      <c r="K52" s="11">
        <f>IF($W52="","",INDEX('Per Line'!$O$2:$O$501,$W52))</f>
        <v/>
      </c>
      <c r="L52">
        <f>IF($W52="","",Settings!$C$7)</f>
        <v/>
      </c>
      <c r="M52" s="7">
        <f>IF($W52="","",SUMIFS('Per Line'!$Y$2:$Y$501,'Per Line'!$C$2:$C$501,$B52,'Per Line'!$AD$2:$AD$501,0))</f>
        <v/>
      </c>
      <c r="N52" s="7">
        <f>IF($W52="","",M52*L52)</f>
        <v/>
      </c>
      <c r="O52">
        <f>IF($W52="","",Settings!$C$6)</f>
        <v/>
      </c>
      <c r="P52" s="7">
        <f>IF($W52="","",SUMIFS('Per Line'!$Y$2:$Y$501,'Per Line'!$C$2:$C$501,$B52,'Per Line'!$AD$2:$AD$501,1))</f>
        <v/>
      </c>
      <c r="Q52" s="7">
        <f>IF($W52="","",P52*O52)</f>
        <v/>
      </c>
      <c r="R52" s="7">
        <f>IF($W52="","",Q52+N52)</f>
        <v/>
      </c>
      <c r="S52" s="7">
        <f>IF($W52="","",T52-R52)</f>
        <v/>
      </c>
      <c r="T52" s="7">
        <f>IF($W52="","",M52+P52)</f>
        <v/>
      </c>
      <c r="U52" s="7">
        <f>IF($W52="","",T52-R52-J52)</f>
        <v/>
      </c>
      <c r="V52" s="12" t="n"/>
      <c r="W52" s="13">
        <f>IF(ROWS($W$2:$W52)&lt;=MAX('Per Line'!$AC$2:$AC$501),MATCH(ROWS($W$2:$W52),'Per Line'!$AC$2:$AC$501,0),"")</f>
        <v/>
      </c>
    </row>
    <row r="53">
      <c r="A53" s="12" t="n"/>
      <c r="B53">
        <f>IF($W53="","",INDEX('Per Line'!$C$2:$C$501,$W53)&amp;"")</f>
        <v/>
      </c>
      <c r="C53">
        <f>IF($W53="","",INDEX('Per Line'!$A$2:$A$501,$W53)&amp;"")</f>
        <v/>
      </c>
      <c r="D53">
        <f>IF($W53="","",INDEX('Per Line'!$E$2:$E$501,$W53)&amp;"")</f>
        <v/>
      </c>
      <c r="E53">
        <f>IF($W53="","",INDEX('Per Line'!$H$2:$H$501,$W53)&amp;"")</f>
        <v/>
      </c>
      <c r="F53">
        <f>IF($W53="","",INDEX('Per Line'!$K$2:$K$501,$W53)&amp;"")</f>
        <v/>
      </c>
      <c r="G53">
        <f>IF($W53="","",INDEX('Per Line'!$L$2:$L$501,$W53)&amp;"")</f>
        <v/>
      </c>
      <c r="H53" s="12" t="n"/>
      <c r="I53">
        <f>IF($W53="","",INDEX('Per Line'!$M$2:$M$501,$W53))</f>
        <v/>
      </c>
      <c r="J53" s="7">
        <f>IF($W53="","",I53*T53/100)</f>
        <v/>
      </c>
      <c r="K53" s="11">
        <f>IF($W53="","",INDEX('Per Line'!$O$2:$O$501,$W53))</f>
        <v/>
      </c>
      <c r="L53">
        <f>IF($W53="","",Settings!$C$7)</f>
        <v/>
      </c>
      <c r="M53" s="7">
        <f>IF($W53="","",SUMIFS('Per Line'!$Y$2:$Y$501,'Per Line'!$C$2:$C$501,$B53,'Per Line'!$AD$2:$AD$501,0))</f>
        <v/>
      </c>
      <c r="N53" s="7">
        <f>IF($W53="","",M53*L53)</f>
        <v/>
      </c>
      <c r="O53">
        <f>IF($W53="","",Settings!$C$6)</f>
        <v/>
      </c>
      <c r="P53" s="7">
        <f>IF($W53="","",SUMIFS('Per Line'!$Y$2:$Y$501,'Per Line'!$C$2:$C$501,$B53,'Per Line'!$AD$2:$AD$501,1))</f>
        <v/>
      </c>
      <c r="Q53" s="7">
        <f>IF($W53="","",P53*O53)</f>
        <v/>
      </c>
      <c r="R53" s="7">
        <f>IF($W53="","",Q53+N53)</f>
        <v/>
      </c>
      <c r="S53" s="7">
        <f>IF($W53="","",T53-R53)</f>
        <v/>
      </c>
      <c r="T53" s="7">
        <f>IF($W53="","",M53+P53)</f>
        <v/>
      </c>
      <c r="U53" s="7">
        <f>IF($W53="","",T53-R53-J53)</f>
        <v/>
      </c>
      <c r="V53" s="12" t="n"/>
      <c r="W53" s="13">
        <f>IF(ROWS($W$2:$W53)&lt;=MAX('Per Line'!$AC$2:$AC$501),MATCH(ROWS($W$2:$W53),'Per Line'!$AC$2:$AC$501,0),"")</f>
        <v/>
      </c>
    </row>
    <row r="54">
      <c r="A54" s="12" t="n"/>
      <c r="B54">
        <f>IF($W54="","",INDEX('Per Line'!$C$2:$C$501,$W54)&amp;"")</f>
        <v/>
      </c>
      <c r="C54">
        <f>IF($W54="","",INDEX('Per Line'!$A$2:$A$501,$W54)&amp;"")</f>
        <v/>
      </c>
      <c r="D54">
        <f>IF($W54="","",INDEX('Per Line'!$E$2:$E$501,$W54)&amp;"")</f>
        <v/>
      </c>
      <c r="E54">
        <f>IF($W54="","",INDEX('Per Line'!$H$2:$H$501,$W54)&amp;"")</f>
        <v/>
      </c>
      <c r="F54">
        <f>IF($W54="","",INDEX('Per Line'!$K$2:$K$501,$W54)&amp;"")</f>
        <v/>
      </c>
      <c r="G54">
        <f>IF($W54="","",INDEX('Per Line'!$L$2:$L$501,$W54)&amp;"")</f>
        <v/>
      </c>
      <c r="H54" s="12" t="n"/>
      <c r="I54">
        <f>IF($W54="","",INDEX('Per Line'!$M$2:$M$501,$W54))</f>
        <v/>
      </c>
      <c r="J54" s="7">
        <f>IF($W54="","",I54*T54/100)</f>
        <v/>
      </c>
      <c r="K54" s="11">
        <f>IF($W54="","",INDEX('Per Line'!$O$2:$O$501,$W54))</f>
        <v/>
      </c>
      <c r="L54">
        <f>IF($W54="","",Settings!$C$7)</f>
        <v/>
      </c>
      <c r="M54" s="7">
        <f>IF($W54="","",SUMIFS('Per Line'!$Y$2:$Y$501,'Per Line'!$C$2:$C$501,$B54,'Per Line'!$AD$2:$AD$501,0))</f>
        <v/>
      </c>
      <c r="N54" s="7">
        <f>IF($W54="","",M54*L54)</f>
        <v/>
      </c>
      <c r="O54">
        <f>IF($W54="","",Settings!$C$6)</f>
        <v/>
      </c>
      <c r="P54" s="7">
        <f>IF($W54="","",SUMIFS('Per Line'!$Y$2:$Y$501,'Per Line'!$C$2:$C$501,$B54,'Per Line'!$AD$2:$AD$501,1))</f>
        <v/>
      </c>
      <c r="Q54" s="7">
        <f>IF($W54="","",P54*O54)</f>
        <v/>
      </c>
      <c r="R54" s="7">
        <f>IF($W54="","",Q54+N54)</f>
        <v/>
      </c>
      <c r="S54" s="7">
        <f>IF($W54="","",T54-R54)</f>
        <v/>
      </c>
      <c r="T54" s="7">
        <f>IF($W54="","",M54+P54)</f>
        <v/>
      </c>
      <c r="U54" s="7">
        <f>IF($W54="","",T54-R54-J54)</f>
        <v/>
      </c>
      <c r="V54" s="12" t="n"/>
      <c r="W54" s="13">
        <f>IF(ROWS($W$2:$W54)&lt;=MAX('Per Line'!$AC$2:$AC$501),MATCH(ROWS($W$2:$W54),'Per Line'!$AC$2:$AC$501,0),"")</f>
        <v/>
      </c>
    </row>
    <row r="55">
      <c r="A55" s="12" t="n"/>
      <c r="B55">
        <f>IF($W55="","",INDEX('Per Line'!$C$2:$C$501,$W55)&amp;"")</f>
        <v/>
      </c>
      <c r="C55">
        <f>IF($W55="","",INDEX('Per Line'!$A$2:$A$501,$W55)&amp;"")</f>
        <v/>
      </c>
      <c r="D55">
        <f>IF($W55="","",INDEX('Per Line'!$E$2:$E$501,$W55)&amp;"")</f>
        <v/>
      </c>
      <c r="E55">
        <f>IF($W55="","",INDEX('Per Line'!$H$2:$H$501,$W55)&amp;"")</f>
        <v/>
      </c>
      <c r="F55">
        <f>IF($W55="","",INDEX('Per Line'!$K$2:$K$501,$W55)&amp;"")</f>
        <v/>
      </c>
      <c r="G55">
        <f>IF($W55="","",INDEX('Per Line'!$L$2:$L$501,$W55)&amp;"")</f>
        <v/>
      </c>
      <c r="H55" s="12" t="n"/>
      <c r="I55">
        <f>IF($W55="","",INDEX('Per Line'!$M$2:$M$501,$W55))</f>
        <v/>
      </c>
      <c r="J55" s="7">
        <f>IF($W55="","",I55*T55/100)</f>
        <v/>
      </c>
      <c r="K55" s="11">
        <f>IF($W55="","",INDEX('Per Line'!$O$2:$O$501,$W55))</f>
        <v/>
      </c>
      <c r="L55">
        <f>IF($W55="","",Settings!$C$7)</f>
        <v/>
      </c>
      <c r="M55" s="7">
        <f>IF($W55="","",SUMIFS('Per Line'!$Y$2:$Y$501,'Per Line'!$C$2:$C$501,$B55,'Per Line'!$AD$2:$AD$501,0))</f>
        <v/>
      </c>
      <c r="N55" s="7">
        <f>IF($W55="","",M55*L55)</f>
        <v/>
      </c>
      <c r="O55">
        <f>IF($W55="","",Settings!$C$6)</f>
        <v/>
      </c>
      <c r="P55" s="7">
        <f>IF($W55="","",SUMIFS('Per Line'!$Y$2:$Y$501,'Per Line'!$C$2:$C$501,$B55,'Per Line'!$AD$2:$AD$501,1))</f>
        <v/>
      </c>
      <c r="Q55" s="7">
        <f>IF($W55="","",P55*O55)</f>
        <v/>
      </c>
      <c r="R55" s="7">
        <f>IF($W55="","",Q55+N55)</f>
        <v/>
      </c>
      <c r="S55" s="7">
        <f>IF($W55="","",T55-R55)</f>
        <v/>
      </c>
      <c r="T55" s="7">
        <f>IF($W55="","",M55+P55)</f>
        <v/>
      </c>
      <c r="U55" s="7">
        <f>IF($W55="","",T55-R55-J55)</f>
        <v/>
      </c>
      <c r="V55" s="12" t="n"/>
      <c r="W55" s="13">
        <f>IF(ROWS($W$2:$W55)&lt;=MAX('Per Line'!$AC$2:$AC$501),MATCH(ROWS($W$2:$W55),'Per Line'!$AC$2:$AC$501,0),"")</f>
        <v/>
      </c>
    </row>
    <row r="56">
      <c r="A56" s="12" t="n"/>
      <c r="B56">
        <f>IF($W56="","",INDEX('Per Line'!$C$2:$C$501,$W56)&amp;"")</f>
        <v/>
      </c>
      <c r="C56">
        <f>IF($W56="","",INDEX('Per Line'!$A$2:$A$501,$W56)&amp;"")</f>
        <v/>
      </c>
      <c r="D56">
        <f>IF($W56="","",INDEX('Per Line'!$E$2:$E$501,$W56)&amp;"")</f>
        <v/>
      </c>
      <c r="E56">
        <f>IF($W56="","",INDEX('Per Line'!$H$2:$H$501,$W56)&amp;"")</f>
        <v/>
      </c>
      <c r="F56">
        <f>IF($W56="","",INDEX('Per Line'!$K$2:$K$501,$W56)&amp;"")</f>
        <v/>
      </c>
      <c r="G56">
        <f>IF($W56="","",INDEX('Per Line'!$L$2:$L$501,$W56)&amp;"")</f>
        <v/>
      </c>
      <c r="H56" s="12" t="n"/>
      <c r="I56">
        <f>IF($W56="","",INDEX('Per Line'!$M$2:$M$501,$W56))</f>
        <v/>
      </c>
      <c r="J56" s="7">
        <f>IF($W56="","",I56*T56/100)</f>
        <v/>
      </c>
      <c r="K56" s="11">
        <f>IF($W56="","",INDEX('Per Line'!$O$2:$O$501,$W56))</f>
        <v/>
      </c>
      <c r="L56">
        <f>IF($W56="","",Settings!$C$7)</f>
        <v/>
      </c>
      <c r="M56" s="7">
        <f>IF($W56="","",SUMIFS('Per Line'!$Y$2:$Y$501,'Per Line'!$C$2:$C$501,$B56,'Per Line'!$AD$2:$AD$501,0))</f>
        <v/>
      </c>
      <c r="N56" s="7">
        <f>IF($W56="","",M56*L56)</f>
        <v/>
      </c>
      <c r="O56">
        <f>IF($W56="","",Settings!$C$6)</f>
        <v/>
      </c>
      <c r="P56" s="7">
        <f>IF($W56="","",SUMIFS('Per Line'!$Y$2:$Y$501,'Per Line'!$C$2:$C$501,$B56,'Per Line'!$AD$2:$AD$501,1))</f>
        <v/>
      </c>
      <c r="Q56" s="7">
        <f>IF($W56="","",P56*O56)</f>
        <v/>
      </c>
      <c r="R56" s="7">
        <f>IF($W56="","",Q56+N56)</f>
        <v/>
      </c>
      <c r="S56" s="7">
        <f>IF($W56="","",T56-R56)</f>
        <v/>
      </c>
      <c r="T56" s="7">
        <f>IF($W56="","",M56+P56)</f>
        <v/>
      </c>
      <c r="U56" s="7">
        <f>IF($W56="","",T56-R56-J56)</f>
        <v/>
      </c>
      <c r="V56" s="12" t="n"/>
      <c r="W56" s="13">
        <f>IF(ROWS($W$2:$W56)&lt;=MAX('Per Line'!$AC$2:$AC$501),MATCH(ROWS($W$2:$W56),'Per Line'!$AC$2:$AC$501,0),"")</f>
        <v/>
      </c>
    </row>
    <row r="57">
      <c r="A57" s="12" t="n"/>
      <c r="B57">
        <f>IF($W57="","",INDEX('Per Line'!$C$2:$C$501,$W57)&amp;"")</f>
        <v/>
      </c>
      <c r="C57">
        <f>IF($W57="","",INDEX('Per Line'!$A$2:$A$501,$W57)&amp;"")</f>
        <v/>
      </c>
      <c r="D57">
        <f>IF($W57="","",INDEX('Per Line'!$E$2:$E$501,$W57)&amp;"")</f>
        <v/>
      </c>
      <c r="E57">
        <f>IF($W57="","",INDEX('Per Line'!$H$2:$H$501,$W57)&amp;"")</f>
        <v/>
      </c>
      <c r="F57">
        <f>IF($W57="","",INDEX('Per Line'!$K$2:$K$501,$W57)&amp;"")</f>
        <v/>
      </c>
      <c r="G57">
        <f>IF($W57="","",INDEX('Per Line'!$L$2:$L$501,$W57)&amp;"")</f>
        <v/>
      </c>
      <c r="H57" s="12" t="n"/>
      <c r="I57">
        <f>IF($W57="","",INDEX('Per Line'!$M$2:$M$501,$W57))</f>
        <v/>
      </c>
      <c r="J57" s="7">
        <f>IF($W57="","",I57*T57/100)</f>
        <v/>
      </c>
      <c r="K57" s="11">
        <f>IF($W57="","",INDEX('Per Line'!$O$2:$O$501,$W57))</f>
        <v/>
      </c>
      <c r="L57">
        <f>IF($W57="","",Settings!$C$7)</f>
        <v/>
      </c>
      <c r="M57" s="7">
        <f>IF($W57="","",SUMIFS('Per Line'!$Y$2:$Y$501,'Per Line'!$C$2:$C$501,$B57,'Per Line'!$AD$2:$AD$501,0))</f>
        <v/>
      </c>
      <c r="N57" s="7">
        <f>IF($W57="","",M57*L57)</f>
        <v/>
      </c>
      <c r="O57">
        <f>IF($W57="","",Settings!$C$6)</f>
        <v/>
      </c>
      <c r="P57" s="7">
        <f>IF($W57="","",SUMIFS('Per Line'!$Y$2:$Y$501,'Per Line'!$C$2:$C$501,$B57,'Per Line'!$AD$2:$AD$501,1))</f>
        <v/>
      </c>
      <c r="Q57" s="7">
        <f>IF($W57="","",P57*O57)</f>
        <v/>
      </c>
      <c r="R57" s="7">
        <f>IF($W57="","",Q57+N57)</f>
        <v/>
      </c>
      <c r="S57" s="7">
        <f>IF($W57="","",T57-R57)</f>
        <v/>
      </c>
      <c r="T57" s="7">
        <f>IF($W57="","",M57+P57)</f>
        <v/>
      </c>
      <c r="U57" s="7">
        <f>IF($W57="","",T57-R57-J57)</f>
        <v/>
      </c>
      <c r="V57" s="12" t="n"/>
      <c r="W57" s="13">
        <f>IF(ROWS($W$2:$W57)&lt;=MAX('Per Line'!$AC$2:$AC$501),MATCH(ROWS($W$2:$W57),'Per Line'!$AC$2:$AC$501,0),"")</f>
        <v/>
      </c>
    </row>
    <row r="58">
      <c r="A58" s="12" t="n"/>
      <c r="B58">
        <f>IF($W58="","",INDEX('Per Line'!$C$2:$C$501,$W58)&amp;"")</f>
        <v/>
      </c>
      <c r="C58">
        <f>IF($W58="","",INDEX('Per Line'!$A$2:$A$501,$W58)&amp;"")</f>
        <v/>
      </c>
      <c r="D58">
        <f>IF($W58="","",INDEX('Per Line'!$E$2:$E$501,$W58)&amp;"")</f>
        <v/>
      </c>
      <c r="E58">
        <f>IF($W58="","",INDEX('Per Line'!$H$2:$H$501,$W58)&amp;"")</f>
        <v/>
      </c>
      <c r="F58">
        <f>IF($W58="","",INDEX('Per Line'!$K$2:$K$501,$W58)&amp;"")</f>
        <v/>
      </c>
      <c r="G58">
        <f>IF($W58="","",INDEX('Per Line'!$L$2:$L$501,$W58)&amp;"")</f>
        <v/>
      </c>
      <c r="H58" s="12" t="n"/>
      <c r="I58">
        <f>IF($W58="","",INDEX('Per Line'!$M$2:$M$501,$W58))</f>
        <v/>
      </c>
      <c r="J58" s="7">
        <f>IF($W58="","",I58*T58/100)</f>
        <v/>
      </c>
      <c r="K58" s="11">
        <f>IF($W58="","",INDEX('Per Line'!$O$2:$O$501,$W58))</f>
        <v/>
      </c>
      <c r="L58">
        <f>IF($W58="","",Settings!$C$7)</f>
        <v/>
      </c>
      <c r="M58" s="7">
        <f>IF($W58="","",SUMIFS('Per Line'!$Y$2:$Y$501,'Per Line'!$C$2:$C$501,$B58,'Per Line'!$AD$2:$AD$501,0))</f>
        <v/>
      </c>
      <c r="N58" s="7">
        <f>IF($W58="","",M58*L58)</f>
        <v/>
      </c>
      <c r="O58">
        <f>IF($W58="","",Settings!$C$6)</f>
        <v/>
      </c>
      <c r="P58" s="7">
        <f>IF($W58="","",SUMIFS('Per Line'!$Y$2:$Y$501,'Per Line'!$C$2:$C$501,$B58,'Per Line'!$AD$2:$AD$501,1))</f>
        <v/>
      </c>
      <c r="Q58" s="7">
        <f>IF($W58="","",P58*O58)</f>
        <v/>
      </c>
      <c r="R58" s="7">
        <f>IF($W58="","",Q58+N58)</f>
        <v/>
      </c>
      <c r="S58" s="7">
        <f>IF($W58="","",T58-R58)</f>
        <v/>
      </c>
      <c r="T58" s="7">
        <f>IF($W58="","",M58+P58)</f>
        <v/>
      </c>
      <c r="U58" s="7">
        <f>IF($W58="","",T58-R58-J58)</f>
        <v/>
      </c>
      <c r="V58" s="12" t="n"/>
      <c r="W58" s="13">
        <f>IF(ROWS($W$2:$W58)&lt;=MAX('Per Line'!$AC$2:$AC$501),MATCH(ROWS($W$2:$W58),'Per Line'!$AC$2:$AC$501,0),"")</f>
        <v/>
      </c>
    </row>
    <row r="59">
      <c r="A59" s="12" t="n"/>
      <c r="B59">
        <f>IF($W59="","",INDEX('Per Line'!$C$2:$C$501,$W59)&amp;"")</f>
        <v/>
      </c>
      <c r="C59">
        <f>IF($W59="","",INDEX('Per Line'!$A$2:$A$501,$W59)&amp;"")</f>
        <v/>
      </c>
      <c r="D59">
        <f>IF($W59="","",INDEX('Per Line'!$E$2:$E$501,$W59)&amp;"")</f>
        <v/>
      </c>
      <c r="E59">
        <f>IF($W59="","",INDEX('Per Line'!$H$2:$H$501,$W59)&amp;"")</f>
        <v/>
      </c>
      <c r="F59">
        <f>IF($W59="","",INDEX('Per Line'!$K$2:$K$501,$W59)&amp;"")</f>
        <v/>
      </c>
      <c r="G59">
        <f>IF($W59="","",INDEX('Per Line'!$L$2:$L$501,$W59)&amp;"")</f>
        <v/>
      </c>
      <c r="H59" s="12" t="n"/>
      <c r="I59">
        <f>IF($W59="","",INDEX('Per Line'!$M$2:$M$501,$W59))</f>
        <v/>
      </c>
      <c r="J59" s="7">
        <f>IF($W59="","",I59*T59/100)</f>
        <v/>
      </c>
      <c r="K59" s="11">
        <f>IF($W59="","",INDEX('Per Line'!$O$2:$O$501,$W59))</f>
        <v/>
      </c>
      <c r="L59">
        <f>IF($W59="","",Settings!$C$7)</f>
        <v/>
      </c>
      <c r="M59" s="7">
        <f>IF($W59="","",SUMIFS('Per Line'!$Y$2:$Y$501,'Per Line'!$C$2:$C$501,$B59,'Per Line'!$AD$2:$AD$501,0))</f>
        <v/>
      </c>
      <c r="N59" s="7">
        <f>IF($W59="","",M59*L59)</f>
        <v/>
      </c>
      <c r="O59">
        <f>IF($W59="","",Settings!$C$6)</f>
        <v/>
      </c>
      <c r="P59" s="7">
        <f>IF($W59="","",SUMIFS('Per Line'!$Y$2:$Y$501,'Per Line'!$C$2:$C$501,$B59,'Per Line'!$AD$2:$AD$501,1))</f>
        <v/>
      </c>
      <c r="Q59" s="7">
        <f>IF($W59="","",P59*O59)</f>
        <v/>
      </c>
      <c r="R59" s="7">
        <f>IF($W59="","",Q59+N59)</f>
        <v/>
      </c>
      <c r="S59" s="7">
        <f>IF($W59="","",T59-R59)</f>
        <v/>
      </c>
      <c r="T59" s="7">
        <f>IF($W59="","",M59+P59)</f>
        <v/>
      </c>
      <c r="U59" s="7">
        <f>IF($W59="","",T59-R59-J59)</f>
        <v/>
      </c>
      <c r="V59" s="12" t="n"/>
      <c r="W59" s="13">
        <f>IF(ROWS($W$2:$W59)&lt;=MAX('Per Line'!$AC$2:$AC$501),MATCH(ROWS($W$2:$W59),'Per Line'!$AC$2:$AC$501,0),"")</f>
        <v/>
      </c>
    </row>
    <row r="60">
      <c r="A60" s="12" t="n"/>
      <c r="B60">
        <f>IF($W60="","",INDEX('Per Line'!$C$2:$C$501,$W60)&amp;"")</f>
        <v/>
      </c>
      <c r="C60">
        <f>IF($W60="","",INDEX('Per Line'!$A$2:$A$501,$W60)&amp;"")</f>
        <v/>
      </c>
      <c r="D60">
        <f>IF($W60="","",INDEX('Per Line'!$E$2:$E$501,$W60)&amp;"")</f>
        <v/>
      </c>
      <c r="E60">
        <f>IF($W60="","",INDEX('Per Line'!$H$2:$H$501,$W60)&amp;"")</f>
        <v/>
      </c>
      <c r="F60">
        <f>IF($W60="","",INDEX('Per Line'!$K$2:$K$501,$W60)&amp;"")</f>
        <v/>
      </c>
      <c r="G60">
        <f>IF($W60="","",INDEX('Per Line'!$L$2:$L$501,$W60)&amp;"")</f>
        <v/>
      </c>
      <c r="H60" s="12" t="n"/>
      <c r="I60">
        <f>IF($W60="","",INDEX('Per Line'!$M$2:$M$501,$W60))</f>
        <v/>
      </c>
      <c r="J60" s="7">
        <f>IF($W60="","",I60*T60/100)</f>
        <v/>
      </c>
      <c r="K60" s="11">
        <f>IF($W60="","",INDEX('Per Line'!$O$2:$O$501,$W60))</f>
        <v/>
      </c>
      <c r="L60">
        <f>IF($W60="","",Settings!$C$7)</f>
        <v/>
      </c>
      <c r="M60" s="7">
        <f>IF($W60="","",SUMIFS('Per Line'!$Y$2:$Y$501,'Per Line'!$C$2:$C$501,$B60,'Per Line'!$AD$2:$AD$501,0))</f>
        <v/>
      </c>
      <c r="N60" s="7">
        <f>IF($W60="","",M60*L60)</f>
        <v/>
      </c>
      <c r="O60">
        <f>IF($W60="","",Settings!$C$6)</f>
        <v/>
      </c>
      <c r="P60" s="7">
        <f>IF($W60="","",SUMIFS('Per Line'!$Y$2:$Y$501,'Per Line'!$C$2:$C$501,$B60,'Per Line'!$AD$2:$AD$501,1))</f>
        <v/>
      </c>
      <c r="Q60" s="7">
        <f>IF($W60="","",P60*O60)</f>
        <v/>
      </c>
      <c r="R60" s="7">
        <f>IF($W60="","",Q60+N60)</f>
        <v/>
      </c>
      <c r="S60" s="7">
        <f>IF($W60="","",T60-R60)</f>
        <v/>
      </c>
      <c r="T60" s="7">
        <f>IF($W60="","",M60+P60)</f>
        <v/>
      </c>
      <c r="U60" s="7">
        <f>IF($W60="","",T60-R60-J60)</f>
        <v/>
      </c>
      <c r="V60" s="12" t="n"/>
      <c r="W60" s="13">
        <f>IF(ROWS($W$2:$W60)&lt;=MAX('Per Line'!$AC$2:$AC$501),MATCH(ROWS($W$2:$W60),'Per Line'!$AC$2:$AC$501,0),"")</f>
        <v/>
      </c>
    </row>
    <row r="61">
      <c r="A61" s="12" t="n"/>
      <c r="B61">
        <f>IF($W61="","",INDEX('Per Line'!$C$2:$C$501,$W61)&amp;"")</f>
        <v/>
      </c>
      <c r="C61">
        <f>IF($W61="","",INDEX('Per Line'!$A$2:$A$501,$W61)&amp;"")</f>
        <v/>
      </c>
      <c r="D61">
        <f>IF($W61="","",INDEX('Per Line'!$E$2:$E$501,$W61)&amp;"")</f>
        <v/>
      </c>
      <c r="E61">
        <f>IF($W61="","",INDEX('Per Line'!$H$2:$H$501,$W61)&amp;"")</f>
        <v/>
      </c>
      <c r="F61">
        <f>IF($W61="","",INDEX('Per Line'!$K$2:$K$501,$W61)&amp;"")</f>
        <v/>
      </c>
      <c r="G61">
        <f>IF($W61="","",INDEX('Per Line'!$L$2:$L$501,$W61)&amp;"")</f>
        <v/>
      </c>
      <c r="H61" s="12" t="n"/>
      <c r="I61">
        <f>IF($W61="","",INDEX('Per Line'!$M$2:$M$501,$W61))</f>
        <v/>
      </c>
      <c r="J61" s="7">
        <f>IF($W61="","",I61*T61/100)</f>
        <v/>
      </c>
      <c r="K61" s="11">
        <f>IF($W61="","",INDEX('Per Line'!$O$2:$O$501,$W61))</f>
        <v/>
      </c>
      <c r="L61">
        <f>IF($W61="","",Settings!$C$7)</f>
        <v/>
      </c>
      <c r="M61" s="7">
        <f>IF($W61="","",SUMIFS('Per Line'!$Y$2:$Y$501,'Per Line'!$C$2:$C$501,$B61,'Per Line'!$AD$2:$AD$501,0))</f>
        <v/>
      </c>
      <c r="N61" s="7">
        <f>IF($W61="","",M61*L61)</f>
        <v/>
      </c>
      <c r="O61">
        <f>IF($W61="","",Settings!$C$6)</f>
        <v/>
      </c>
      <c r="P61" s="7">
        <f>IF($W61="","",SUMIFS('Per Line'!$Y$2:$Y$501,'Per Line'!$C$2:$C$501,$B61,'Per Line'!$AD$2:$AD$501,1))</f>
        <v/>
      </c>
      <c r="Q61" s="7">
        <f>IF($W61="","",P61*O61)</f>
        <v/>
      </c>
      <c r="R61" s="7">
        <f>IF($W61="","",Q61+N61)</f>
        <v/>
      </c>
      <c r="S61" s="7">
        <f>IF($W61="","",T61-R61)</f>
        <v/>
      </c>
      <c r="T61" s="7">
        <f>IF($W61="","",M61+P61)</f>
        <v/>
      </c>
      <c r="U61" s="7">
        <f>IF($W61="","",T61-R61-J61)</f>
        <v/>
      </c>
      <c r="V61" s="12" t="n"/>
      <c r="W61" s="13">
        <f>IF(ROWS($W$2:$W61)&lt;=MAX('Per Line'!$AC$2:$AC$501),MATCH(ROWS($W$2:$W61),'Per Line'!$AC$2:$AC$501,0),"")</f>
        <v/>
      </c>
    </row>
    <row r="62">
      <c r="A62" s="12" t="n"/>
      <c r="B62">
        <f>IF($W62="","",INDEX('Per Line'!$C$2:$C$501,$W62)&amp;"")</f>
        <v/>
      </c>
      <c r="C62">
        <f>IF($W62="","",INDEX('Per Line'!$A$2:$A$501,$W62)&amp;"")</f>
        <v/>
      </c>
      <c r="D62">
        <f>IF($W62="","",INDEX('Per Line'!$E$2:$E$501,$W62)&amp;"")</f>
        <v/>
      </c>
      <c r="E62">
        <f>IF($W62="","",INDEX('Per Line'!$H$2:$H$501,$W62)&amp;"")</f>
        <v/>
      </c>
      <c r="F62">
        <f>IF($W62="","",INDEX('Per Line'!$K$2:$K$501,$W62)&amp;"")</f>
        <v/>
      </c>
      <c r="G62">
        <f>IF($W62="","",INDEX('Per Line'!$L$2:$L$501,$W62)&amp;"")</f>
        <v/>
      </c>
      <c r="H62" s="12" t="n"/>
      <c r="I62">
        <f>IF($W62="","",INDEX('Per Line'!$M$2:$M$501,$W62))</f>
        <v/>
      </c>
      <c r="J62" s="7">
        <f>IF($W62="","",I62*T62/100)</f>
        <v/>
      </c>
      <c r="K62" s="11">
        <f>IF($W62="","",INDEX('Per Line'!$O$2:$O$501,$W62))</f>
        <v/>
      </c>
      <c r="L62">
        <f>IF($W62="","",Settings!$C$7)</f>
        <v/>
      </c>
      <c r="M62" s="7">
        <f>IF($W62="","",SUMIFS('Per Line'!$Y$2:$Y$501,'Per Line'!$C$2:$C$501,$B62,'Per Line'!$AD$2:$AD$501,0))</f>
        <v/>
      </c>
      <c r="N62" s="7">
        <f>IF($W62="","",M62*L62)</f>
        <v/>
      </c>
      <c r="O62">
        <f>IF($W62="","",Settings!$C$6)</f>
        <v/>
      </c>
      <c r="P62" s="7">
        <f>IF($W62="","",SUMIFS('Per Line'!$Y$2:$Y$501,'Per Line'!$C$2:$C$501,$B62,'Per Line'!$AD$2:$AD$501,1))</f>
        <v/>
      </c>
      <c r="Q62" s="7">
        <f>IF($W62="","",P62*O62)</f>
        <v/>
      </c>
      <c r="R62" s="7">
        <f>IF($W62="","",Q62+N62)</f>
        <v/>
      </c>
      <c r="S62" s="7">
        <f>IF($W62="","",T62-R62)</f>
        <v/>
      </c>
      <c r="T62" s="7">
        <f>IF($W62="","",M62+P62)</f>
        <v/>
      </c>
      <c r="U62" s="7">
        <f>IF($W62="","",T62-R62-J62)</f>
        <v/>
      </c>
      <c r="V62" s="12" t="n"/>
      <c r="W62" s="13">
        <f>IF(ROWS($W$2:$W62)&lt;=MAX('Per Line'!$AC$2:$AC$501),MATCH(ROWS($W$2:$W62),'Per Line'!$AC$2:$AC$501,0),"")</f>
        <v/>
      </c>
    </row>
    <row r="63">
      <c r="A63" s="12" t="n"/>
      <c r="B63">
        <f>IF($W63="","",INDEX('Per Line'!$C$2:$C$501,$W63)&amp;"")</f>
        <v/>
      </c>
      <c r="C63">
        <f>IF($W63="","",INDEX('Per Line'!$A$2:$A$501,$W63)&amp;"")</f>
        <v/>
      </c>
      <c r="D63">
        <f>IF($W63="","",INDEX('Per Line'!$E$2:$E$501,$W63)&amp;"")</f>
        <v/>
      </c>
      <c r="E63">
        <f>IF($W63="","",INDEX('Per Line'!$H$2:$H$501,$W63)&amp;"")</f>
        <v/>
      </c>
      <c r="F63">
        <f>IF($W63="","",INDEX('Per Line'!$K$2:$K$501,$W63)&amp;"")</f>
        <v/>
      </c>
      <c r="G63">
        <f>IF($W63="","",INDEX('Per Line'!$L$2:$L$501,$W63)&amp;"")</f>
        <v/>
      </c>
      <c r="H63" s="12" t="n"/>
      <c r="I63">
        <f>IF($W63="","",INDEX('Per Line'!$M$2:$M$501,$W63))</f>
        <v/>
      </c>
      <c r="J63" s="7">
        <f>IF($W63="","",I63*T63/100)</f>
        <v/>
      </c>
      <c r="K63" s="11">
        <f>IF($W63="","",INDEX('Per Line'!$O$2:$O$501,$W63))</f>
        <v/>
      </c>
      <c r="L63">
        <f>IF($W63="","",Settings!$C$7)</f>
        <v/>
      </c>
      <c r="M63" s="7">
        <f>IF($W63="","",SUMIFS('Per Line'!$Y$2:$Y$501,'Per Line'!$C$2:$C$501,$B63,'Per Line'!$AD$2:$AD$501,0))</f>
        <v/>
      </c>
      <c r="N63" s="7">
        <f>IF($W63="","",M63*L63)</f>
        <v/>
      </c>
      <c r="O63">
        <f>IF($W63="","",Settings!$C$6)</f>
        <v/>
      </c>
      <c r="P63" s="7">
        <f>IF($W63="","",SUMIFS('Per Line'!$Y$2:$Y$501,'Per Line'!$C$2:$C$501,$B63,'Per Line'!$AD$2:$AD$501,1))</f>
        <v/>
      </c>
      <c r="Q63" s="7">
        <f>IF($W63="","",P63*O63)</f>
        <v/>
      </c>
      <c r="R63" s="7">
        <f>IF($W63="","",Q63+N63)</f>
        <v/>
      </c>
      <c r="S63" s="7">
        <f>IF($W63="","",T63-R63)</f>
        <v/>
      </c>
      <c r="T63" s="7">
        <f>IF($W63="","",M63+P63)</f>
        <v/>
      </c>
      <c r="U63" s="7">
        <f>IF($W63="","",T63-R63-J63)</f>
        <v/>
      </c>
      <c r="V63" s="12" t="n"/>
      <c r="W63" s="13">
        <f>IF(ROWS($W$2:$W63)&lt;=MAX('Per Line'!$AC$2:$AC$501),MATCH(ROWS($W$2:$W63),'Per Line'!$AC$2:$AC$501,0),"")</f>
        <v/>
      </c>
    </row>
    <row r="64">
      <c r="A64" s="12" t="n"/>
      <c r="B64">
        <f>IF($W64="","",INDEX('Per Line'!$C$2:$C$501,$W64)&amp;"")</f>
        <v/>
      </c>
      <c r="C64">
        <f>IF($W64="","",INDEX('Per Line'!$A$2:$A$501,$W64)&amp;"")</f>
        <v/>
      </c>
      <c r="D64">
        <f>IF($W64="","",INDEX('Per Line'!$E$2:$E$501,$W64)&amp;"")</f>
        <v/>
      </c>
      <c r="E64">
        <f>IF($W64="","",INDEX('Per Line'!$H$2:$H$501,$W64)&amp;"")</f>
        <v/>
      </c>
      <c r="F64">
        <f>IF($W64="","",INDEX('Per Line'!$K$2:$K$501,$W64)&amp;"")</f>
        <v/>
      </c>
      <c r="G64">
        <f>IF($W64="","",INDEX('Per Line'!$L$2:$L$501,$W64)&amp;"")</f>
        <v/>
      </c>
      <c r="H64" s="12" t="n"/>
      <c r="I64">
        <f>IF($W64="","",INDEX('Per Line'!$M$2:$M$501,$W64))</f>
        <v/>
      </c>
      <c r="J64" s="7">
        <f>IF($W64="","",I64*T64/100)</f>
        <v/>
      </c>
      <c r="K64" s="11">
        <f>IF($W64="","",INDEX('Per Line'!$O$2:$O$501,$W64))</f>
        <v/>
      </c>
      <c r="L64">
        <f>IF($W64="","",Settings!$C$7)</f>
        <v/>
      </c>
      <c r="M64" s="7">
        <f>IF($W64="","",SUMIFS('Per Line'!$Y$2:$Y$501,'Per Line'!$C$2:$C$501,$B64,'Per Line'!$AD$2:$AD$501,0))</f>
        <v/>
      </c>
      <c r="N64" s="7">
        <f>IF($W64="","",M64*L64)</f>
        <v/>
      </c>
      <c r="O64">
        <f>IF($W64="","",Settings!$C$6)</f>
        <v/>
      </c>
      <c r="P64" s="7">
        <f>IF($W64="","",SUMIFS('Per Line'!$Y$2:$Y$501,'Per Line'!$C$2:$C$501,$B64,'Per Line'!$AD$2:$AD$501,1))</f>
        <v/>
      </c>
      <c r="Q64" s="7">
        <f>IF($W64="","",P64*O64)</f>
        <v/>
      </c>
      <c r="R64" s="7">
        <f>IF($W64="","",Q64+N64)</f>
        <v/>
      </c>
      <c r="S64" s="7">
        <f>IF($W64="","",T64-R64)</f>
        <v/>
      </c>
      <c r="T64" s="7">
        <f>IF($W64="","",M64+P64)</f>
        <v/>
      </c>
      <c r="U64" s="7">
        <f>IF($W64="","",T64-R64-J64)</f>
        <v/>
      </c>
      <c r="V64" s="12" t="n"/>
      <c r="W64" s="13">
        <f>IF(ROWS($W$2:$W64)&lt;=MAX('Per Line'!$AC$2:$AC$501),MATCH(ROWS($W$2:$W64),'Per Line'!$AC$2:$AC$501,0),"")</f>
        <v/>
      </c>
    </row>
    <row r="65">
      <c r="A65" s="12" t="n"/>
      <c r="B65">
        <f>IF($W65="","",INDEX('Per Line'!$C$2:$C$501,$W65)&amp;"")</f>
        <v/>
      </c>
      <c r="C65">
        <f>IF($W65="","",INDEX('Per Line'!$A$2:$A$501,$W65)&amp;"")</f>
        <v/>
      </c>
      <c r="D65">
        <f>IF($W65="","",INDEX('Per Line'!$E$2:$E$501,$W65)&amp;"")</f>
        <v/>
      </c>
      <c r="E65">
        <f>IF($W65="","",INDEX('Per Line'!$H$2:$H$501,$W65)&amp;"")</f>
        <v/>
      </c>
      <c r="F65">
        <f>IF($W65="","",INDEX('Per Line'!$K$2:$K$501,$W65)&amp;"")</f>
        <v/>
      </c>
      <c r="G65">
        <f>IF($W65="","",INDEX('Per Line'!$L$2:$L$501,$W65)&amp;"")</f>
        <v/>
      </c>
      <c r="H65" s="12" t="n"/>
      <c r="I65">
        <f>IF($W65="","",INDEX('Per Line'!$M$2:$M$501,$W65))</f>
        <v/>
      </c>
      <c r="J65" s="7">
        <f>IF($W65="","",I65*T65/100)</f>
        <v/>
      </c>
      <c r="K65" s="11">
        <f>IF($W65="","",INDEX('Per Line'!$O$2:$O$501,$W65))</f>
        <v/>
      </c>
      <c r="L65">
        <f>IF($W65="","",Settings!$C$7)</f>
        <v/>
      </c>
      <c r="M65" s="7">
        <f>IF($W65="","",SUMIFS('Per Line'!$Y$2:$Y$501,'Per Line'!$C$2:$C$501,$B65,'Per Line'!$AD$2:$AD$501,0))</f>
        <v/>
      </c>
      <c r="N65" s="7">
        <f>IF($W65="","",M65*L65)</f>
        <v/>
      </c>
      <c r="O65">
        <f>IF($W65="","",Settings!$C$6)</f>
        <v/>
      </c>
      <c r="P65" s="7">
        <f>IF($W65="","",SUMIFS('Per Line'!$Y$2:$Y$501,'Per Line'!$C$2:$C$501,$B65,'Per Line'!$AD$2:$AD$501,1))</f>
        <v/>
      </c>
      <c r="Q65" s="7">
        <f>IF($W65="","",P65*O65)</f>
        <v/>
      </c>
      <c r="R65" s="7">
        <f>IF($W65="","",Q65+N65)</f>
        <v/>
      </c>
      <c r="S65" s="7">
        <f>IF($W65="","",T65-R65)</f>
        <v/>
      </c>
      <c r="T65" s="7">
        <f>IF($W65="","",M65+P65)</f>
        <v/>
      </c>
      <c r="U65" s="7">
        <f>IF($W65="","",T65-R65-J65)</f>
        <v/>
      </c>
      <c r="V65" s="12" t="n"/>
      <c r="W65" s="13">
        <f>IF(ROWS($W$2:$W65)&lt;=MAX('Per Line'!$AC$2:$AC$501),MATCH(ROWS($W$2:$W65),'Per Line'!$AC$2:$AC$501,0),"")</f>
        <v/>
      </c>
    </row>
    <row r="66">
      <c r="A66" s="12" t="n"/>
      <c r="B66">
        <f>IF($W66="","",INDEX('Per Line'!$C$2:$C$501,$W66)&amp;"")</f>
        <v/>
      </c>
      <c r="C66">
        <f>IF($W66="","",INDEX('Per Line'!$A$2:$A$501,$W66)&amp;"")</f>
        <v/>
      </c>
      <c r="D66">
        <f>IF($W66="","",INDEX('Per Line'!$E$2:$E$501,$W66)&amp;"")</f>
        <v/>
      </c>
      <c r="E66">
        <f>IF($W66="","",INDEX('Per Line'!$H$2:$H$501,$W66)&amp;"")</f>
        <v/>
      </c>
      <c r="F66">
        <f>IF($W66="","",INDEX('Per Line'!$K$2:$K$501,$W66)&amp;"")</f>
        <v/>
      </c>
      <c r="G66">
        <f>IF($W66="","",INDEX('Per Line'!$L$2:$L$501,$W66)&amp;"")</f>
        <v/>
      </c>
      <c r="H66" s="12" t="n"/>
      <c r="I66">
        <f>IF($W66="","",INDEX('Per Line'!$M$2:$M$501,$W66))</f>
        <v/>
      </c>
      <c r="J66" s="7">
        <f>IF($W66="","",I66*T66/100)</f>
        <v/>
      </c>
      <c r="K66" s="11">
        <f>IF($W66="","",INDEX('Per Line'!$O$2:$O$501,$W66))</f>
        <v/>
      </c>
      <c r="L66">
        <f>IF($W66="","",Settings!$C$7)</f>
        <v/>
      </c>
      <c r="M66" s="7">
        <f>IF($W66="","",SUMIFS('Per Line'!$Y$2:$Y$501,'Per Line'!$C$2:$C$501,$B66,'Per Line'!$AD$2:$AD$501,0))</f>
        <v/>
      </c>
      <c r="N66" s="7">
        <f>IF($W66="","",M66*L66)</f>
        <v/>
      </c>
      <c r="O66">
        <f>IF($W66="","",Settings!$C$6)</f>
        <v/>
      </c>
      <c r="P66" s="7">
        <f>IF($W66="","",SUMIFS('Per Line'!$Y$2:$Y$501,'Per Line'!$C$2:$C$501,$B66,'Per Line'!$AD$2:$AD$501,1))</f>
        <v/>
      </c>
      <c r="Q66" s="7">
        <f>IF($W66="","",P66*O66)</f>
        <v/>
      </c>
      <c r="R66" s="7">
        <f>IF($W66="","",Q66+N66)</f>
        <v/>
      </c>
      <c r="S66" s="7">
        <f>IF($W66="","",T66-R66)</f>
        <v/>
      </c>
      <c r="T66" s="7">
        <f>IF($W66="","",M66+P66)</f>
        <v/>
      </c>
      <c r="U66" s="7">
        <f>IF($W66="","",T66-R66-J66)</f>
        <v/>
      </c>
      <c r="V66" s="12" t="n"/>
      <c r="W66" s="13">
        <f>IF(ROWS($W$2:$W66)&lt;=MAX('Per Line'!$AC$2:$AC$501),MATCH(ROWS($W$2:$W66),'Per Line'!$AC$2:$AC$501,0),"")</f>
        <v/>
      </c>
    </row>
    <row r="67">
      <c r="A67" s="12" t="n"/>
      <c r="B67">
        <f>IF($W67="","",INDEX('Per Line'!$C$2:$C$501,$W67)&amp;"")</f>
        <v/>
      </c>
      <c r="C67">
        <f>IF($W67="","",INDEX('Per Line'!$A$2:$A$501,$W67)&amp;"")</f>
        <v/>
      </c>
      <c r="D67">
        <f>IF($W67="","",INDEX('Per Line'!$E$2:$E$501,$W67)&amp;"")</f>
        <v/>
      </c>
      <c r="E67">
        <f>IF($W67="","",INDEX('Per Line'!$H$2:$H$501,$W67)&amp;"")</f>
        <v/>
      </c>
      <c r="F67">
        <f>IF($W67="","",INDEX('Per Line'!$K$2:$K$501,$W67)&amp;"")</f>
        <v/>
      </c>
      <c r="G67">
        <f>IF($W67="","",INDEX('Per Line'!$L$2:$L$501,$W67)&amp;"")</f>
        <v/>
      </c>
      <c r="H67" s="12" t="n"/>
      <c r="I67">
        <f>IF($W67="","",INDEX('Per Line'!$M$2:$M$501,$W67))</f>
        <v/>
      </c>
      <c r="J67" s="7">
        <f>IF($W67="","",I67*T67/100)</f>
        <v/>
      </c>
      <c r="K67" s="11">
        <f>IF($W67="","",INDEX('Per Line'!$O$2:$O$501,$W67))</f>
        <v/>
      </c>
      <c r="L67">
        <f>IF($W67="","",Settings!$C$7)</f>
        <v/>
      </c>
      <c r="M67" s="7">
        <f>IF($W67="","",SUMIFS('Per Line'!$Y$2:$Y$501,'Per Line'!$C$2:$C$501,$B67,'Per Line'!$AD$2:$AD$501,0))</f>
        <v/>
      </c>
      <c r="N67" s="7">
        <f>IF($W67="","",M67*L67)</f>
        <v/>
      </c>
      <c r="O67">
        <f>IF($W67="","",Settings!$C$6)</f>
        <v/>
      </c>
      <c r="P67" s="7">
        <f>IF($W67="","",SUMIFS('Per Line'!$Y$2:$Y$501,'Per Line'!$C$2:$C$501,$B67,'Per Line'!$AD$2:$AD$501,1))</f>
        <v/>
      </c>
      <c r="Q67" s="7">
        <f>IF($W67="","",P67*O67)</f>
        <v/>
      </c>
      <c r="R67" s="7">
        <f>IF($W67="","",Q67+N67)</f>
        <v/>
      </c>
      <c r="S67" s="7">
        <f>IF($W67="","",T67-R67)</f>
        <v/>
      </c>
      <c r="T67" s="7">
        <f>IF($W67="","",M67+P67)</f>
        <v/>
      </c>
      <c r="U67" s="7">
        <f>IF($W67="","",T67-R67-J67)</f>
        <v/>
      </c>
      <c r="V67" s="12" t="n"/>
      <c r="W67" s="13">
        <f>IF(ROWS($W$2:$W67)&lt;=MAX('Per Line'!$AC$2:$AC$501),MATCH(ROWS($W$2:$W67),'Per Line'!$AC$2:$AC$501,0),"")</f>
        <v/>
      </c>
    </row>
    <row r="68">
      <c r="A68" s="12" t="n"/>
      <c r="B68">
        <f>IF($W68="","",INDEX('Per Line'!$C$2:$C$501,$W68)&amp;"")</f>
        <v/>
      </c>
      <c r="C68">
        <f>IF($W68="","",INDEX('Per Line'!$A$2:$A$501,$W68)&amp;"")</f>
        <v/>
      </c>
      <c r="D68">
        <f>IF($W68="","",INDEX('Per Line'!$E$2:$E$501,$W68)&amp;"")</f>
        <v/>
      </c>
      <c r="E68">
        <f>IF($W68="","",INDEX('Per Line'!$H$2:$H$501,$W68)&amp;"")</f>
        <v/>
      </c>
      <c r="F68">
        <f>IF($W68="","",INDEX('Per Line'!$K$2:$K$501,$W68)&amp;"")</f>
        <v/>
      </c>
      <c r="G68">
        <f>IF($W68="","",INDEX('Per Line'!$L$2:$L$501,$W68)&amp;"")</f>
        <v/>
      </c>
      <c r="H68" s="12" t="n"/>
      <c r="I68">
        <f>IF($W68="","",INDEX('Per Line'!$M$2:$M$501,$W68))</f>
        <v/>
      </c>
      <c r="J68" s="7">
        <f>IF($W68="","",I68*T68/100)</f>
        <v/>
      </c>
      <c r="K68" s="11">
        <f>IF($W68="","",INDEX('Per Line'!$O$2:$O$501,$W68))</f>
        <v/>
      </c>
      <c r="L68">
        <f>IF($W68="","",Settings!$C$7)</f>
        <v/>
      </c>
      <c r="M68" s="7">
        <f>IF($W68="","",SUMIFS('Per Line'!$Y$2:$Y$501,'Per Line'!$C$2:$C$501,$B68,'Per Line'!$AD$2:$AD$501,0))</f>
        <v/>
      </c>
      <c r="N68" s="7">
        <f>IF($W68="","",M68*L68)</f>
        <v/>
      </c>
      <c r="O68">
        <f>IF($W68="","",Settings!$C$6)</f>
        <v/>
      </c>
      <c r="P68" s="7">
        <f>IF($W68="","",SUMIFS('Per Line'!$Y$2:$Y$501,'Per Line'!$C$2:$C$501,$B68,'Per Line'!$AD$2:$AD$501,1))</f>
        <v/>
      </c>
      <c r="Q68" s="7">
        <f>IF($W68="","",P68*O68)</f>
        <v/>
      </c>
      <c r="R68" s="7">
        <f>IF($W68="","",Q68+N68)</f>
        <v/>
      </c>
      <c r="S68" s="7">
        <f>IF($W68="","",T68-R68)</f>
        <v/>
      </c>
      <c r="T68" s="7">
        <f>IF($W68="","",M68+P68)</f>
        <v/>
      </c>
      <c r="U68" s="7">
        <f>IF($W68="","",T68-R68-J68)</f>
        <v/>
      </c>
      <c r="V68" s="12" t="n"/>
      <c r="W68" s="13">
        <f>IF(ROWS($W$2:$W68)&lt;=MAX('Per Line'!$AC$2:$AC$501),MATCH(ROWS($W$2:$W68),'Per Line'!$AC$2:$AC$501,0),"")</f>
        <v/>
      </c>
    </row>
    <row r="69">
      <c r="A69" s="12" t="n"/>
      <c r="B69">
        <f>IF($W69="","",INDEX('Per Line'!$C$2:$C$501,$W69)&amp;"")</f>
        <v/>
      </c>
      <c r="C69">
        <f>IF($W69="","",INDEX('Per Line'!$A$2:$A$501,$W69)&amp;"")</f>
        <v/>
      </c>
      <c r="D69">
        <f>IF($W69="","",INDEX('Per Line'!$E$2:$E$501,$W69)&amp;"")</f>
        <v/>
      </c>
      <c r="E69">
        <f>IF($W69="","",INDEX('Per Line'!$H$2:$H$501,$W69)&amp;"")</f>
        <v/>
      </c>
      <c r="F69">
        <f>IF($W69="","",INDEX('Per Line'!$K$2:$K$501,$W69)&amp;"")</f>
        <v/>
      </c>
      <c r="G69">
        <f>IF($W69="","",INDEX('Per Line'!$L$2:$L$501,$W69)&amp;"")</f>
        <v/>
      </c>
      <c r="H69" s="12" t="n"/>
      <c r="I69">
        <f>IF($W69="","",INDEX('Per Line'!$M$2:$M$501,$W69))</f>
        <v/>
      </c>
      <c r="J69" s="7">
        <f>IF($W69="","",I69*T69/100)</f>
        <v/>
      </c>
      <c r="K69" s="11">
        <f>IF($W69="","",INDEX('Per Line'!$O$2:$O$501,$W69))</f>
        <v/>
      </c>
      <c r="L69">
        <f>IF($W69="","",Settings!$C$7)</f>
        <v/>
      </c>
      <c r="M69" s="7">
        <f>IF($W69="","",SUMIFS('Per Line'!$Y$2:$Y$501,'Per Line'!$C$2:$C$501,$B69,'Per Line'!$AD$2:$AD$501,0))</f>
        <v/>
      </c>
      <c r="N69" s="7">
        <f>IF($W69="","",M69*L69)</f>
        <v/>
      </c>
      <c r="O69">
        <f>IF($W69="","",Settings!$C$6)</f>
        <v/>
      </c>
      <c r="P69" s="7">
        <f>IF($W69="","",SUMIFS('Per Line'!$Y$2:$Y$501,'Per Line'!$C$2:$C$501,$B69,'Per Line'!$AD$2:$AD$501,1))</f>
        <v/>
      </c>
      <c r="Q69" s="7">
        <f>IF($W69="","",P69*O69)</f>
        <v/>
      </c>
      <c r="R69" s="7">
        <f>IF($W69="","",Q69+N69)</f>
        <v/>
      </c>
      <c r="S69" s="7">
        <f>IF($W69="","",T69-R69)</f>
        <v/>
      </c>
      <c r="T69" s="7">
        <f>IF($W69="","",M69+P69)</f>
        <v/>
      </c>
      <c r="U69" s="7">
        <f>IF($W69="","",T69-R69-J69)</f>
        <v/>
      </c>
      <c r="V69" s="12" t="n"/>
      <c r="W69" s="13">
        <f>IF(ROWS($W$2:$W69)&lt;=MAX('Per Line'!$AC$2:$AC$501),MATCH(ROWS($W$2:$W69),'Per Line'!$AC$2:$AC$501,0),"")</f>
        <v/>
      </c>
    </row>
    <row r="70">
      <c r="A70" s="12" t="n"/>
      <c r="B70">
        <f>IF($W70="","",INDEX('Per Line'!$C$2:$C$501,$W70)&amp;"")</f>
        <v/>
      </c>
      <c r="C70">
        <f>IF($W70="","",INDEX('Per Line'!$A$2:$A$501,$W70)&amp;"")</f>
        <v/>
      </c>
      <c r="D70">
        <f>IF($W70="","",INDEX('Per Line'!$E$2:$E$501,$W70)&amp;"")</f>
        <v/>
      </c>
      <c r="E70">
        <f>IF($W70="","",INDEX('Per Line'!$H$2:$H$501,$W70)&amp;"")</f>
        <v/>
      </c>
      <c r="F70">
        <f>IF($W70="","",INDEX('Per Line'!$K$2:$K$501,$W70)&amp;"")</f>
        <v/>
      </c>
      <c r="G70">
        <f>IF($W70="","",INDEX('Per Line'!$L$2:$L$501,$W70)&amp;"")</f>
        <v/>
      </c>
      <c r="H70" s="12" t="n"/>
      <c r="I70">
        <f>IF($W70="","",INDEX('Per Line'!$M$2:$M$501,$W70))</f>
        <v/>
      </c>
      <c r="J70" s="7">
        <f>IF($W70="","",I70*T70/100)</f>
        <v/>
      </c>
      <c r="K70" s="11">
        <f>IF($W70="","",INDEX('Per Line'!$O$2:$O$501,$W70))</f>
        <v/>
      </c>
      <c r="L70">
        <f>IF($W70="","",Settings!$C$7)</f>
        <v/>
      </c>
      <c r="M70" s="7">
        <f>IF($W70="","",SUMIFS('Per Line'!$Y$2:$Y$501,'Per Line'!$C$2:$C$501,$B70,'Per Line'!$AD$2:$AD$501,0))</f>
        <v/>
      </c>
      <c r="N70" s="7">
        <f>IF($W70="","",M70*L70)</f>
        <v/>
      </c>
      <c r="O70">
        <f>IF($W70="","",Settings!$C$6)</f>
        <v/>
      </c>
      <c r="P70" s="7">
        <f>IF($W70="","",SUMIFS('Per Line'!$Y$2:$Y$501,'Per Line'!$C$2:$C$501,$B70,'Per Line'!$AD$2:$AD$501,1))</f>
        <v/>
      </c>
      <c r="Q70" s="7">
        <f>IF($W70="","",P70*O70)</f>
        <v/>
      </c>
      <c r="R70" s="7">
        <f>IF($W70="","",Q70+N70)</f>
        <v/>
      </c>
      <c r="S70" s="7">
        <f>IF($W70="","",T70-R70)</f>
        <v/>
      </c>
      <c r="T70" s="7">
        <f>IF($W70="","",M70+P70)</f>
        <v/>
      </c>
      <c r="U70" s="7">
        <f>IF($W70="","",T70-R70-J70)</f>
        <v/>
      </c>
      <c r="V70" s="12" t="n"/>
      <c r="W70" s="13">
        <f>IF(ROWS($W$2:$W70)&lt;=MAX('Per Line'!$AC$2:$AC$501),MATCH(ROWS($W$2:$W70),'Per Line'!$AC$2:$AC$501,0),"")</f>
        <v/>
      </c>
    </row>
    <row r="71">
      <c r="A71" s="12" t="n"/>
      <c r="B71">
        <f>IF($W71="","",INDEX('Per Line'!$C$2:$C$501,$W71)&amp;"")</f>
        <v/>
      </c>
      <c r="C71">
        <f>IF($W71="","",INDEX('Per Line'!$A$2:$A$501,$W71)&amp;"")</f>
        <v/>
      </c>
      <c r="D71">
        <f>IF($W71="","",INDEX('Per Line'!$E$2:$E$501,$W71)&amp;"")</f>
        <v/>
      </c>
      <c r="E71">
        <f>IF($W71="","",INDEX('Per Line'!$H$2:$H$501,$W71)&amp;"")</f>
        <v/>
      </c>
      <c r="F71">
        <f>IF($W71="","",INDEX('Per Line'!$K$2:$K$501,$W71)&amp;"")</f>
        <v/>
      </c>
      <c r="G71">
        <f>IF($W71="","",INDEX('Per Line'!$L$2:$L$501,$W71)&amp;"")</f>
        <v/>
      </c>
      <c r="H71" s="12" t="n"/>
      <c r="I71">
        <f>IF($W71="","",INDEX('Per Line'!$M$2:$M$501,$W71))</f>
        <v/>
      </c>
      <c r="J71" s="7">
        <f>IF($W71="","",I71*T71/100)</f>
        <v/>
      </c>
      <c r="K71" s="11">
        <f>IF($W71="","",INDEX('Per Line'!$O$2:$O$501,$W71))</f>
        <v/>
      </c>
      <c r="L71">
        <f>IF($W71="","",Settings!$C$7)</f>
        <v/>
      </c>
      <c r="M71" s="7">
        <f>IF($W71="","",SUMIFS('Per Line'!$Y$2:$Y$501,'Per Line'!$C$2:$C$501,$B71,'Per Line'!$AD$2:$AD$501,0))</f>
        <v/>
      </c>
      <c r="N71" s="7">
        <f>IF($W71="","",M71*L71)</f>
        <v/>
      </c>
      <c r="O71">
        <f>IF($W71="","",Settings!$C$6)</f>
        <v/>
      </c>
      <c r="P71" s="7">
        <f>IF($W71="","",SUMIFS('Per Line'!$Y$2:$Y$501,'Per Line'!$C$2:$C$501,$B71,'Per Line'!$AD$2:$AD$501,1))</f>
        <v/>
      </c>
      <c r="Q71" s="7">
        <f>IF($W71="","",P71*O71)</f>
        <v/>
      </c>
      <c r="R71" s="7">
        <f>IF($W71="","",Q71+N71)</f>
        <v/>
      </c>
      <c r="S71" s="7">
        <f>IF($W71="","",T71-R71)</f>
        <v/>
      </c>
      <c r="T71" s="7">
        <f>IF($W71="","",M71+P71)</f>
        <v/>
      </c>
      <c r="U71" s="7">
        <f>IF($W71="","",T71-R71-J71)</f>
        <v/>
      </c>
      <c r="V71" s="12" t="n"/>
      <c r="W71" s="13">
        <f>IF(ROWS($W$2:$W71)&lt;=MAX('Per Line'!$AC$2:$AC$501),MATCH(ROWS($W$2:$W71),'Per Line'!$AC$2:$AC$501,0),"")</f>
        <v/>
      </c>
    </row>
    <row r="72">
      <c r="A72" s="12" t="n"/>
      <c r="B72">
        <f>IF($W72="","",INDEX('Per Line'!$C$2:$C$501,$W72)&amp;"")</f>
        <v/>
      </c>
      <c r="C72">
        <f>IF($W72="","",INDEX('Per Line'!$A$2:$A$501,$W72)&amp;"")</f>
        <v/>
      </c>
      <c r="D72">
        <f>IF($W72="","",INDEX('Per Line'!$E$2:$E$501,$W72)&amp;"")</f>
        <v/>
      </c>
      <c r="E72">
        <f>IF($W72="","",INDEX('Per Line'!$H$2:$H$501,$W72)&amp;"")</f>
        <v/>
      </c>
      <c r="F72">
        <f>IF($W72="","",INDEX('Per Line'!$K$2:$K$501,$W72)&amp;"")</f>
        <v/>
      </c>
      <c r="G72">
        <f>IF($W72="","",INDEX('Per Line'!$L$2:$L$501,$W72)&amp;"")</f>
        <v/>
      </c>
      <c r="H72" s="12" t="n"/>
      <c r="I72">
        <f>IF($W72="","",INDEX('Per Line'!$M$2:$M$501,$W72))</f>
        <v/>
      </c>
      <c r="J72" s="7">
        <f>IF($W72="","",I72*T72/100)</f>
        <v/>
      </c>
      <c r="K72" s="11">
        <f>IF($W72="","",INDEX('Per Line'!$O$2:$O$501,$W72))</f>
        <v/>
      </c>
      <c r="L72">
        <f>IF($W72="","",Settings!$C$7)</f>
        <v/>
      </c>
      <c r="M72" s="7">
        <f>IF($W72="","",SUMIFS('Per Line'!$Y$2:$Y$501,'Per Line'!$C$2:$C$501,$B72,'Per Line'!$AD$2:$AD$501,0))</f>
        <v/>
      </c>
      <c r="N72" s="7">
        <f>IF($W72="","",M72*L72)</f>
        <v/>
      </c>
      <c r="O72">
        <f>IF($W72="","",Settings!$C$6)</f>
        <v/>
      </c>
      <c r="P72" s="7">
        <f>IF($W72="","",SUMIFS('Per Line'!$Y$2:$Y$501,'Per Line'!$C$2:$C$501,$B72,'Per Line'!$AD$2:$AD$501,1))</f>
        <v/>
      </c>
      <c r="Q72" s="7">
        <f>IF($W72="","",P72*O72)</f>
        <v/>
      </c>
      <c r="R72" s="7">
        <f>IF($W72="","",Q72+N72)</f>
        <v/>
      </c>
      <c r="S72" s="7">
        <f>IF($W72="","",T72-R72)</f>
        <v/>
      </c>
      <c r="T72" s="7">
        <f>IF($W72="","",M72+P72)</f>
        <v/>
      </c>
      <c r="U72" s="7">
        <f>IF($W72="","",T72-R72-J72)</f>
        <v/>
      </c>
      <c r="V72" s="12" t="n"/>
      <c r="W72" s="13">
        <f>IF(ROWS($W$2:$W72)&lt;=MAX('Per Line'!$AC$2:$AC$501),MATCH(ROWS($W$2:$W72),'Per Line'!$AC$2:$AC$501,0),"")</f>
        <v/>
      </c>
    </row>
    <row r="73">
      <c r="A73" s="12" t="n"/>
      <c r="B73">
        <f>IF($W73="","",INDEX('Per Line'!$C$2:$C$501,$W73)&amp;"")</f>
        <v/>
      </c>
      <c r="C73">
        <f>IF($W73="","",INDEX('Per Line'!$A$2:$A$501,$W73)&amp;"")</f>
        <v/>
      </c>
      <c r="D73">
        <f>IF($W73="","",INDEX('Per Line'!$E$2:$E$501,$W73)&amp;"")</f>
        <v/>
      </c>
      <c r="E73">
        <f>IF($W73="","",INDEX('Per Line'!$H$2:$H$501,$W73)&amp;"")</f>
        <v/>
      </c>
      <c r="F73">
        <f>IF($W73="","",INDEX('Per Line'!$K$2:$K$501,$W73)&amp;"")</f>
        <v/>
      </c>
      <c r="G73">
        <f>IF($W73="","",INDEX('Per Line'!$L$2:$L$501,$W73)&amp;"")</f>
        <v/>
      </c>
      <c r="H73" s="12" t="n"/>
      <c r="I73">
        <f>IF($W73="","",INDEX('Per Line'!$M$2:$M$501,$W73))</f>
        <v/>
      </c>
      <c r="J73" s="7">
        <f>IF($W73="","",I73*T73/100)</f>
        <v/>
      </c>
      <c r="K73" s="11">
        <f>IF($W73="","",INDEX('Per Line'!$O$2:$O$501,$W73))</f>
        <v/>
      </c>
      <c r="L73">
        <f>IF($W73="","",Settings!$C$7)</f>
        <v/>
      </c>
      <c r="M73" s="7">
        <f>IF($W73="","",SUMIFS('Per Line'!$Y$2:$Y$501,'Per Line'!$C$2:$C$501,$B73,'Per Line'!$AD$2:$AD$501,0))</f>
        <v/>
      </c>
      <c r="N73" s="7">
        <f>IF($W73="","",M73*L73)</f>
        <v/>
      </c>
      <c r="O73">
        <f>IF($W73="","",Settings!$C$6)</f>
        <v/>
      </c>
      <c r="P73" s="7">
        <f>IF($W73="","",SUMIFS('Per Line'!$Y$2:$Y$501,'Per Line'!$C$2:$C$501,$B73,'Per Line'!$AD$2:$AD$501,1))</f>
        <v/>
      </c>
      <c r="Q73" s="7">
        <f>IF($W73="","",P73*O73)</f>
        <v/>
      </c>
      <c r="R73" s="7">
        <f>IF($W73="","",Q73+N73)</f>
        <v/>
      </c>
      <c r="S73" s="7">
        <f>IF($W73="","",T73-R73)</f>
        <v/>
      </c>
      <c r="T73" s="7">
        <f>IF($W73="","",M73+P73)</f>
        <v/>
      </c>
      <c r="U73" s="7">
        <f>IF($W73="","",T73-R73-J73)</f>
        <v/>
      </c>
      <c r="V73" s="12" t="n"/>
      <c r="W73" s="13">
        <f>IF(ROWS($W$2:$W73)&lt;=MAX('Per Line'!$AC$2:$AC$501),MATCH(ROWS($W$2:$W73),'Per Line'!$AC$2:$AC$501,0),"")</f>
        <v/>
      </c>
    </row>
    <row r="74">
      <c r="A74" s="12" t="n"/>
      <c r="B74">
        <f>IF($W74="","",INDEX('Per Line'!$C$2:$C$501,$W74)&amp;"")</f>
        <v/>
      </c>
      <c r="C74">
        <f>IF($W74="","",INDEX('Per Line'!$A$2:$A$501,$W74)&amp;"")</f>
        <v/>
      </c>
      <c r="D74">
        <f>IF($W74="","",INDEX('Per Line'!$E$2:$E$501,$W74)&amp;"")</f>
        <v/>
      </c>
      <c r="E74">
        <f>IF($W74="","",INDEX('Per Line'!$H$2:$H$501,$W74)&amp;"")</f>
        <v/>
      </c>
      <c r="F74">
        <f>IF($W74="","",INDEX('Per Line'!$K$2:$K$501,$W74)&amp;"")</f>
        <v/>
      </c>
      <c r="G74">
        <f>IF($W74="","",INDEX('Per Line'!$L$2:$L$501,$W74)&amp;"")</f>
        <v/>
      </c>
      <c r="H74" s="12" t="n"/>
      <c r="I74">
        <f>IF($W74="","",INDEX('Per Line'!$M$2:$M$501,$W74))</f>
        <v/>
      </c>
      <c r="J74" s="7">
        <f>IF($W74="","",I74*T74/100)</f>
        <v/>
      </c>
      <c r="K74" s="11">
        <f>IF($W74="","",INDEX('Per Line'!$O$2:$O$501,$W74))</f>
        <v/>
      </c>
      <c r="L74">
        <f>IF($W74="","",Settings!$C$7)</f>
        <v/>
      </c>
      <c r="M74" s="7">
        <f>IF($W74="","",SUMIFS('Per Line'!$Y$2:$Y$501,'Per Line'!$C$2:$C$501,$B74,'Per Line'!$AD$2:$AD$501,0))</f>
        <v/>
      </c>
      <c r="N74" s="7">
        <f>IF($W74="","",M74*L74)</f>
        <v/>
      </c>
      <c r="O74">
        <f>IF($W74="","",Settings!$C$6)</f>
        <v/>
      </c>
      <c r="P74" s="7">
        <f>IF($W74="","",SUMIFS('Per Line'!$Y$2:$Y$501,'Per Line'!$C$2:$C$501,$B74,'Per Line'!$AD$2:$AD$501,1))</f>
        <v/>
      </c>
      <c r="Q74" s="7">
        <f>IF($W74="","",P74*O74)</f>
        <v/>
      </c>
      <c r="R74" s="7">
        <f>IF($W74="","",Q74+N74)</f>
        <v/>
      </c>
      <c r="S74" s="7">
        <f>IF($W74="","",T74-R74)</f>
        <v/>
      </c>
      <c r="T74" s="7">
        <f>IF($W74="","",M74+P74)</f>
        <v/>
      </c>
      <c r="U74" s="7">
        <f>IF($W74="","",T74-R74-J74)</f>
        <v/>
      </c>
      <c r="V74" s="12" t="n"/>
      <c r="W74" s="13">
        <f>IF(ROWS($W$2:$W74)&lt;=MAX('Per Line'!$AC$2:$AC$501),MATCH(ROWS($W$2:$W74),'Per Line'!$AC$2:$AC$501,0),"")</f>
        <v/>
      </c>
    </row>
    <row r="75">
      <c r="A75" s="12" t="n"/>
      <c r="B75">
        <f>IF($W75="","",INDEX('Per Line'!$C$2:$C$501,$W75)&amp;"")</f>
        <v/>
      </c>
      <c r="C75">
        <f>IF($W75="","",INDEX('Per Line'!$A$2:$A$501,$W75)&amp;"")</f>
        <v/>
      </c>
      <c r="D75">
        <f>IF($W75="","",INDEX('Per Line'!$E$2:$E$501,$W75)&amp;"")</f>
        <v/>
      </c>
      <c r="E75">
        <f>IF($W75="","",INDEX('Per Line'!$H$2:$H$501,$W75)&amp;"")</f>
        <v/>
      </c>
      <c r="F75">
        <f>IF($W75="","",INDEX('Per Line'!$K$2:$K$501,$W75)&amp;"")</f>
        <v/>
      </c>
      <c r="G75">
        <f>IF($W75="","",INDEX('Per Line'!$L$2:$L$501,$W75)&amp;"")</f>
        <v/>
      </c>
      <c r="H75" s="12" t="n"/>
      <c r="I75">
        <f>IF($W75="","",INDEX('Per Line'!$M$2:$M$501,$W75))</f>
        <v/>
      </c>
      <c r="J75" s="7">
        <f>IF($W75="","",I75*T75/100)</f>
        <v/>
      </c>
      <c r="K75" s="11">
        <f>IF($W75="","",INDEX('Per Line'!$O$2:$O$501,$W75))</f>
        <v/>
      </c>
      <c r="L75">
        <f>IF($W75="","",Settings!$C$7)</f>
        <v/>
      </c>
      <c r="M75" s="7">
        <f>IF($W75="","",SUMIFS('Per Line'!$Y$2:$Y$501,'Per Line'!$C$2:$C$501,$B75,'Per Line'!$AD$2:$AD$501,0))</f>
        <v/>
      </c>
      <c r="N75" s="7">
        <f>IF($W75="","",M75*L75)</f>
        <v/>
      </c>
      <c r="O75">
        <f>IF($W75="","",Settings!$C$6)</f>
        <v/>
      </c>
      <c r="P75" s="7">
        <f>IF($W75="","",SUMIFS('Per Line'!$Y$2:$Y$501,'Per Line'!$C$2:$C$501,$B75,'Per Line'!$AD$2:$AD$501,1))</f>
        <v/>
      </c>
      <c r="Q75" s="7">
        <f>IF($W75="","",P75*O75)</f>
        <v/>
      </c>
      <c r="R75" s="7">
        <f>IF($W75="","",Q75+N75)</f>
        <v/>
      </c>
      <c r="S75" s="7">
        <f>IF($W75="","",T75-R75)</f>
        <v/>
      </c>
      <c r="T75" s="7">
        <f>IF($W75="","",M75+P75)</f>
        <v/>
      </c>
      <c r="U75" s="7">
        <f>IF($W75="","",T75-R75-J75)</f>
        <v/>
      </c>
      <c r="V75" s="12" t="n"/>
      <c r="W75" s="13">
        <f>IF(ROWS($W$2:$W75)&lt;=MAX('Per Line'!$AC$2:$AC$501),MATCH(ROWS($W$2:$W75),'Per Line'!$AC$2:$AC$501,0),"")</f>
        <v/>
      </c>
    </row>
    <row r="76">
      <c r="A76" s="12" t="n"/>
      <c r="B76">
        <f>IF($W76="","",INDEX('Per Line'!$C$2:$C$501,$W76)&amp;"")</f>
        <v/>
      </c>
      <c r="C76">
        <f>IF($W76="","",INDEX('Per Line'!$A$2:$A$501,$W76)&amp;"")</f>
        <v/>
      </c>
      <c r="D76">
        <f>IF($W76="","",INDEX('Per Line'!$E$2:$E$501,$W76)&amp;"")</f>
        <v/>
      </c>
      <c r="E76">
        <f>IF($W76="","",INDEX('Per Line'!$H$2:$H$501,$W76)&amp;"")</f>
        <v/>
      </c>
      <c r="F76">
        <f>IF($W76="","",INDEX('Per Line'!$K$2:$K$501,$W76)&amp;"")</f>
        <v/>
      </c>
      <c r="G76">
        <f>IF($W76="","",INDEX('Per Line'!$L$2:$L$501,$W76)&amp;"")</f>
        <v/>
      </c>
      <c r="H76" s="12" t="n"/>
      <c r="I76">
        <f>IF($W76="","",INDEX('Per Line'!$M$2:$M$501,$W76))</f>
        <v/>
      </c>
      <c r="J76" s="7">
        <f>IF($W76="","",I76*T76/100)</f>
        <v/>
      </c>
      <c r="K76" s="11">
        <f>IF($W76="","",INDEX('Per Line'!$O$2:$O$501,$W76))</f>
        <v/>
      </c>
      <c r="L76">
        <f>IF($W76="","",Settings!$C$7)</f>
        <v/>
      </c>
      <c r="M76" s="7">
        <f>IF($W76="","",SUMIFS('Per Line'!$Y$2:$Y$501,'Per Line'!$C$2:$C$501,$B76,'Per Line'!$AD$2:$AD$501,0))</f>
        <v/>
      </c>
      <c r="N76" s="7">
        <f>IF($W76="","",M76*L76)</f>
        <v/>
      </c>
      <c r="O76">
        <f>IF($W76="","",Settings!$C$6)</f>
        <v/>
      </c>
      <c r="P76" s="7">
        <f>IF($W76="","",SUMIFS('Per Line'!$Y$2:$Y$501,'Per Line'!$C$2:$C$501,$B76,'Per Line'!$AD$2:$AD$501,1))</f>
        <v/>
      </c>
      <c r="Q76" s="7">
        <f>IF($W76="","",P76*O76)</f>
        <v/>
      </c>
      <c r="R76" s="7">
        <f>IF($W76="","",Q76+N76)</f>
        <v/>
      </c>
      <c r="S76" s="7">
        <f>IF($W76="","",T76-R76)</f>
        <v/>
      </c>
      <c r="T76" s="7">
        <f>IF($W76="","",M76+P76)</f>
        <v/>
      </c>
      <c r="U76" s="7">
        <f>IF($W76="","",T76-R76-J76)</f>
        <v/>
      </c>
      <c r="V76" s="12" t="n"/>
      <c r="W76" s="13">
        <f>IF(ROWS($W$2:$W76)&lt;=MAX('Per Line'!$AC$2:$AC$501),MATCH(ROWS($W$2:$W76),'Per Line'!$AC$2:$AC$501,0),"")</f>
        <v/>
      </c>
    </row>
    <row r="77">
      <c r="A77" s="12" t="n"/>
      <c r="B77">
        <f>IF($W77="","",INDEX('Per Line'!$C$2:$C$501,$W77)&amp;"")</f>
        <v/>
      </c>
      <c r="C77">
        <f>IF($W77="","",INDEX('Per Line'!$A$2:$A$501,$W77)&amp;"")</f>
        <v/>
      </c>
      <c r="D77">
        <f>IF($W77="","",INDEX('Per Line'!$E$2:$E$501,$W77)&amp;"")</f>
        <v/>
      </c>
      <c r="E77">
        <f>IF($W77="","",INDEX('Per Line'!$H$2:$H$501,$W77)&amp;"")</f>
        <v/>
      </c>
      <c r="F77">
        <f>IF($W77="","",INDEX('Per Line'!$K$2:$K$501,$W77)&amp;"")</f>
        <v/>
      </c>
      <c r="G77">
        <f>IF($W77="","",INDEX('Per Line'!$L$2:$L$501,$W77)&amp;"")</f>
        <v/>
      </c>
      <c r="H77" s="12" t="n"/>
      <c r="I77">
        <f>IF($W77="","",INDEX('Per Line'!$M$2:$M$501,$W77))</f>
        <v/>
      </c>
      <c r="J77" s="7">
        <f>IF($W77="","",I77*T77/100)</f>
        <v/>
      </c>
      <c r="K77" s="11">
        <f>IF($W77="","",INDEX('Per Line'!$O$2:$O$501,$W77))</f>
        <v/>
      </c>
      <c r="L77">
        <f>IF($W77="","",Settings!$C$7)</f>
        <v/>
      </c>
      <c r="M77" s="7">
        <f>IF($W77="","",SUMIFS('Per Line'!$Y$2:$Y$501,'Per Line'!$C$2:$C$501,$B77,'Per Line'!$AD$2:$AD$501,0))</f>
        <v/>
      </c>
      <c r="N77" s="7">
        <f>IF($W77="","",M77*L77)</f>
        <v/>
      </c>
      <c r="O77">
        <f>IF($W77="","",Settings!$C$6)</f>
        <v/>
      </c>
      <c r="P77" s="7">
        <f>IF($W77="","",SUMIFS('Per Line'!$Y$2:$Y$501,'Per Line'!$C$2:$C$501,$B77,'Per Line'!$AD$2:$AD$501,1))</f>
        <v/>
      </c>
      <c r="Q77" s="7">
        <f>IF($W77="","",P77*O77)</f>
        <v/>
      </c>
      <c r="R77" s="7">
        <f>IF($W77="","",Q77+N77)</f>
        <v/>
      </c>
      <c r="S77" s="7">
        <f>IF($W77="","",T77-R77)</f>
        <v/>
      </c>
      <c r="T77" s="7">
        <f>IF($W77="","",M77+P77)</f>
        <v/>
      </c>
      <c r="U77" s="7">
        <f>IF($W77="","",T77-R77-J77)</f>
        <v/>
      </c>
      <c r="V77" s="12" t="n"/>
      <c r="W77" s="13">
        <f>IF(ROWS($W$2:$W77)&lt;=MAX('Per Line'!$AC$2:$AC$501),MATCH(ROWS($W$2:$W77),'Per Line'!$AC$2:$AC$501,0),"")</f>
        <v/>
      </c>
    </row>
    <row r="78">
      <c r="A78" s="12" t="n"/>
      <c r="B78">
        <f>IF($W78="","",INDEX('Per Line'!$C$2:$C$501,$W78)&amp;"")</f>
        <v/>
      </c>
      <c r="C78">
        <f>IF($W78="","",INDEX('Per Line'!$A$2:$A$501,$W78)&amp;"")</f>
        <v/>
      </c>
      <c r="D78">
        <f>IF($W78="","",INDEX('Per Line'!$E$2:$E$501,$W78)&amp;"")</f>
        <v/>
      </c>
      <c r="E78">
        <f>IF($W78="","",INDEX('Per Line'!$H$2:$H$501,$W78)&amp;"")</f>
        <v/>
      </c>
      <c r="F78">
        <f>IF($W78="","",INDEX('Per Line'!$K$2:$K$501,$W78)&amp;"")</f>
        <v/>
      </c>
      <c r="G78">
        <f>IF($W78="","",INDEX('Per Line'!$L$2:$L$501,$W78)&amp;"")</f>
        <v/>
      </c>
      <c r="H78" s="12" t="n"/>
      <c r="I78">
        <f>IF($W78="","",INDEX('Per Line'!$M$2:$M$501,$W78))</f>
        <v/>
      </c>
      <c r="J78" s="7">
        <f>IF($W78="","",I78*T78/100)</f>
        <v/>
      </c>
      <c r="K78" s="11">
        <f>IF($W78="","",INDEX('Per Line'!$O$2:$O$501,$W78))</f>
        <v/>
      </c>
      <c r="L78">
        <f>IF($W78="","",Settings!$C$7)</f>
        <v/>
      </c>
      <c r="M78" s="7">
        <f>IF($W78="","",SUMIFS('Per Line'!$Y$2:$Y$501,'Per Line'!$C$2:$C$501,$B78,'Per Line'!$AD$2:$AD$501,0))</f>
        <v/>
      </c>
      <c r="N78" s="7">
        <f>IF($W78="","",M78*L78)</f>
        <v/>
      </c>
      <c r="O78">
        <f>IF($W78="","",Settings!$C$6)</f>
        <v/>
      </c>
      <c r="P78" s="7">
        <f>IF($W78="","",SUMIFS('Per Line'!$Y$2:$Y$501,'Per Line'!$C$2:$C$501,$B78,'Per Line'!$AD$2:$AD$501,1))</f>
        <v/>
      </c>
      <c r="Q78" s="7">
        <f>IF($W78="","",P78*O78)</f>
        <v/>
      </c>
      <c r="R78" s="7">
        <f>IF($W78="","",Q78+N78)</f>
        <v/>
      </c>
      <c r="S78" s="7">
        <f>IF($W78="","",T78-R78)</f>
        <v/>
      </c>
      <c r="T78" s="7">
        <f>IF($W78="","",M78+P78)</f>
        <v/>
      </c>
      <c r="U78" s="7">
        <f>IF($W78="","",T78-R78-J78)</f>
        <v/>
      </c>
      <c r="V78" s="12" t="n"/>
      <c r="W78" s="13">
        <f>IF(ROWS($W$2:$W78)&lt;=MAX('Per Line'!$AC$2:$AC$501),MATCH(ROWS($W$2:$W78),'Per Line'!$AC$2:$AC$501,0),"")</f>
        <v/>
      </c>
    </row>
    <row r="79">
      <c r="A79" s="12" t="n"/>
      <c r="B79">
        <f>IF($W79="","",INDEX('Per Line'!$C$2:$C$501,$W79)&amp;"")</f>
        <v/>
      </c>
      <c r="C79">
        <f>IF($W79="","",INDEX('Per Line'!$A$2:$A$501,$W79)&amp;"")</f>
        <v/>
      </c>
      <c r="D79">
        <f>IF($W79="","",INDEX('Per Line'!$E$2:$E$501,$W79)&amp;"")</f>
        <v/>
      </c>
      <c r="E79">
        <f>IF($W79="","",INDEX('Per Line'!$H$2:$H$501,$W79)&amp;"")</f>
        <v/>
      </c>
      <c r="F79">
        <f>IF($W79="","",INDEX('Per Line'!$K$2:$K$501,$W79)&amp;"")</f>
        <v/>
      </c>
      <c r="G79">
        <f>IF($W79="","",INDEX('Per Line'!$L$2:$L$501,$W79)&amp;"")</f>
        <v/>
      </c>
      <c r="H79" s="12" t="n"/>
      <c r="I79">
        <f>IF($W79="","",INDEX('Per Line'!$M$2:$M$501,$W79))</f>
        <v/>
      </c>
      <c r="J79" s="7">
        <f>IF($W79="","",I79*T79/100)</f>
        <v/>
      </c>
      <c r="K79" s="11">
        <f>IF($W79="","",INDEX('Per Line'!$O$2:$O$501,$W79))</f>
        <v/>
      </c>
      <c r="L79">
        <f>IF($W79="","",Settings!$C$7)</f>
        <v/>
      </c>
      <c r="M79" s="7">
        <f>IF($W79="","",SUMIFS('Per Line'!$Y$2:$Y$501,'Per Line'!$C$2:$C$501,$B79,'Per Line'!$AD$2:$AD$501,0))</f>
        <v/>
      </c>
      <c r="N79" s="7">
        <f>IF($W79="","",M79*L79)</f>
        <v/>
      </c>
      <c r="O79">
        <f>IF($W79="","",Settings!$C$6)</f>
        <v/>
      </c>
      <c r="P79" s="7">
        <f>IF($W79="","",SUMIFS('Per Line'!$Y$2:$Y$501,'Per Line'!$C$2:$C$501,$B79,'Per Line'!$AD$2:$AD$501,1))</f>
        <v/>
      </c>
      <c r="Q79" s="7">
        <f>IF($W79="","",P79*O79)</f>
        <v/>
      </c>
      <c r="R79" s="7">
        <f>IF($W79="","",Q79+N79)</f>
        <v/>
      </c>
      <c r="S79" s="7">
        <f>IF($W79="","",T79-R79)</f>
        <v/>
      </c>
      <c r="T79" s="7">
        <f>IF($W79="","",M79+P79)</f>
        <v/>
      </c>
      <c r="U79" s="7">
        <f>IF($W79="","",T79-R79-J79)</f>
        <v/>
      </c>
      <c r="V79" s="12" t="n"/>
      <c r="W79" s="13">
        <f>IF(ROWS($W$2:$W79)&lt;=MAX('Per Line'!$AC$2:$AC$501),MATCH(ROWS($W$2:$W79),'Per Line'!$AC$2:$AC$501,0),"")</f>
        <v/>
      </c>
    </row>
    <row r="80">
      <c r="A80" s="12" t="n"/>
      <c r="B80">
        <f>IF($W80="","",INDEX('Per Line'!$C$2:$C$501,$W80)&amp;"")</f>
        <v/>
      </c>
      <c r="C80">
        <f>IF($W80="","",INDEX('Per Line'!$A$2:$A$501,$W80)&amp;"")</f>
        <v/>
      </c>
      <c r="D80">
        <f>IF($W80="","",INDEX('Per Line'!$E$2:$E$501,$W80)&amp;"")</f>
        <v/>
      </c>
      <c r="E80">
        <f>IF($W80="","",INDEX('Per Line'!$H$2:$H$501,$W80)&amp;"")</f>
        <v/>
      </c>
      <c r="F80">
        <f>IF($W80="","",INDEX('Per Line'!$K$2:$K$501,$W80)&amp;"")</f>
        <v/>
      </c>
      <c r="G80">
        <f>IF($W80="","",INDEX('Per Line'!$L$2:$L$501,$W80)&amp;"")</f>
        <v/>
      </c>
      <c r="H80" s="12" t="n"/>
      <c r="I80">
        <f>IF($W80="","",INDEX('Per Line'!$M$2:$M$501,$W80))</f>
        <v/>
      </c>
      <c r="J80" s="7">
        <f>IF($W80="","",I80*T80/100)</f>
        <v/>
      </c>
      <c r="K80" s="11">
        <f>IF($W80="","",INDEX('Per Line'!$O$2:$O$501,$W80))</f>
        <v/>
      </c>
      <c r="L80">
        <f>IF($W80="","",Settings!$C$7)</f>
        <v/>
      </c>
      <c r="M80" s="7">
        <f>IF($W80="","",SUMIFS('Per Line'!$Y$2:$Y$501,'Per Line'!$C$2:$C$501,$B80,'Per Line'!$AD$2:$AD$501,0))</f>
        <v/>
      </c>
      <c r="N80" s="7">
        <f>IF($W80="","",M80*L80)</f>
        <v/>
      </c>
      <c r="O80">
        <f>IF($W80="","",Settings!$C$6)</f>
        <v/>
      </c>
      <c r="P80" s="7">
        <f>IF($W80="","",SUMIFS('Per Line'!$Y$2:$Y$501,'Per Line'!$C$2:$C$501,$B80,'Per Line'!$AD$2:$AD$501,1))</f>
        <v/>
      </c>
      <c r="Q80" s="7">
        <f>IF($W80="","",P80*O80)</f>
        <v/>
      </c>
      <c r="R80" s="7">
        <f>IF($W80="","",Q80+N80)</f>
        <v/>
      </c>
      <c r="S80" s="7">
        <f>IF($W80="","",T80-R80)</f>
        <v/>
      </c>
      <c r="T80" s="7">
        <f>IF($W80="","",M80+P80)</f>
        <v/>
      </c>
      <c r="U80" s="7">
        <f>IF($W80="","",T80-R80-J80)</f>
        <v/>
      </c>
      <c r="V80" s="12" t="n"/>
      <c r="W80" s="13">
        <f>IF(ROWS($W$2:$W80)&lt;=MAX('Per Line'!$AC$2:$AC$501),MATCH(ROWS($W$2:$W80),'Per Line'!$AC$2:$AC$501,0),"")</f>
        <v/>
      </c>
    </row>
    <row r="81">
      <c r="A81" s="12" t="n"/>
      <c r="B81">
        <f>IF($W81="","",INDEX('Per Line'!$C$2:$C$501,$W81)&amp;"")</f>
        <v/>
      </c>
      <c r="C81">
        <f>IF($W81="","",INDEX('Per Line'!$A$2:$A$501,$W81)&amp;"")</f>
        <v/>
      </c>
      <c r="D81">
        <f>IF($W81="","",INDEX('Per Line'!$E$2:$E$501,$W81)&amp;"")</f>
        <v/>
      </c>
      <c r="E81">
        <f>IF($W81="","",INDEX('Per Line'!$H$2:$H$501,$W81)&amp;"")</f>
        <v/>
      </c>
      <c r="F81">
        <f>IF($W81="","",INDEX('Per Line'!$K$2:$K$501,$W81)&amp;"")</f>
        <v/>
      </c>
      <c r="G81">
        <f>IF($W81="","",INDEX('Per Line'!$L$2:$L$501,$W81)&amp;"")</f>
        <v/>
      </c>
      <c r="H81" s="12" t="n"/>
      <c r="I81">
        <f>IF($W81="","",INDEX('Per Line'!$M$2:$M$501,$W81))</f>
        <v/>
      </c>
      <c r="J81" s="7">
        <f>IF($W81="","",I81*T81/100)</f>
        <v/>
      </c>
      <c r="K81" s="11">
        <f>IF($W81="","",INDEX('Per Line'!$O$2:$O$501,$W81))</f>
        <v/>
      </c>
      <c r="L81">
        <f>IF($W81="","",Settings!$C$7)</f>
        <v/>
      </c>
      <c r="M81" s="7">
        <f>IF($W81="","",SUMIFS('Per Line'!$Y$2:$Y$501,'Per Line'!$C$2:$C$501,$B81,'Per Line'!$AD$2:$AD$501,0))</f>
        <v/>
      </c>
      <c r="N81" s="7">
        <f>IF($W81="","",M81*L81)</f>
        <v/>
      </c>
      <c r="O81">
        <f>IF($W81="","",Settings!$C$6)</f>
        <v/>
      </c>
      <c r="P81" s="7">
        <f>IF($W81="","",SUMIFS('Per Line'!$Y$2:$Y$501,'Per Line'!$C$2:$C$501,$B81,'Per Line'!$AD$2:$AD$501,1))</f>
        <v/>
      </c>
      <c r="Q81" s="7">
        <f>IF($W81="","",P81*O81)</f>
        <v/>
      </c>
      <c r="R81" s="7">
        <f>IF($W81="","",Q81+N81)</f>
        <v/>
      </c>
      <c r="S81" s="7">
        <f>IF($W81="","",T81-R81)</f>
        <v/>
      </c>
      <c r="T81" s="7">
        <f>IF($W81="","",M81+P81)</f>
        <v/>
      </c>
      <c r="U81" s="7">
        <f>IF($W81="","",T81-R81-J81)</f>
        <v/>
      </c>
      <c r="V81" s="12" t="n"/>
      <c r="W81" s="13">
        <f>IF(ROWS($W$2:$W81)&lt;=MAX('Per Line'!$AC$2:$AC$501),MATCH(ROWS($W$2:$W81),'Per Line'!$AC$2:$AC$501,0),"")</f>
        <v/>
      </c>
    </row>
    <row r="82">
      <c r="A82" s="12" t="n"/>
      <c r="B82">
        <f>IF($W82="","",INDEX('Per Line'!$C$2:$C$501,$W82)&amp;"")</f>
        <v/>
      </c>
      <c r="C82">
        <f>IF($W82="","",INDEX('Per Line'!$A$2:$A$501,$W82)&amp;"")</f>
        <v/>
      </c>
      <c r="D82">
        <f>IF($W82="","",INDEX('Per Line'!$E$2:$E$501,$W82)&amp;"")</f>
        <v/>
      </c>
      <c r="E82">
        <f>IF($W82="","",INDEX('Per Line'!$H$2:$H$501,$W82)&amp;"")</f>
        <v/>
      </c>
      <c r="F82">
        <f>IF($W82="","",INDEX('Per Line'!$K$2:$K$501,$W82)&amp;"")</f>
        <v/>
      </c>
      <c r="G82">
        <f>IF($W82="","",INDEX('Per Line'!$L$2:$L$501,$W82)&amp;"")</f>
        <v/>
      </c>
      <c r="H82" s="12" t="n"/>
      <c r="I82">
        <f>IF($W82="","",INDEX('Per Line'!$M$2:$M$501,$W82))</f>
        <v/>
      </c>
      <c r="J82" s="7">
        <f>IF($W82="","",I82*T82/100)</f>
        <v/>
      </c>
      <c r="K82" s="11">
        <f>IF($W82="","",INDEX('Per Line'!$O$2:$O$501,$W82))</f>
        <v/>
      </c>
      <c r="L82">
        <f>IF($W82="","",Settings!$C$7)</f>
        <v/>
      </c>
      <c r="M82" s="7">
        <f>IF($W82="","",SUMIFS('Per Line'!$Y$2:$Y$501,'Per Line'!$C$2:$C$501,$B82,'Per Line'!$AD$2:$AD$501,0))</f>
        <v/>
      </c>
      <c r="N82" s="7">
        <f>IF($W82="","",M82*L82)</f>
        <v/>
      </c>
      <c r="O82">
        <f>IF($W82="","",Settings!$C$6)</f>
        <v/>
      </c>
      <c r="P82" s="7">
        <f>IF($W82="","",SUMIFS('Per Line'!$Y$2:$Y$501,'Per Line'!$C$2:$C$501,$B82,'Per Line'!$AD$2:$AD$501,1))</f>
        <v/>
      </c>
      <c r="Q82" s="7">
        <f>IF($W82="","",P82*O82)</f>
        <v/>
      </c>
      <c r="R82" s="7">
        <f>IF($W82="","",Q82+N82)</f>
        <v/>
      </c>
      <c r="S82" s="7">
        <f>IF($W82="","",T82-R82)</f>
        <v/>
      </c>
      <c r="T82" s="7">
        <f>IF($W82="","",M82+P82)</f>
        <v/>
      </c>
      <c r="U82" s="7">
        <f>IF($W82="","",T82-R82-J82)</f>
        <v/>
      </c>
      <c r="V82" s="12" t="n"/>
      <c r="W82" s="13">
        <f>IF(ROWS($W$2:$W82)&lt;=MAX('Per Line'!$AC$2:$AC$501),MATCH(ROWS($W$2:$W82),'Per Line'!$AC$2:$AC$501,0),"")</f>
        <v/>
      </c>
    </row>
    <row r="83">
      <c r="A83" s="12" t="n"/>
      <c r="B83">
        <f>IF($W83="","",INDEX('Per Line'!$C$2:$C$501,$W83)&amp;"")</f>
        <v/>
      </c>
      <c r="C83">
        <f>IF($W83="","",INDEX('Per Line'!$A$2:$A$501,$W83)&amp;"")</f>
        <v/>
      </c>
      <c r="D83">
        <f>IF($W83="","",INDEX('Per Line'!$E$2:$E$501,$W83)&amp;"")</f>
        <v/>
      </c>
      <c r="E83">
        <f>IF($W83="","",INDEX('Per Line'!$H$2:$H$501,$W83)&amp;"")</f>
        <v/>
      </c>
      <c r="F83">
        <f>IF($W83="","",INDEX('Per Line'!$K$2:$K$501,$W83)&amp;"")</f>
        <v/>
      </c>
      <c r="G83">
        <f>IF($W83="","",INDEX('Per Line'!$L$2:$L$501,$W83)&amp;"")</f>
        <v/>
      </c>
      <c r="H83" s="12" t="n"/>
      <c r="I83">
        <f>IF($W83="","",INDEX('Per Line'!$M$2:$M$501,$W83))</f>
        <v/>
      </c>
      <c r="J83" s="7">
        <f>IF($W83="","",I83*T83/100)</f>
        <v/>
      </c>
      <c r="K83" s="11">
        <f>IF($W83="","",INDEX('Per Line'!$O$2:$O$501,$W83))</f>
        <v/>
      </c>
      <c r="L83">
        <f>IF($W83="","",Settings!$C$7)</f>
        <v/>
      </c>
      <c r="M83" s="7">
        <f>IF($W83="","",SUMIFS('Per Line'!$Y$2:$Y$501,'Per Line'!$C$2:$C$501,$B83,'Per Line'!$AD$2:$AD$501,0))</f>
        <v/>
      </c>
      <c r="N83" s="7">
        <f>IF($W83="","",M83*L83)</f>
        <v/>
      </c>
      <c r="O83">
        <f>IF($W83="","",Settings!$C$6)</f>
        <v/>
      </c>
      <c r="P83" s="7">
        <f>IF($W83="","",SUMIFS('Per Line'!$Y$2:$Y$501,'Per Line'!$C$2:$C$501,$B83,'Per Line'!$AD$2:$AD$501,1))</f>
        <v/>
      </c>
      <c r="Q83" s="7">
        <f>IF($W83="","",P83*O83)</f>
        <v/>
      </c>
      <c r="R83" s="7">
        <f>IF($W83="","",Q83+N83)</f>
        <v/>
      </c>
      <c r="S83" s="7">
        <f>IF($W83="","",T83-R83)</f>
        <v/>
      </c>
      <c r="T83" s="7">
        <f>IF($W83="","",M83+P83)</f>
        <v/>
      </c>
      <c r="U83" s="7">
        <f>IF($W83="","",T83-R83-J83)</f>
        <v/>
      </c>
      <c r="V83" s="12" t="n"/>
      <c r="W83" s="13">
        <f>IF(ROWS($W$2:$W83)&lt;=MAX('Per Line'!$AC$2:$AC$501),MATCH(ROWS($W$2:$W83),'Per Line'!$AC$2:$AC$501,0),"")</f>
        <v/>
      </c>
    </row>
    <row r="84">
      <c r="A84" s="12" t="n"/>
      <c r="B84">
        <f>IF($W84="","",INDEX('Per Line'!$C$2:$C$501,$W84)&amp;"")</f>
        <v/>
      </c>
      <c r="C84">
        <f>IF($W84="","",INDEX('Per Line'!$A$2:$A$501,$W84)&amp;"")</f>
        <v/>
      </c>
      <c r="D84">
        <f>IF($W84="","",INDEX('Per Line'!$E$2:$E$501,$W84)&amp;"")</f>
        <v/>
      </c>
      <c r="E84">
        <f>IF($W84="","",INDEX('Per Line'!$H$2:$H$501,$W84)&amp;"")</f>
        <v/>
      </c>
      <c r="F84">
        <f>IF($W84="","",INDEX('Per Line'!$K$2:$K$501,$W84)&amp;"")</f>
        <v/>
      </c>
      <c r="G84">
        <f>IF($W84="","",INDEX('Per Line'!$L$2:$L$501,$W84)&amp;"")</f>
        <v/>
      </c>
      <c r="H84" s="12" t="n"/>
      <c r="I84">
        <f>IF($W84="","",INDEX('Per Line'!$M$2:$M$501,$W84))</f>
        <v/>
      </c>
      <c r="J84" s="7">
        <f>IF($W84="","",I84*T84/100)</f>
        <v/>
      </c>
      <c r="K84" s="11">
        <f>IF($W84="","",INDEX('Per Line'!$O$2:$O$501,$W84))</f>
        <v/>
      </c>
      <c r="L84">
        <f>IF($W84="","",Settings!$C$7)</f>
        <v/>
      </c>
      <c r="M84" s="7">
        <f>IF($W84="","",SUMIFS('Per Line'!$Y$2:$Y$501,'Per Line'!$C$2:$C$501,$B84,'Per Line'!$AD$2:$AD$501,0))</f>
        <v/>
      </c>
      <c r="N84" s="7">
        <f>IF($W84="","",M84*L84)</f>
        <v/>
      </c>
      <c r="O84">
        <f>IF($W84="","",Settings!$C$6)</f>
        <v/>
      </c>
      <c r="P84" s="7">
        <f>IF($W84="","",SUMIFS('Per Line'!$Y$2:$Y$501,'Per Line'!$C$2:$C$501,$B84,'Per Line'!$AD$2:$AD$501,1))</f>
        <v/>
      </c>
      <c r="Q84" s="7">
        <f>IF($W84="","",P84*O84)</f>
        <v/>
      </c>
      <c r="R84" s="7">
        <f>IF($W84="","",Q84+N84)</f>
        <v/>
      </c>
      <c r="S84" s="7">
        <f>IF($W84="","",T84-R84)</f>
        <v/>
      </c>
      <c r="T84" s="7">
        <f>IF($W84="","",M84+P84)</f>
        <v/>
      </c>
      <c r="U84" s="7">
        <f>IF($W84="","",T84-R84-J84)</f>
        <v/>
      </c>
      <c r="V84" s="12" t="n"/>
      <c r="W84" s="13">
        <f>IF(ROWS($W$2:$W84)&lt;=MAX('Per Line'!$AC$2:$AC$501),MATCH(ROWS($W$2:$W84),'Per Line'!$AC$2:$AC$501,0),"")</f>
        <v/>
      </c>
    </row>
    <row r="85">
      <c r="A85" s="12" t="n"/>
      <c r="B85">
        <f>IF($W85="","",INDEX('Per Line'!$C$2:$C$501,$W85)&amp;"")</f>
        <v/>
      </c>
      <c r="C85">
        <f>IF($W85="","",INDEX('Per Line'!$A$2:$A$501,$W85)&amp;"")</f>
        <v/>
      </c>
      <c r="D85">
        <f>IF($W85="","",INDEX('Per Line'!$E$2:$E$501,$W85)&amp;"")</f>
        <v/>
      </c>
      <c r="E85">
        <f>IF($W85="","",INDEX('Per Line'!$H$2:$H$501,$W85)&amp;"")</f>
        <v/>
      </c>
      <c r="F85">
        <f>IF($W85="","",INDEX('Per Line'!$K$2:$K$501,$W85)&amp;"")</f>
        <v/>
      </c>
      <c r="G85">
        <f>IF($W85="","",INDEX('Per Line'!$L$2:$L$501,$W85)&amp;"")</f>
        <v/>
      </c>
      <c r="H85" s="12" t="n"/>
      <c r="I85">
        <f>IF($W85="","",INDEX('Per Line'!$M$2:$M$501,$W85))</f>
        <v/>
      </c>
      <c r="J85" s="7">
        <f>IF($W85="","",I85*T85/100)</f>
        <v/>
      </c>
      <c r="K85" s="11">
        <f>IF($W85="","",INDEX('Per Line'!$O$2:$O$501,$W85))</f>
        <v/>
      </c>
      <c r="L85">
        <f>IF($W85="","",Settings!$C$7)</f>
        <v/>
      </c>
      <c r="M85" s="7">
        <f>IF($W85="","",SUMIFS('Per Line'!$Y$2:$Y$501,'Per Line'!$C$2:$C$501,$B85,'Per Line'!$AD$2:$AD$501,0))</f>
        <v/>
      </c>
      <c r="N85" s="7">
        <f>IF($W85="","",M85*L85)</f>
        <v/>
      </c>
      <c r="O85">
        <f>IF($W85="","",Settings!$C$6)</f>
        <v/>
      </c>
      <c r="P85" s="7">
        <f>IF($W85="","",SUMIFS('Per Line'!$Y$2:$Y$501,'Per Line'!$C$2:$C$501,$B85,'Per Line'!$AD$2:$AD$501,1))</f>
        <v/>
      </c>
      <c r="Q85" s="7">
        <f>IF($W85="","",P85*O85)</f>
        <v/>
      </c>
      <c r="R85" s="7">
        <f>IF($W85="","",Q85+N85)</f>
        <v/>
      </c>
      <c r="S85" s="7">
        <f>IF($W85="","",T85-R85)</f>
        <v/>
      </c>
      <c r="T85" s="7">
        <f>IF($W85="","",M85+P85)</f>
        <v/>
      </c>
      <c r="U85" s="7">
        <f>IF($W85="","",T85-R85-J85)</f>
        <v/>
      </c>
      <c r="V85" s="12" t="n"/>
      <c r="W85" s="13">
        <f>IF(ROWS($W$2:$W85)&lt;=MAX('Per Line'!$AC$2:$AC$501),MATCH(ROWS($W$2:$W85),'Per Line'!$AC$2:$AC$501,0),"")</f>
        <v/>
      </c>
    </row>
    <row r="86">
      <c r="A86" s="12" t="n"/>
      <c r="B86">
        <f>IF($W86="","",INDEX('Per Line'!$C$2:$C$501,$W86)&amp;"")</f>
        <v/>
      </c>
      <c r="C86">
        <f>IF($W86="","",INDEX('Per Line'!$A$2:$A$501,$W86)&amp;"")</f>
        <v/>
      </c>
      <c r="D86">
        <f>IF($W86="","",INDEX('Per Line'!$E$2:$E$501,$W86)&amp;"")</f>
        <v/>
      </c>
      <c r="E86">
        <f>IF($W86="","",INDEX('Per Line'!$H$2:$H$501,$W86)&amp;"")</f>
        <v/>
      </c>
      <c r="F86">
        <f>IF($W86="","",INDEX('Per Line'!$K$2:$K$501,$W86)&amp;"")</f>
        <v/>
      </c>
      <c r="G86">
        <f>IF($W86="","",INDEX('Per Line'!$L$2:$L$501,$W86)&amp;"")</f>
        <v/>
      </c>
      <c r="H86" s="12" t="n"/>
      <c r="I86">
        <f>IF($W86="","",INDEX('Per Line'!$M$2:$M$501,$W86))</f>
        <v/>
      </c>
      <c r="J86" s="7">
        <f>IF($W86="","",I86*T86/100)</f>
        <v/>
      </c>
      <c r="K86" s="11">
        <f>IF($W86="","",INDEX('Per Line'!$O$2:$O$501,$W86))</f>
        <v/>
      </c>
      <c r="L86">
        <f>IF($W86="","",Settings!$C$7)</f>
        <v/>
      </c>
      <c r="M86" s="7">
        <f>IF($W86="","",SUMIFS('Per Line'!$Y$2:$Y$501,'Per Line'!$C$2:$C$501,$B86,'Per Line'!$AD$2:$AD$501,0))</f>
        <v/>
      </c>
      <c r="N86" s="7">
        <f>IF($W86="","",M86*L86)</f>
        <v/>
      </c>
      <c r="O86">
        <f>IF($W86="","",Settings!$C$6)</f>
        <v/>
      </c>
      <c r="P86" s="7">
        <f>IF($W86="","",SUMIFS('Per Line'!$Y$2:$Y$501,'Per Line'!$C$2:$C$501,$B86,'Per Line'!$AD$2:$AD$501,1))</f>
        <v/>
      </c>
      <c r="Q86" s="7">
        <f>IF($W86="","",P86*O86)</f>
        <v/>
      </c>
      <c r="R86" s="7">
        <f>IF($W86="","",Q86+N86)</f>
        <v/>
      </c>
      <c r="S86" s="7">
        <f>IF($W86="","",T86-R86)</f>
        <v/>
      </c>
      <c r="T86" s="7">
        <f>IF($W86="","",M86+P86)</f>
        <v/>
      </c>
      <c r="U86" s="7">
        <f>IF($W86="","",T86-R86-J86)</f>
        <v/>
      </c>
      <c r="V86" s="12" t="n"/>
      <c r="W86" s="13">
        <f>IF(ROWS($W$2:$W86)&lt;=MAX('Per Line'!$AC$2:$AC$501),MATCH(ROWS($W$2:$W86),'Per Line'!$AC$2:$AC$501,0),"")</f>
        <v/>
      </c>
    </row>
    <row r="87">
      <c r="A87" s="12" t="n"/>
      <c r="B87">
        <f>IF($W87="","",INDEX('Per Line'!$C$2:$C$501,$W87)&amp;"")</f>
        <v/>
      </c>
      <c r="C87">
        <f>IF($W87="","",INDEX('Per Line'!$A$2:$A$501,$W87)&amp;"")</f>
        <v/>
      </c>
      <c r="D87">
        <f>IF($W87="","",INDEX('Per Line'!$E$2:$E$501,$W87)&amp;"")</f>
        <v/>
      </c>
      <c r="E87">
        <f>IF($W87="","",INDEX('Per Line'!$H$2:$H$501,$W87)&amp;"")</f>
        <v/>
      </c>
      <c r="F87">
        <f>IF($W87="","",INDEX('Per Line'!$K$2:$K$501,$W87)&amp;"")</f>
        <v/>
      </c>
      <c r="G87">
        <f>IF($W87="","",INDEX('Per Line'!$L$2:$L$501,$W87)&amp;"")</f>
        <v/>
      </c>
      <c r="H87" s="12" t="n"/>
      <c r="I87">
        <f>IF($W87="","",INDEX('Per Line'!$M$2:$M$501,$W87))</f>
        <v/>
      </c>
      <c r="J87" s="7">
        <f>IF($W87="","",I87*T87/100)</f>
        <v/>
      </c>
      <c r="K87" s="11">
        <f>IF($W87="","",INDEX('Per Line'!$O$2:$O$501,$W87))</f>
        <v/>
      </c>
      <c r="L87">
        <f>IF($W87="","",Settings!$C$7)</f>
        <v/>
      </c>
      <c r="M87" s="7">
        <f>IF($W87="","",SUMIFS('Per Line'!$Y$2:$Y$501,'Per Line'!$C$2:$C$501,$B87,'Per Line'!$AD$2:$AD$501,0))</f>
        <v/>
      </c>
      <c r="N87" s="7">
        <f>IF($W87="","",M87*L87)</f>
        <v/>
      </c>
      <c r="O87">
        <f>IF($W87="","",Settings!$C$6)</f>
        <v/>
      </c>
      <c r="P87" s="7">
        <f>IF($W87="","",SUMIFS('Per Line'!$Y$2:$Y$501,'Per Line'!$C$2:$C$501,$B87,'Per Line'!$AD$2:$AD$501,1))</f>
        <v/>
      </c>
      <c r="Q87" s="7">
        <f>IF($W87="","",P87*O87)</f>
        <v/>
      </c>
      <c r="R87" s="7">
        <f>IF($W87="","",Q87+N87)</f>
        <v/>
      </c>
      <c r="S87" s="7">
        <f>IF($W87="","",T87-R87)</f>
        <v/>
      </c>
      <c r="T87" s="7">
        <f>IF($W87="","",M87+P87)</f>
        <v/>
      </c>
      <c r="U87" s="7">
        <f>IF($W87="","",T87-R87-J87)</f>
        <v/>
      </c>
      <c r="V87" s="12" t="n"/>
      <c r="W87" s="13">
        <f>IF(ROWS($W$2:$W87)&lt;=MAX('Per Line'!$AC$2:$AC$501),MATCH(ROWS($W$2:$W87),'Per Line'!$AC$2:$AC$501,0),"")</f>
        <v/>
      </c>
    </row>
    <row r="88">
      <c r="A88" s="12" t="n"/>
      <c r="B88">
        <f>IF($W88="","",INDEX('Per Line'!$C$2:$C$501,$W88)&amp;"")</f>
        <v/>
      </c>
      <c r="C88">
        <f>IF($W88="","",INDEX('Per Line'!$A$2:$A$501,$W88)&amp;"")</f>
        <v/>
      </c>
      <c r="D88">
        <f>IF($W88="","",INDEX('Per Line'!$E$2:$E$501,$W88)&amp;"")</f>
        <v/>
      </c>
      <c r="E88">
        <f>IF($W88="","",INDEX('Per Line'!$H$2:$H$501,$W88)&amp;"")</f>
        <v/>
      </c>
      <c r="F88">
        <f>IF($W88="","",INDEX('Per Line'!$K$2:$K$501,$W88)&amp;"")</f>
        <v/>
      </c>
      <c r="G88">
        <f>IF($W88="","",INDEX('Per Line'!$L$2:$L$501,$W88)&amp;"")</f>
        <v/>
      </c>
      <c r="H88" s="12" t="n"/>
      <c r="I88">
        <f>IF($W88="","",INDEX('Per Line'!$M$2:$M$501,$W88))</f>
        <v/>
      </c>
      <c r="J88" s="7">
        <f>IF($W88="","",I88*T88/100)</f>
        <v/>
      </c>
      <c r="K88" s="11">
        <f>IF($W88="","",INDEX('Per Line'!$O$2:$O$501,$W88))</f>
        <v/>
      </c>
      <c r="L88">
        <f>IF($W88="","",Settings!$C$7)</f>
        <v/>
      </c>
      <c r="M88" s="7">
        <f>IF($W88="","",SUMIFS('Per Line'!$Y$2:$Y$501,'Per Line'!$C$2:$C$501,$B88,'Per Line'!$AD$2:$AD$501,0))</f>
        <v/>
      </c>
      <c r="N88" s="7">
        <f>IF($W88="","",M88*L88)</f>
        <v/>
      </c>
      <c r="O88">
        <f>IF($W88="","",Settings!$C$6)</f>
        <v/>
      </c>
      <c r="P88" s="7">
        <f>IF($W88="","",SUMIFS('Per Line'!$Y$2:$Y$501,'Per Line'!$C$2:$C$501,$B88,'Per Line'!$AD$2:$AD$501,1))</f>
        <v/>
      </c>
      <c r="Q88" s="7">
        <f>IF($W88="","",P88*O88)</f>
        <v/>
      </c>
      <c r="R88" s="7">
        <f>IF($W88="","",Q88+N88)</f>
        <v/>
      </c>
      <c r="S88" s="7">
        <f>IF($W88="","",T88-R88)</f>
        <v/>
      </c>
      <c r="T88" s="7">
        <f>IF($W88="","",M88+P88)</f>
        <v/>
      </c>
      <c r="U88" s="7">
        <f>IF($W88="","",T88-R88-J88)</f>
        <v/>
      </c>
      <c r="V88" s="12" t="n"/>
      <c r="W88" s="13">
        <f>IF(ROWS($W$2:$W88)&lt;=MAX('Per Line'!$AC$2:$AC$501),MATCH(ROWS($W$2:$W88),'Per Line'!$AC$2:$AC$501,0),"")</f>
        <v/>
      </c>
    </row>
    <row r="89">
      <c r="A89" s="12" t="n"/>
      <c r="B89">
        <f>IF($W89="","",INDEX('Per Line'!$C$2:$C$501,$W89)&amp;"")</f>
        <v/>
      </c>
      <c r="C89">
        <f>IF($W89="","",INDEX('Per Line'!$A$2:$A$501,$W89)&amp;"")</f>
        <v/>
      </c>
      <c r="D89">
        <f>IF($W89="","",INDEX('Per Line'!$E$2:$E$501,$W89)&amp;"")</f>
        <v/>
      </c>
      <c r="E89">
        <f>IF($W89="","",INDEX('Per Line'!$H$2:$H$501,$W89)&amp;"")</f>
        <v/>
      </c>
      <c r="F89">
        <f>IF($W89="","",INDEX('Per Line'!$K$2:$K$501,$W89)&amp;"")</f>
        <v/>
      </c>
      <c r="G89">
        <f>IF($W89="","",INDEX('Per Line'!$L$2:$L$501,$W89)&amp;"")</f>
        <v/>
      </c>
      <c r="H89" s="12" t="n"/>
      <c r="I89">
        <f>IF($W89="","",INDEX('Per Line'!$M$2:$M$501,$W89))</f>
        <v/>
      </c>
      <c r="J89" s="7">
        <f>IF($W89="","",I89*T89/100)</f>
        <v/>
      </c>
      <c r="K89" s="11">
        <f>IF($W89="","",INDEX('Per Line'!$O$2:$O$501,$W89))</f>
        <v/>
      </c>
      <c r="L89">
        <f>IF($W89="","",Settings!$C$7)</f>
        <v/>
      </c>
      <c r="M89" s="7">
        <f>IF($W89="","",SUMIFS('Per Line'!$Y$2:$Y$501,'Per Line'!$C$2:$C$501,$B89,'Per Line'!$AD$2:$AD$501,0))</f>
        <v/>
      </c>
      <c r="N89" s="7">
        <f>IF($W89="","",M89*L89)</f>
        <v/>
      </c>
      <c r="O89">
        <f>IF($W89="","",Settings!$C$6)</f>
        <v/>
      </c>
      <c r="P89" s="7">
        <f>IF($W89="","",SUMIFS('Per Line'!$Y$2:$Y$501,'Per Line'!$C$2:$C$501,$B89,'Per Line'!$AD$2:$AD$501,1))</f>
        <v/>
      </c>
      <c r="Q89" s="7">
        <f>IF($W89="","",P89*O89)</f>
        <v/>
      </c>
      <c r="R89" s="7">
        <f>IF($W89="","",Q89+N89)</f>
        <v/>
      </c>
      <c r="S89" s="7">
        <f>IF($W89="","",T89-R89)</f>
        <v/>
      </c>
      <c r="T89" s="7">
        <f>IF($W89="","",M89+P89)</f>
        <v/>
      </c>
      <c r="U89" s="7">
        <f>IF($W89="","",T89-R89-J89)</f>
        <v/>
      </c>
      <c r="V89" s="12" t="n"/>
      <c r="W89" s="13">
        <f>IF(ROWS($W$2:$W89)&lt;=MAX('Per Line'!$AC$2:$AC$501),MATCH(ROWS($W$2:$W89),'Per Line'!$AC$2:$AC$501,0),"")</f>
        <v/>
      </c>
    </row>
    <row r="90">
      <c r="A90" s="12" t="n"/>
      <c r="B90">
        <f>IF($W90="","",INDEX('Per Line'!$C$2:$C$501,$W90)&amp;"")</f>
        <v/>
      </c>
      <c r="C90">
        <f>IF($W90="","",INDEX('Per Line'!$A$2:$A$501,$W90)&amp;"")</f>
        <v/>
      </c>
      <c r="D90">
        <f>IF($W90="","",INDEX('Per Line'!$E$2:$E$501,$W90)&amp;"")</f>
        <v/>
      </c>
      <c r="E90">
        <f>IF($W90="","",INDEX('Per Line'!$H$2:$H$501,$W90)&amp;"")</f>
        <v/>
      </c>
      <c r="F90">
        <f>IF($W90="","",INDEX('Per Line'!$K$2:$K$501,$W90)&amp;"")</f>
        <v/>
      </c>
      <c r="G90">
        <f>IF($W90="","",INDEX('Per Line'!$L$2:$L$501,$W90)&amp;"")</f>
        <v/>
      </c>
      <c r="H90" s="12" t="n"/>
      <c r="I90">
        <f>IF($W90="","",INDEX('Per Line'!$M$2:$M$501,$W90))</f>
        <v/>
      </c>
      <c r="J90" s="7">
        <f>IF($W90="","",I90*T90/100)</f>
        <v/>
      </c>
      <c r="K90" s="11">
        <f>IF($W90="","",INDEX('Per Line'!$O$2:$O$501,$W90))</f>
        <v/>
      </c>
      <c r="L90">
        <f>IF($W90="","",Settings!$C$7)</f>
        <v/>
      </c>
      <c r="M90" s="7">
        <f>IF($W90="","",SUMIFS('Per Line'!$Y$2:$Y$501,'Per Line'!$C$2:$C$501,$B90,'Per Line'!$AD$2:$AD$501,0))</f>
        <v/>
      </c>
      <c r="N90" s="7">
        <f>IF($W90="","",M90*L90)</f>
        <v/>
      </c>
      <c r="O90">
        <f>IF($W90="","",Settings!$C$6)</f>
        <v/>
      </c>
      <c r="P90" s="7">
        <f>IF($W90="","",SUMIFS('Per Line'!$Y$2:$Y$501,'Per Line'!$C$2:$C$501,$B90,'Per Line'!$AD$2:$AD$501,1))</f>
        <v/>
      </c>
      <c r="Q90" s="7">
        <f>IF($W90="","",P90*O90)</f>
        <v/>
      </c>
      <c r="R90" s="7">
        <f>IF($W90="","",Q90+N90)</f>
        <v/>
      </c>
      <c r="S90" s="7">
        <f>IF($W90="","",T90-R90)</f>
        <v/>
      </c>
      <c r="T90" s="7">
        <f>IF($W90="","",M90+P90)</f>
        <v/>
      </c>
      <c r="U90" s="7">
        <f>IF($W90="","",T90-R90-J90)</f>
        <v/>
      </c>
      <c r="V90" s="12" t="n"/>
      <c r="W90" s="13">
        <f>IF(ROWS($W$2:$W90)&lt;=MAX('Per Line'!$AC$2:$AC$501),MATCH(ROWS($W$2:$W90),'Per Line'!$AC$2:$AC$501,0),"")</f>
        <v/>
      </c>
    </row>
    <row r="91">
      <c r="A91" s="12" t="n"/>
      <c r="B91">
        <f>IF($W91="","",INDEX('Per Line'!$C$2:$C$501,$W91)&amp;"")</f>
        <v/>
      </c>
      <c r="C91">
        <f>IF($W91="","",INDEX('Per Line'!$A$2:$A$501,$W91)&amp;"")</f>
        <v/>
      </c>
      <c r="D91">
        <f>IF($W91="","",INDEX('Per Line'!$E$2:$E$501,$W91)&amp;"")</f>
        <v/>
      </c>
      <c r="E91">
        <f>IF($W91="","",INDEX('Per Line'!$H$2:$H$501,$W91)&amp;"")</f>
        <v/>
      </c>
      <c r="F91">
        <f>IF($W91="","",INDEX('Per Line'!$K$2:$K$501,$W91)&amp;"")</f>
        <v/>
      </c>
      <c r="G91">
        <f>IF($W91="","",INDEX('Per Line'!$L$2:$L$501,$W91)&amp;"")</f>
        <v/>
      </c>
      <c r="H91" s="12" t="n"/>
      <c r="I91">
        <f>IF($W91="","",INDEX('Per Line'!$M$2:$M$501,$W91))</f>
        <v/>
      </c>
      <c r="J91" s="7">
        <f>IF($W91="","",I91*T91/100)</f>
        <v/>
      </c>
      <c r="K91" s="11">
        <f>IF($W91="","",INDEX('Per Line'!$O$2:$O$501,$W91))</f>
        <v/>
      </c>
      <c r="L91">
        <f>IF($W91="","",Settings!$C$7)</f>
        <v/>
      </c>
      <c r="M91" s="7">
        <f>IF($W91="","",SUMIFS('Per Line'!$Y$2:$Y$501,'Per Line'!$C$2:$C$501,$B91,'Per Line'!$AD$2:$AD$501,0))</f>
        <v/>
      </c>
      <c r="N91" s="7">
        <f>IF($W91="","",M91*L91)</f>
        <v/>
      </c>
      <c r="O91">
        <f>IF($W91="","",Settings!$C$6)</f>
        <v/>
      </c>
      <c r="P91" s="7">
        <f>IF($W91="","",SUMIFS('Per Line'!$Y$2:$Y$501,'Per Line'!$C$2:$C$501,$B91,'Per Line'!$AD$2:$AD$501,1))</f>
        <v/>
      </c>
      <c r="Q91" s="7">
        <f>IF($W91="","",P91*O91)</f>
        <v/>
      </c>
      <c r="R91" s="7">
        <f>IF($W91="","",Q91+N91)</f>
        <v/>
      </c>
      <c r="S91" s="7">
        <f>IF($W91="","",T91-R91)</f>
        <v/>
      </c>
      <c r="T91" s="7">
        <f>IF($W91="","",M91+P91)</f>
        <v/>
      </c>
      <c r="U91" s="7">
        <f>IF($W91="","",T91-R91-J91)</f>
        <v/>
      </c>
      <c r="V91" s="12" t="n"/>
      <c r="W91" s="13">
        <f>IF(ROWS($W$2:$W91)&lt;=MAX('Per Line'!$AC$2:$AC$501),MATCH(ROWS($W$2:$W91),'Per Line'!$AC$2:$AC$501,0),"")</f>
        <v/>
      </c>
    </row>
    <row r="92">
      <c r="A92" s="12" t="n"/>
      <c r="B92">
        <f>IF($W92="","",INDEX('Per Line'!$C$2:$C$501,$W92)&amp;"")</f>
        <v/>
      </c>
      <c r="C92">
        <f>IF($W92="","",INDEX('Per Line'!$A$2:$A$501,$W92)&amp;"")</f>
        <v/>
      </c>
      <c r="D92">
        <f>IF($W92="","",INDEX('Per Line'!$E$2:$E$501,$W92)&amp;"")</f>
        <v/>
      </c>
      <c r="E92">
        <f>IF($W92="","",INDEX('Per Line'!$H$2:$H$501,$W92)&amp;"")</f>
        <v/>
      </c>
      <c r="F92">
        <f>IF($W92="","",INDEX('Per Line'!$K$2:$K$501,$W92)&amp;"")</f>
        <v/>
      </c>
      <c r="G92">
        <f>IF($W92="","",INDEX('Per Line'!$L$2:$L$501,$W92)&amp;"")</f>
        <v/>
      </c>
      <c r="H92" s="12" t="n"/>
      <c r="I92">
        <f>IF($W92="","",INDEX('Per Line'!$M$2:$M$501,$W92))</f>
        <v/>
      </c>
      <c r="J92" s="7">
        <f>IF($W92="","",I92*T92/100)</f>
        <v/>
      </c>
      <c r="K92" s="11">
        <f>IF($W92="","",INDEX('Per Line'!$O$2:$O$501,$W92))</f>
        <v/>
      </c>
      <c r="L92">
        <f>IF($W92="","",Settings!$C$7)</f>
        <v/>
      </c>
      <c r="M92" s="7">
        <f>IF($W92="","",SUMIFS('Per Line'!$Y$2:$Y$501,'Per Line'!$C$2:$C$501,$B92,'Per Line'!$AD$2:$AD$501,0))</f>
        <v/>
      </c>
      <c r="N92" s="7">
        <f>IF($W92="","",M92*L92)</f>
        <v/>
      </c>
      <c r="O92">
        <f>IF($W92="","",Settings!$C$6)</f>
        <v/>
      </c>
      <c r="P92" s="7">
        <f>IF($W92="","",SUMIFS('Per Line'!$Y$2:$Y$501,'Per Line'!$C$2:$C$501,$B92,'Per Line'!$AD$2:$AD$501,1))</f>
        <v/>
      </c>
      <c r="Q92" s="7">
        <f>IF($W92="","",P92*O92)</f>
        <v/>
      </c>
      <c r="R92" s="7">
        <f>IF($W92="","",Q92+N92)</f>
        <v/>
      </c>
      <c r="S92" s="7">
        <f>IF($W92="","",T92-R92)</f>
        <v/>
      </c>
      <c r="T92" s="7">
        <f>IF($W92="","",M92+P92)</f>
        <v/>
      </c>
      <c r="U92" s="7">
        <f>IF($W92="","",T92-R92-J92)</f>
        <v/>
      </c>
      <c r="V92" s="12" t="n"/>
      <c r="W92" s="13">
        <f>IF(ROWS($W$2:$W92)&lt;=MAX('Per Line'!$AC$2:$AC$501),MATCH(ROWS($W$2:$W92),'Per Line'!$AC$2:$AC$501,0),"")</f>
        <v/>
      </c>
    </row>
    <row r="93">
      <c r="A93" s="12" t="n"/>
      <c r="B93">
        <f>IF($W93="","",INDEX('Per Line'!$C$2:$C$501,$W93)&amp;"")</f>
        <v/>
      </c>
      <c r="C93">
        <f>IF($W93="","",INDEX('Per Line'!$A$2:$A$501,$W93)&amp;"")</f>
        <v/>
      </c>
      <c r="D93">
        <f>IF($W93="","",INDEX('Per Line'!$E$2:$E$501,$W93)&amp;"")</f>
        <v/>
      </c>
      <c r="E93">
        <f>IF($W93="","",INDEX('Per Line'!$H$2:$H$501,$W93)&amp;"")</f>
        <v/>
      </c>
      <c r="F93">
        <f>IF($W93="","",INDEX('Per Line'!$K$2:$K$501,$W93)&amp;"")</f>
        <v/>
      </c>
      <c r="G93">
        <f>IF($W93="","",INDEX('Per Line'!$L$2:$L$501,$W93)&amp;"")</f>
        <v/>
      </c>
      <c r="H93" s="12" t="n"/>
      <c r="I93">
        <f>IF($W93="","",INDEX('Per Line'!$M$2:$M$501,$W93))</f>
        <v/>
      </c>
      <c r="J93" s="7">
        <f>IF($W93="","",I93*T93/100)</f>
        <v/>
      </c>
      <c r="K93" s="11">
        <f>IF($W93="","",INDEX('Per Line'!$O$2:$O$501,$W93))</f>
        <v/>
      </c>
      <c r="L93">
        <f>IF($W93="","",Settings!$C$7)</f>
        <v/>
      </c>
      <c r="M93" s="7">
        <f>IF($W93="","",SUMIFS('Per Line'!$Y$2:$Y$501,'Per Line'!$C$2:$C$501,$B93,'Per Line'!$AD$2:$AD$501,0))</f>
        <v/>
      </c>
      <c r="N93" s="7">
        <f>IF($W93="","",M93*L93)</f>
        <v/>
      </c>
      <c r="O93">
        <f>IF($W93="","",Settings!$C$6)</f>
        <v/>
      </c>
      <c r="P93" s="7">
        <f>IF($W93="","",SUMIFS('Per Line'!$Y$2:$Y$501,'Per Line'!$C$2:$C$501,$B93,'Per Line'!$AD$2:$AD$501,1))</f>
        <v/>
      </c>
      <c r="Q93" s="7">
        <f>IF($W93="","",P93*O93)</f>
        <v/>
      </c>
      <c r="R93" s="7">
        <f>IF($W93="","",Q93+N93)</f>
        <v/>
      </c>
      <c r="S93" s="7">
        <f>IF($W93="","",T93-R93)</f>
        <v/>
      </c>
      <c r="T93" s="7">
        <f>IF($W93="","",M93+P93)</f>
        <v/>
      </c>
      <c r="U93" s="7">
        <f>IF($W93="","",T93-R93-J93)</f>
        <v/>
      </c>
      <c r="V93" s="12" t="n"/>
      <c r="W93" s="13">
        <f>IF(ROWS($W$2:$W93)&lt;=MAX('Per Line'!$AC$2:$AC$501),MATCH(ROWS($W$2:$W93),'Per Line'!$AC$2:$AC$501,0),"")</f>
        <v/>
      </c>
    </row>
    <row r="94">
      <c r="A94" s="12" t="n"/>
      <c r="B94">
        <f>IF($W94="","",INDEX('Per Line'!$C$2:$C$501,$W94)&amp;"")</f>
        <v/>
      </c>
      <c r="C94">
        <f>IF($W94="","",INDEX('Per Line'!$A$2:$A$501,$W94)&amp;"")</f>
        <v/>
      </c>
      <c r="D94">
        <f>IF($W94="","",INDEX('Per Line'!$E$2:$E$501,$W94)&amp;"")</f>
        <v/>
      </c>
      <c r="E94">
        <f>IF($W94="","",INDEX('Per Line'!$H$2:$H$501,$W94)&amp;"")</f>
        <v/>
      </c>
      <c r="F94">
        <f>IF($W94="","",INDEX('Per Line'!$K$2:$K$501,$W94)&amp;"")</f>
        <v/>
      </c>
      <c r="G94">
        <f>IF($W94="","",INDEX('Per Line'!$L$2:$L$501,$W94)&amp;"")</f>
        <v/>
      </c>
      <c r="H94" s="12" t="n"/>
      <c r="I94">
        <f>IF($W94="","",INDEX('Per Line'!$M$2:$M$501,$W94))</f>
        <v/>
      </c>
      <c r="J94" s="7">
        <f>IF($W94="","",I94*T94/100)</f>
        <v/>
      </c>
      <c r="K94" s="11">
        <f>IF($W94="","",INDEX('Per Line'!$O$2:$O$501,$W94))</f>
        <v/>
      </c>
      <c r="L94">
        <f>IF($W94="","",Settings!$C$7)</f>
        <v/>
      </c>
      <c r="M94" s="7">
        <f>IF($W94="","",SUMIFS('Per Line'!$Y$2:$Y$501,'Per Line'!$C$2:$C$501,$B94,'Per Line'!$AD$2:$AD$501,0))</f>
        <v/>
      </c>
      <c r="N94" s="7">
        <f>IF($W94="","",M94*L94)</f>
        <v/>
      </c>
      <c r="O94">
        <f>IF($W94="","",Settings!$C$6)</f>
        <v/>
      </c>
      <c r="P94" s="7">
        <f>IF($W94="","",SUMIFS('Per Line'!$Y$2:$Y$501,'Per Line'!$C$2:$C$501,$B94,'Per Line'!$AD$2:$AD$501,1))</f>
        <v/>
      </c>
      <c r="Q94" s="7">
        <f>IF($W94="","",P94*O94)</f>
        <v/>
      </c>
      <c r="R94" s="7">
        <f>IF($W94="","",Q94+N94)</f>
        <v/>
      </c>
      <c r="S94" s="7">
        <f>IF($W94="","",T94-R94)</f>
        <v/>
      </c>
      <c r="T94" s="7">
        <f>IF($W94="","",M94+P94)</f>
        <v/>
      </c>
      <c r="U94" s="7">
        <f>IF($W94="","",T94-R94-J94)</f>
        <v/>
      </c>
      <c r="V94" s="12" t="n"/>
      <c r="W94" s="13">
        <f>IF(ROWS($W$2:$W94)&lt;=MAX('Per Line'!$AC$2:$AC$501),MATCH(ROWS($W$2:$W94),'Per Line'!$AC$2:$AC$501,0),"")</f>
        <v/>
      </c>
    </row>
    <row r="95">
      <c r="A95" s="12" t="n"/>
      <c r="B95">
        <f>IF($W95="","",INDEX('Per Line'!$C$2:$C$501,$W95)&amp;"")</f>
        <v/>
      </c>
      <c r="C95">
        <f>IF($W95="","",INDEX('Per Line'!$A$2:$A$501,$W95)&amp;"")</f>
        <v/>
      </c>
      <c r="D95">
        <f>IF($W95="","",INDEX('Per Line'!$E$2:$E$501,$W95)&amp;"")</f>
        <v/>
      </c>
      <c r="E95">
        <f>IF($W95="","",INDEX('Per Line'!$H$2:$H$501,$W95)&amp;"")</f>
        <v/>
      </c>
      <c r="F95">
        <f>IF($W95="","",INDEX('Per Line'!$K$2:$K$501,$W95)&amp;"")</f>
        <v/>
      </c>
      <c r="G95">
        <f>IF($W95="","",INDEX('Per Line'!$L$2:$L$501,$W95)&amp;"")</f>
        <v/>
      </c>
      <c r="H95" s="12" t="n"/>
      <c r="I95">
        <f>IF($W95="","",INDEX('Per Line'!$M$2:$M$501,$W95))</f>
        <v/>
      </c>
      <c r="J95" s="7">
        <f>IF($W95="","",I95*T95/100)</f>
        <v/>
      </c>
      <c r="K95" s="11">
        <f>IF($W95="","",INDEX('Per Line'!$O$2:$O$501,$W95))</f>
        <v/>
      </c>
      <c r="L95">
        <f>IF($W95="","",Settings!$C$7)</f>
        <v/>
      </c>
      <c r="M95" s="7">
        <f>IF($W95="","",SUMIFS('Per Line'!$Y$2:$Y$501,'Per Line'!$C$2:$C$501,$B95,'Per Line'!$AD$2:$AD$501,0))</f>
        <v/>
      </c>
      <c r="N95" s="7">
        <f>IF($W95="","",M95*L95)</f>
        <v/>
      </c>
      <c r="O95">
        <f>IF($W95="","",Settings!$C$6)</f>
        <v/>
      </c>
      <c r="P95" s="7">
        <f>IF($W95="","",SUMIFS('Per Line'!$Y$2:$Y$501,'Per Line'!$C$2:$C$501,$B95,'Per Line'!$AD$2:$AD$501,1))</f>
        <v/>
      </c>
      <c r="Q95" s="7">
        <f>IF($W95="","",P95*O95)</f>
        <v/>
      </c>
      <c r="R95" s="7">
        <f>IF($W95="","",Q95+N95)</f>
        <v/>
      </c>
      <c r="S95" s="7">
        <f>IF($W95="","",T95-R95)</f>
        <v/>
      </c>
      <c r="T95" s="7">
        <f>IF($W95="","",M95+P95)</f>
        <v/>
      </c>
      <c r="U95" s="7">
        <f>IF($W95="","",T95-R95-J95)</f>
        <v/>
      </c>
      <c r="V95" s="12" t="n"/>
      <c r="W95" s="13">
        <f>IF(ROWS($W$2:$W95)&lt;=MAX('Per Line'!$AC$2:$AC$501),MATCH(ROWS($W$2:$W95),'Per Line'!$AC$2:$AC$501,0),"")</f>
        <v/>
      </c>
    </row>
    <row r="96">
      <c r="A96" s="12" t="n"/>
      <c r="B96">
        <f>IF($W96="","",INDEX('Per Line'!$C$2:$C$501,$W96)&amp;"")</f>
        <v/>
      </c>
      <c r="C96">
        <f>IF($W96="","",INDEX('Per Line'!$A$2:$A$501,$W96)&amp;"")</f>
        <v/>
      </c>
      <c r="D96">
        <f>IF($W96="","",INDEX('Per Line'!$E$2:$E$501,$W96)&amp;"")</f>
        <v/>
      </c>
      <c r="E96">
        <f>IF($W96="","",INDEX('Per Line'!$H$2:$H$501,$W96)&amp;"")</f>
        <v/>
      </c>
      <c r="F96">
        <f>IF($W96="","",INDEX('Per Line'!$K$2:$K$501,$W96)&amp;"")</f>
        <v/>
      </c>
      <c r="G96">
        <f>IF($W96="","",INDEX('Per Line'!$L$2:$L$501,$W96)&amp;"")</f>
        <v/>
      </c>
      <c r="H96" s="12" t="n"/>
      <c r="I96">
        <f>IF($W96="","",INDEX('Per Line'!$M$2:$M$501,$W96))</f>
        <v/>
      </c>
      <c r="J96" s="7">
        <f>IF($W96="","",I96*T96/100)</f>
        <v/>
      </c>
      <c r="K96" s="11">
        <f>IF($W96="","",INDEX('Per Line'!$O$2:$O$501,$W96))</f>
        <v/>
      </c>
      <c r="L96">
        <f>IF($W96="","",Settings!$C$7)</f>
        <v/>
      </c>
      <c r="M96" s="7">
        <f>IF($W96="","",SUMIFS('Per Line'!$Y$2:$Y$501,'Per Line'!$C$2:$C$501,$B96,'Per Line'!$AD$2:$AD$501,0))</f>
        <v/>
      </c>
      <c r="N96" s="7">
        <f>IF($W96="","",M96*L96)</f>
        <v/>
      </c>
      <c r="O96">
        <f>IF($W96="","",Settings!$C$6)</f>
        <v/>
      </c>
      <c r="P96" s="7">
        <f>IF($W96="","",SUMIFS('Per Line'!$Y$2:$Y$501,'Per Line'!$C$2:$C$501,$B96,'Per Line'!$AD$2:$AD$501,1))</f>
        <v/>
      </c>
      <c r="Q96" s="7">
        <f>IF($W96="","",P96*O96)</f>
        <v/>
      </c>
      <c r="R96" s="7">
        <f>IF($W96="","",Q96+N96)</f>
        <v/>
      </c>
      <c r="S96" s="7">
        <f>IF($W96="","",T96-R96)</f>
        <v/>
      </c>
      <c r="T96" s="7">
        <f>IF($W96="","",M96+P96)</f>
        <v/>
      </c>
      <c r="U96" s="7">
        <f>IF($W96="","",T96-R96-J96)</f>
        <v/>
      </c>
      <c r="V96" s="12" t="n"/>
      <c r="W96" s="13">
        <f>IF(ROWS($W$2:$W96)&lt;=MAX('Per Line'!$AC$2:$AC$501),MATCH(ROWS($W$2:$W96),'Per Line'!$AC$2:$AC$501,0),"")</f>
        <v/>
      </c>
    </row>
    <row r="97">
      <c r="A97" s="12" t="n"/>
      <c r="B97">
        <f>IF($W97="","",INDEX('Per Line'!$C$2:$C$501,$W97)&amp;"")</f>
        <v/>
      </c>
      <c r="C97">
        <f>IF($W97="","",INDEX('Per Line'!$A$2:$A$501,$W97)&amp;"")</f>
        <v/>
      </c>
      <c r="D97">
        <f>IF($W97="","",INDEX('Per Line'!$E$2:$E$501,$W97)&amp;"")</f>
        <v/>
      </c>
      <c r="E97">
        <f>IF($W97="","",INDEX('Per Line'!$H$2:$H$501,$W97)&amp;"")</f>
        <v/>
      </c>
      <c r="F97">
        <f>IF($W97="","",INDEX('Per Line'!$K$2:$K$501,$W97)&amp;"")</f>
        <v/>
      </c>
      <c r="G97">
        <f>IF($W97="","",INDEX('Per Line'!$L$2:$L$501,$W97)&amp;"")</f>
        <v/>
      </c>
      <c r="H97" s="12" t="n"/>
      <c r="I97">
        <f>IF($W97="","",INDEX('Per Line'!$M$2:$M$501,$W97))</f>
        <v/>
      </c>
      <c r="J97" s="7">
        <f>IF($W97="","",I97*T97/100)</f>
        <v/>
      </c>
      <c r="K97" s="11">
        <f>IF($W97="","",INDEX('Per Line'!$O$2:$O$501,$W97))</f>
        <v/>
      </c>
      <c r="L97">
        <f>IF($W97="","",Settings!$C$7)</f>
        <v/>
      </c>
      <c r="M97" s="7">
        <f>IF($W97="","",SUMIFS('Per Line'!$Y$2:$Y$501,'Per Line'!$C$2:$C$501,$B97,'Per Line'!$AD$2:$AD$501,0))</f>
        <v/>
      </c>
      <c r="N97" s="7">
        <f>IF($W97="","",M97*L97)</f>
        <v/>
      </c>
      <c r="O97">
        <f>IF($W97="","",Settings!$C$6)</f>
        <v/>
      </c>
      <c r="P97" s="7">
        <f>IF($W97="","",SUMIFS('Per Line'!$Y$2:$Y$501,'Per Line'!$C$2:$C$501,$B97,'Per Line'!$AD$2:$AD$501,1))</f>
        <v/>
      </c>
      <c r="Q97" s="7">
        <f>IF($W97="","",P97*O97)</f>
        <v/>
      </c>
      <c r="R97" s="7">
        <f>IF($W97="","",Q97+N97)</f>
        <v/>
      </c>
      <c r="S97" s="7">
        <f>IF($W97="","",T97-R97)</f>
        <v/>
      </c>
      <c r="T97" s="7">
        <f>IF($W97="","",M97+P97)</f>
        <v/>
      </c>
      <c r="U97" s="7">
        <f>IF($W97="","",T97-R97-J97)</f>
        <v/>
      </c>
      <c r="V97" s="12" t="n"/>
      <c r="W97" s="13">
        <f>IF(ROWS($W$2:$W97)&lt;=MAX('Per Line'!$AC$2:$AC$501),MATCH(ROWS($W$2:$W97),'Per Line'!$AC$2:$AC$501,0),"")</f>
        <v/>
      </c>
    </row>
    <row r="98">
      <c r="A98" s="12" t="n"/>
      <c r="B98">
        <f>IF($W98="","",INDEX('Per Line'!$C$2:$C$501,$W98)&amp;"")</f>
        <v/>
      </c>
      <c r="C98">
        <f>IF($W98="","",INDEX('Per Line'!$A$2:$A$501,$W98)&amp;"")</f>
        <v/>
      </c>
      <c r="D98">
        <f>IF($W98="","",INDEX('Per Line'!$E$2:$E$501,$W98)&amp;"")</f>
        <v/>
      </c>
      <c r="E98">
        <f>IF($W98="","",INDEX('Per Line'!$H$2:$H$501,$W98)&amp;"")</f>
        <v/>
      </c>
      <c r="F98">
        <f>IF($W98="","",INDEX('Per Line'!$K$2:$K$501,$W98)&amp;"")</f>
        <v/>
      </c>
      <c r="G98">
        <f>IF($W98="","",INDEX('Per Line'!$L$2:$L$501,$W98)&amp;"")</f>
        <v/>
      </c>
      <c r="H98" s="12" t="n"/>
      <c r="I98">
        <f>IF($W98="","",INDEX('Per Line'!$M$2:$M$501,$W98))</f>
        <v/>
      </c>
      <c r="J98" s="7">
        <f>IF($W98="","",I98*T98/100)</f>
        <v/>
      </c>
      <c r="K98" s="11">
        <f>IF($W98="","",INDEX('Per Line'!$O$2:$O$501,$W98))</f>
        <v/>
      </c>
      <c r="L98">
        <f>IF($W98="","",Settings!$C$7)</f>
        <v/>
      </c>
      <c r="M98" s="7">
        <f>IF($W98="","",SUMIFS('Per Line'!$Y$2:$Y$501,'Per Line'!$C$2:$C$501,$B98,'Per Line'!$AD$2:$AD$501,0))</f>
        <v/>
      </c>
      <c r="N98" s="7">
        <f>IF($W98="","",M98*L98)</f>
        <v/>
      </c>
      <c r="O98">
        <f>IF($W98="","",Settings!$C$6)</f>
        <v/>
      </c>
      <c r="P98" s="7">
        <f>IF($W98="","",SUMIFS('Per Line'!$Y$2:$Y$501,'Per Line'!$C$2:$C$501,$B98,'Per Line'!$AD$2:$AD$501,1))</f>
        <v/>
      </c>
      <c r="Q98" s="7">
        <f>IF($W98="","",P98*O98)</f>
        <v/>
      </c>
      <c r="R98" s="7">
        <f>IF($W98="","",Q98+N98)</f>
        <v/>
      </c>
      <c r="S98" s="7">
        <f>IF($W98="","",T98-R98)</f>
        <v/>
      </c>
      <c r="T98" s="7">
        <f>IF($W98="","",M98+P98)</f>
        <v/>
      </c>
      <c r="U98" s="7">
        <f>IF($W98="","",T98-R98-J98)</f>
        <v/>
      </c>
      <c r="V98" s="12" t="n"/>
      <c r="W98" s="13">
        <f>IF(ROWS($W$2:$W98)&lt;=MAX('Per Line'!$AC$2:$AC$501),MATCH(ROWS($W$2:$W98),'Per Line'!$AC$2:$AC$501,0),"")</f>
        <v/>
      </c>
    </row>
    <row r="99">
      <c r="A99" s="12" t="n"/>
      <c r="B99">
        <f>IF($W99="","",INDEX('Per Line'!$C$2:$C$501,$W99)&amp;"")</f>
        <v/>
      </c>
      <c r="C99">
        <f>IF($W99="","",INDEX('Per Line'!$A$2:$A$501,$W99)&amp;"")</f>
        <v/>
      </c>
      <c r="D99">
        <f>IF($W99="","",INDEX('Per Line'!$E$2:$E$501,$W99)&amp;"")</f>
        <v/>
      </c>
      <c r="E99">
        <f>IF($W99="","",INDEX('Per Line'!$H$2:$H$501,$W99)&amp;"")</f>
        <v/>
      </c>
      <c r="F99">
        <f>IF($W99="","",INDEX('Per Line'!$K$2:$K$501,$W99)&amp;"")</f>
        <v/>
      </c>
      <c r="G99">
        <f>IF($W99="","",INDEX('Per Line'!$L$2:$L$501,$W99)&amp;"")</f>
        <v/>
      </c>
      <c r="H99" s="12" t="n"/>
      <c r="I99">
        <f>IF($W99="","",INDEX('Per Line'!$M$2:$M$501,$W99))</f>
        <v/>
      </c>
      <c r="J99" s="7">
        <f>IF($W99="","",I99*T99/100)</f>
        <v/>
      </c>
      <c r="K99" s="11">
        <f>IF($W99="","",INDEX('Per Line'!$O$2:$O$501,$W99))</f>
        <v/>
      </c>
      <c r="L99">
        <f>IF($W99="","",Settings!$C$7)</f>
        <v/>
      </c>
      <c r="M99" s="7">
        <f>IF($W99="","",SUMIFS('Per Line'!$Y$2:$Y$501,'Per Line'!$C$2:$C$501,$B99,'Per Line'!$AD$2:$AD$501,0))</f>
        <v/>
      </c>
      <c r="N99" s="7">
        <f>IF($W99="","",M99*L99)</f>
        <v/>
      </c>
      <c r="O99">
        <f>IF($W99="","",Settings!$C$6)</f>
        <v/>
      </c>
      <c r="P99" s="7">
        <f>IF($W99="","",SUMIFS('Per Line'!$Y$2:$Y$501,'Per Line'!$C$2:$C$501,$B99,'Per Line'!$AD$2:$AD$501,1))</f>
        <v/>
      </c>
      <c r="Q99" s="7">
        <f>IF($W99="","",P99*O99)</f>
        <v/>
      </c>
      <c r="R99" s="7">
        <f>IF($W99="","",Q99+N99)</f>
        <v/>
      </c>
      <c r="S99" s="7">
        <f>IF($W99="","",T99-R99)</f>
        <v/>
      </c>
      <c r="T99" s="7">
        <f>IF($W99="","",M99+P99)</f>
        <v/>
      </c>
      <c r="U99" s="7">
        <f>IF($W99="","",T99-R99-J99)</f>
        <v/>
      </c>
      <c r="V99" s="12" t="n"/>
      <c r="W99" s="13">
        <f>IF(ROWS($W$2:$W99)&lt;=MAX('Per Line'!$AC$2:$AC$501),MATCH(ROWS($W$2:$W99),'Per Line'!$AC$2:$AC$501,0),"")</f>
        <v/>
      </c>
    </row>
    <row r="100">
      <c r="A100" s="12" t="n"/>
      <c r="B100">
        <f>IF($W100="","",INDEX('Per Line'!$C$2:$C$501,$W100)&amp;"")</f>
        <v/>
      </c>
      <c r="C100">
        <f>IF($W100="","",INDEX('Per Line'!$A$2:$A$501,$W100)&amp;"")</f>
        <v/>
      </c>
      <c r="D100">
        <f>IF($W100="","",INDEX('Per Line'!$E$2:$E$501,$W100)&amp;"")</f>
        <v/>
      </c>
      <c r="E100">
        <f>IF($W100="","",INDEX('Per Line'!$H$2:$H$501,$W100)&amp;"")</f>
        <v/>
      </c>
      <c r="F100">
        <f>IF($W100="","",INDEX('Per Line'!$K$2:$K$501,$W100)&amp;"")</f>
        <v/>
      </c>
      <c r="G100">
        <f>IF($W100="","",INDEX('Per Line'!$L$2:$L$501,$W100)&amp;"")</f>
        <v/>
      </c>
      <c r="H100" s="12" t="n"/>
      <c r="I100">
        <f>IF($W100="","",INDEX('Per Line'!$M$2:$M$501,$W100))</f>
        <v/>
      </c>
      <c r="J100" s="7">
        <f>IF($W100="","",I100*T100/100)</f>
        <v/>
      </c>
      <c r="K100" s="11">
        <f>IF($W100="","",INDEX('Per Line'!$O$2:$O$501,$W100))</f>
        <v/>
      </c>
      <c r="L100">
        <f>IF($W100="","",Settings!$C$7)</f>
        <v/>
      </c>
      <c r="M100" s="7">
        <f>IF($W100="","",SUMIFS('Per Line'!$Y$2:$Y$501,'Per Line'!$C$2:$C$501,$B100,'Per Line'!$AD$2:$AD$501,0))</f>
        <v/>
      </c>
      <c r="N100" s="7">
        <f>IF($W100="","",M100*L100)</f>
        <v/>
      </c>
      <c r="O100">
        <f>IF($W100="","",Settings!$C$6)</f>
        <v/>
      </c>
      <c r="P100" s="7">
        <f>IF($W100="","",SUMIFS('Per Line'!$Y$2:$Y$501,'Per Line'!$C$2:$C$501,$B100,'Per Line'!$AD$2:$AD$501,1))</f>
        <v/>
      </c>
      <c r="Q100" s="7">
        <f>IF($W100="","",P100*O100)</f>
        <v/>
      </c>
      <c r="R100" s="7">
        <f>IF($W100="","",Q100+N100)</f>
        <v/>
      </c>
      <c r="S100" s="7">
        <f>IF($W100="","",T100-R100)</f>
        <v/>
      </c>
      <c r="T100" s="7">
        <f>IF($W100="","",M100+P100)</f>
        <v/>
      </c>
      <c r="U100" s="7">
        <f>IF($W100="","",T100-R100-J100)</f>
        <v/>
      </c>
      <c r="V100" s="12" t="n"/>
      <c r="W100" s="13">
        <f>IF(ROWS($W$2:$W100)&lt;=MAX('Per Line'!$AC$2:$AC$501),MATCH(ROWS($W$2:$W100),'Per Line'!$AC$2:$AC$501,0),"")</f>
        <v/>
      </c>
    </row>
    <row r="101">
      <c r="A101" s="12" t="n"/>
      <c r="B101">
        <f>IF($W101="","",INDEX('Per Line'!$C$2:$C$501,$W101)&amp;"")</f>
        <v/>
      </c>
      <c r="C101">
        <f>IF($W101="","",INDEX('Per Line'!$A$2:$A$501,$W101)&amp;"")</f>
        <v/>
      </c>
      <c r="D101">
        <f>IF($W101="","",INDEX('Per Line'!$E$2:$E$501,$W101)&amp;"")</f>
        <v/>
      </c>
      <c r="E101">
        <f>IF($W101="","",INDEX('Per Line'!$H$2:$H$501,$W101)&amp;"")</f>
        <v/>
      </c>
      <c r="F101">
        <f>IF($W101="","",INDEX('Per Line'!$K$2:$K$501,$W101)&amp;"")</f>
        <v/>
      </c>
      <c r="G101">
        <f>IF($W101="","",INDEX('Per Line'!$L$2:$L$501,$W101)&amp;"")</f>
        <v/>
      </c>
      <c r="H101" s="12" t="n"/>
      <c r="I101">
        <f>IF($W101="","",INDEX('Per Line'!$M$2:$M$501,$W101))</f>
        <v/>
      </c>
      <c r="J101" s="7">
        <f>IF($W101="","",I101*T101/100)</f>
        <v/>
      </c>
      <c r="K101" s="11">
        <f>IF($W101="","",INDEX('Per Line'!$O$2:$O$501,$W101))</f>
        <v/>
      </c>
      <c r="L101">
        <f>IF($W101="","",Settings!$C$7)</f>
        <v/>
      </c>
      <c r="M101" s="7">
        <f>IF($W101="","",SUMIFS('Per Line'!$Y$2:$Y$501,'Per Line'!$C$2:$C$501,$B101,'Per Line'!$AD$2:$AD$501,0))</f>
        <v/>
      </c>
      <c r="N101" s="7">
        <f>IF($W101="","",M101*L101)</f>
        <v/>
      </c>
      <c r="O101">
        <f>IF($W101="","",Settings!$C$6)</f>
        <v/>
      </c>
      <c r="P101" s="7">
        <f>IF($W101="","",SUMIFS('Per Line'!$Y$2:$Y$501,'Per Line'!$C$2:$C$501,$B101,'Per Line'!$AD$2:$AD$501,1))</f>
        <v/>
      </c>
      <c r="Q101" s="7">
        <f>IF($W101="","",P101*O101)</f>
        <v/>
      </c>
      <c r="R101" s="7">
        <f>IF($W101="","",Q101+N101)</f>
        <v/>
      </c>
      <c r="S101" s="7">
        <f>IF($W101="","",T101-R101)</f>
        <v/>
      </c>
      <c r="T101" s="7">
        <f>IF($W101="","",M101+P101)</f>
        <v/>
      </c>
      <c r="U101" s="7">
        <f>IF($W101="","",T101-R101-J101)</f>
        <v/>
      </c>
      <c r="V101" s="12" t="n"/>
      <c r="W101" s="13">
        <f>IF(ROWS($W$2:$W101)&lt;=MAX('Per Line'!$AC$2:$AC$501),MATCH(ROWS($W$2:$W101),'Per Line'!$AC$2:$AC$501,0),"")</f>
        <v/>
      </c>
    </row>
    <row r="102">
      <c r="A102" s="12" t="n"/>
      <c r="B102">
        <f>IF($W102="","",INDEX('Per Line'!$C$2:$C$501,$W102)&amp;"")</f>
        <v/>
      </c>
      <c r="C102">
        <f>IF($W102="","",INDEX('Per Line'!$A$2:$A$501,$W102)&amp;"")</f>
        <v/>
      </c>
      <c r="D102">
        <f>IF($W102="","",INDEX('Per Line'!$E$2:$E$501,$W102)&amp;"")</f>
        <v/>
      </c>
      <c r="E102">
        <f>IF($W102="","",INDEX('Per Line'!$H$2:$H$501,$W102)&amp;"")</f>
        <v/>
      </c>
      <c r="F102">
        <f>IF($W102="","",INDEX('Per Line'!$K$2:$K$501,$W102)&amp;"")</f>
        <v/>
      </c>
      <c r="G102">
        <f>IF($W102="","",INDEX('Per Line'!$L$2:$L$501,$W102)&amp;"")</f>
        <v/>
      </c>
      <c r="H102" s="12" t="n"/>
      <c r="I102">
        <f>IF($W102="","",INDEX('Per Line'!$M$2:$M$501,$W102))</f>
        <v/>
      </c>
      <c r="J102" s="7">
        <f>IF($W102="","",I102*T102/100)</f>
        <v/>
      </c>
      <c r="K102" s="11">
        <f>IF($W102="","",INDEX('Per Line'!$O$2:$O$501,$W102))</f>
        <v/>
      </c>
      <c r="L102">
        <f>IF($W102="","",Settings!$C$7)</f>
        <v/>
      </c>
      <c r="M102" s="7">
        <f>IF($W102="","",SUMIFS('Per Line'!$Y$2:$Y$501,'Per Line'!$C$2:$C$501,$B102,'Per Line'!$AD$2:$AD$501,0))</f>
        <v/>
      </c>
      <c r="N102" s="7">
        <f>IF($W102="","",M102*L102)</f>
        <v/>
      </c>
      <c r="O102">
        <f>IF($W102="","",Settings!$C$6)</f>
        <v/>
      </c>
      <c r="P102" s="7">
        <f>IF($W102="","",SUMIFS('Per Line'!$Y$2:$Y$501,'Per Line'!$C$2:$C$501,$B102,'Per Line'!$AD$2:$AD$501,1))</f>
        <v/>
      </c>
      <c r="Q102" s="7">
        <f>IF($W102="","",P102*O102)</f>
        <v/>
      </c>
      <c r="R102" s="7">
        <f>IF($W102="","",Q102+N102)</f>
        <v/>
      </c>
      <c r="S102" s="7">
        <f>IF($W102="","",T102-R102)</f>
        <v/>
      </c>
      <c r="T102" s="7">
        <f>IF($W102="","",M102+P102)</f>
        <v/>
      </c>
      <c r="U102" s="7">
        <f>IF($W102="","",T102-R102-J102)</f>
        <v/>
      </c>
      <c r="V102" s="12" t="n"/>
      <c r="W102" s="13">
        <f>IF(ROWS($W$2:$W102)&lt;=MAX('Per Line'!$AC$2:$AC$501),MATCH(ROWS($W$2:$W102),'Per Line'!$AC$2:$AC$501,0),"")</f>
        <v/>
      </c>
    </row>
    <row r="103">
      <c r="A103" s="12" t="n"/>
      <c r="B103">
        <f>IF($W103="","",INDEX('Per Line'!$C$2:$C$501,$W103)&amp;"")</f>
        <v/>
      </c>
      <c r="C103">
        <f>IF($W103="","",INDEX('Per Line'!$A$2:$A$501,$W103)&amp;"")</f>
        <v/>
      </c>
      <c r="D103">
        <f>IF($W103="","",INDEX('Per Line'!$E$2:$E$501,$W103)&amp;"")</f>
        <v/>
      </c>
      <c r="E103">
        <f>IF($W103="","",INDEX('Per Line'!$H$2:$H$501,$W103)&amp;"")</f>
        <v/>
      </c>
      <c r="F103">
        <f>IF($W103="","",INDEX('Per Line'!$K$2:$K$501,$W103)&amp;"")</f>
        <v/>
      </c>
      <c r="G103">
        <f>IF($W103="","",INDEX('Per Line'!$L$2:$L$501,$W103)&amp;"")</f>
        <v/>
      </c>
      <c r="H103" s="12" t="n"/>
      <c r="I103">
        <f>IF($W103="","",INDEX('Per Line'!$M$2:$M$501,$W103))</f>
        <v/>
      </c>
      <c r="J103" s="7">
        <f>IF($W103="","",I103*T103/100)</f>
        <v/>
      </c>
      <c r="K103" s="11">
        <f>IF($W103="","",INDEX('Per Line'!$O$2:$O$501,$W103))</f>
        <v/>
      </c>
      <c r="L103">
        <f>IF($W103="","",Settings!$C$7)</f>
        <v/>
      </c>
      <c r="M103" s="7">
        <f>IF($W103="","",SUMIFS('Per Line'!$Y$2:$Y$501,'Per Line'!$C$2:$C$501,$B103,'Per Line'!$AD$2:$AD$501,0))</f>
        <v/>
      </c>
      <c r="N103" s="7">
        <f>IF($W103="","",M103*L103)</f>
        <v/>
      </c>
      <c r="O103">
        <f>IF($W103="","",Settings!$C$6)</f>
        <v/>
      </c>
      <c r="P103" s="7">
        <f>IF($W103="","",SUMIFS('Per Line'!$Y$2:$Y$501,'Per Line'!$C$2:$C$501,$B103,'Per Line'!$AD$2:$AD$501,1))</f>
        <v/>
      </c>
      <c r="Q103" s="7">
        <f>IF($W103="","",P103*O103)</f>
        <v/>
      </c>
      <c r="R103" s="7">
        <f>IF($W103="","",Q103+N103)</f>
        <v/>
      </c>
      <c r="S103" s="7">
        <f>IF($W103="","",T103-R103)</f>
        <v/>
      </c>
      <c r="T103" s="7">
        <f>IF($W103="","",M103+P103)</f>
        <v/>
      </c>
      <c r="U103" s="7">
        <f>IF($W103="","",T103-R103-J103)</f>
        <v/>
      </c>
      <c r="V103" s="12" t="n"/>
      <c r="W103" s="13">
        <f>IF(ROWS($W$2:$W103)&lt;=MAX('Per Line'!$AC$2:$AC$501),MATCH(ROWS($W$2:$W103),'Per Line'!$AC$2:$AC$501,0),"")</f>
        <v/>
      </c>
    </row>
    <row r="104">
      <c r="A104" s="12" t="n"/>
      <c r="B104">
        <f>IF($W104="","",INDEX('Per Line'!$C$2:$C$501,$W104)&amp;"")</f>
        <v/>
      </c>
      <c r="C104">
        <f>IF($W104="","",INDEX('Per Line'!$A$2:$A$501,$W104)&amp;"")</f>
        <v/>
      </c>
      <c r="D104">
        <f>IF($W104="","",INDEX('Per Line'!$E$2:$E$501,$W104)&amp;"")</f>
        <v/>
      </c>
      <c r="E104">
        <f>IF($W104="","",INDEX('Per Line'!$H$2:$H$501,$W104)&amp;"")</f>
        <v/>
      </c>
      <c r="F104">
        <f>IF($W104="","",INDEX('Per Line'!$K$2:$K$501,$W104)&amp;"")</f>
        <v/>
      </c>
      <c r="G104">
        <f>IF($W104="","",INDEX('Per Line'!$L$2:$L$501,$W104)&amp;"")</f>
        <v/>
      </c>
      <c r="H104" s="12" t="n"/>
      <c r="I104">
        <f>IF($W104="","",INDEX('Per Line'!$M$2:$M$501,$W104))</f>
        <v/>
      </c>
      <c r="J104" s="7">
        <f>IF($W104="","",I104*T104/100)</f>
        <v/>
      </c>
      <c r="K104" s="11">
        <f>IF($W104="","",INDEX('Per Line'!$O$2:$O$501,$W104))</f>
        <v/>
      </c>
      <c r="L104">
        <f>IF($W104="","",Settings!$C$7)</f>
        <v/>
      </c>
      <c r="M104" s="7">
        <f>IF($W104="","",SUMIFS('Per Line'!$Y$2:$Y$501,'Per Line'!$C$2:$C$501,$B104,'Per Line'!$AD$2:$AD$501,0))</f>
        <v/>
      </c>
      <c r="N104" s="7">
        <f>IF($W104="","",M104*L104)</f>
        <v/>
      </c>
      <c r="O104">
        <f>IF($W104="","",Settings!$C$6)</f>
        <v/>
      </c>
      <c r="P104" s="7">
        <f>IF($W104="","",SUMIFS('Per Line'!$Y$2:$Y$501,'Per Line'!$C$2:$C$501,$B104,'Per Line'!$AD$2:$AD$501,1))</f>
        <v/>
      </c>
      <c r="Q104" s="7">
        <f>IF($W104="","",P104*O104)</f>
        <v/>
      </c>
      <c r="R104" s="7">
        <f>IF($W104="","",Q104+N104)</f>
        <v/>
      </c>
      <c r="S104" s="7">
        <f>IF($W104="","",T104-R104)</f>
        <v/>
      </c>
      <c r="T104" s="7">
        <f>IF($W104="","",M104+P104)</f>
        <v/>
      </c>
      <c r="U104" s="7">
        <f>IF($W104="","",T104-R104-J104)</f>
        <v/>
      </c>
      <c r="V104" s="12" t="n"/>
      <c r="W104" s="13">
        <f>IF(ROWS($W$2:$W104)&lt;=MAX('Per Line'!$AC$2:$AC$501),MATCH(ROWS($W$2:$W104),'Per Line'!$AC$2:$AC$501,0),"")</f>
        <v/>
      </c>
    </row>
    <row r="105">
      <c r="A105" s="12" t="n"/>
      <c r="B105">
        <f>IF($W105="","",INDEX('Per Line'!$C$2:$C$501,$W105)&amp;"")</f>
        <v/>
      </c>
      <c r="C105">
        <f>IF($W105="","",INDEX('Per Line'!$A$2:$A$501,$W105)&amp;"")</f>
        <v/>
      </c>
      <c r="D105">
        <f>IF($W105="","",INDEX('Per Line'!$E$2:$E$501,$W105)&amp;"")</f>
        <v/>
      </c>
      <c r="E105">
        <f>IF($W105="","",INDEX('Per Line'!$H$2:$H$501,$W105)&amp;"")</f>
        <v/>
      </c>
      <c r="F105">
        <f>IF($W105="","",INDEX('Per Line'!$K$2:$K$501,$W105)&amp;"")</f>
        <v/>
      </c>
      <c r="G105">
        <f>IF($W105="","",INDEX('Per Line'!$L$2:$L$501,$W105)&amp;"")</f>
        <v/>
      </c>
      <c r="H105" s="12" t="n"/>
      <c r="I105">
        <f>IF($W105="","",INDEX('Per Line'!$M$2:$M$501,$W105))</f>
        <v/>
      </c>
      <c r="J105" s="7">
        <f>IF($W105="","",I105*T105/100)</f>
        <v/>
      </c>
      <c r="K105" s="11">
        <f>IF($W105="","",INDEX('Per Line'!$O$2:$O$501,$W105))</f>
        <v/>
      </c>
      <c r="L105">
        <f>IF($W105="","",Settings!$C$7)</f>
        <v/>
      </c>
      <c r="M105" s="7">
        <f>IF($W105="","",SUMIFS('Per Line'!$Y$2:$Y$501,'Per Line'!$C$2:$C$501,$B105,'Per Line'!$AD$2:$AD$501,0))</f>
        <v/>
      </c>
      <c r="N105" s="7">
        <f>IF($W105="","",M105*L105)</f>
        <v/>
      </c>
      <c r="O105">
        <f>IF($W105="","",Settings!$C$6)</f>
        <v/>
      </c>
      <c r="P105" s="7">
        <f>IF($W105="","",SUMIFS('Per Line'!$Y$2:$Y$501,'Per Line'!$C$2:$C$501,$B105,'Per Line'!$AD$2:$AD$501,1))</f>
        <v/>
      </c>
      <c r="Q105" s="7">
        <f>IF($W105="","",P105*O105)</f>
        <v/>
      </c>
      <c r="R105" s="7">
        <f>IF($W105="","",Q105+N105)</f>
        <v/>
      </c>
      <c r="S105" s="7">
        <f>IF($W105="","",T105-R105)</f>
        <v/>
      </c>
      <c r="T105" s="7">
        <f>IF($W105="","",M105+P105)</f>
        <v/>
      </c>
      <c r="U105" s="7">
        <f>IF($W105="","",T105-R105-J105)</f>
        <v/>
      </c>
      <c r="V105" s="12" t="n"/>
      <c r="W105" s="13">
        <f>IF(ROWS($W$2:$W105)&lt;=MAX('Per Line'!$AC$2:$AC$501),MATCH(ROWS($W$2:$W105),'Per Line'!$AC$2:$AC$501,0),"")</f>
        <v/>
      </c>
    </row>
    <row r="106">
      <c r="A106" s="12" t="n"/>
      <c r="B106">
        <f>IF($W106="","",INDEX('Per Line'!$C$2:$C$501,$W106)&amp;"")</f>
        <v/>
      </c>
      <c r="C106">
        <f>IF($W106="","",INDEX('Per Line'!$A$2:$A$501,$W106)&amp;"")</f>
        <v/>
      </c>
      <c r="D106">
        <f>IF($W106="","",INDEX('Per Line'!$E$2:$E$501,$W106)&amp;"")</f>
        <v/>
      </c>
      <c r="E106">
        <f>IF($W106="","",INDEX('Per Line'!$H$2:$H$501,$W106)&amp;"")</f>
        <v/>
      </c>
      <c r="F106">
        <f>IF($W106="","",INDEX('Per Line'!$K$2:$K$501,$W106)&amp;"")</f>
        <v/>
      </c>
      <c r="G106">
        <f>IF($W106="","",INDEX('Per Line'!$L$2:$L$501,$W106)&amp;"")</f>
        <v/>
      </c>
      <c r="H106" s="12" t="n"/>
      <c r="I106">
        <f>IF($W106="","",INDEX('Per Line'!$M$2:$M$501,$W106))</f>
        <v/>
      </c>
      <c r="J106" s="7">
        <f>IF($W106="","",I106*T106/100)</f>
        <v/>
      </c>
      <c r="K106" s="11">
        <f>IF($W106="","",INDEX('Per Line'!$O$2:$O$501,$W106))</f>
        <v/>
      </c>
      <c r="L106">
        <f>IF($W106="","",Settings!$C$7)</f>
        <v/>
      </c>
      <c r="M106" s="7">
        <f>IF($W106="","",SUMIFS('Per Line'!$Y$2:$Y$501,'Per Line'!$C$2:$C$501,$B106,'Per Line'!$AD$2:$AD$501,0))</f>
        <v/>
      </c>
      <c r="N106" s="7">
        <f>IF($W106="","",M106*L106)</f>
        <v/>
      </c>
      <c r="O106">
        <f>IF($W106="","",Settings!$C$6)</f>
        <v/>
      </c>
      <c r="P106" s="7">
        <f>IF($W106="","",SUMIFS('Per Line'!$Y$2:$Y$501,'Per Line'!$C$2:$C$501,$B106,'Per Line'!$AD$2:$AD$501,1))</f>
        <v/>
      </c>
      <c r="Q106" s="7">
        <f>IF($W106="","",P106*O106)</f>
        <v/>
      </c>
      <c r="R106" s="7">
        <f>IF($W106="","",Q106+N106)</f>
        <v/>
      </c>
      <c r="S106" s="7">
        <f>IF($W106="","",T106-R106)</f>
        <v/>
      </c>
      <c r="T106" s="7">
        <f>IF($W106="","",M106+P106)</f>
        <v/>
      </c>
      <c r="U106" s="7">
        <f>IF($W106="","",T106-R106-J106)</f>
        <v/>
      </c>
      <c r="V106" s="12" t="n"/>
      <c r="W106" s="13">
        <f>IF(ROWS($W$2:$W106)&lt;=MAX('Per Line'!$AC$2:$AC$501),MATCH(ROWS($W$2:$W106),'Per Line'!$AC$2:$AC$501,0),"")</f>
        <v/>
      </c>
    </row>
    <row r="107">
      <c r="A107" s="12" t="n"/>
      <c r="B107">
        <f>IF($W107="","",INDEX('Per Line'!$C$2:$C$501,$W107)&amp;"")</f>
        <v/>
      </c>
      <c r="C107">
        <f>IF($W107="","",INDEX('Per Line'!$A$2:$A$501,$W107)&amp;"")</f>
        <v/>
      </c>
      <c r="D107">
        <f>IF($W107="","",INDEX('Per Line'!$E$2:$E$501,$W107)&amp;"")</f>
        <v/>
      </c>
      <c r="E107">
        <f>IF($W107="","",INDEX('Per Line'!$H$2:$H$501,$W107)&amp;"")</f>
        <v/>
      </c>
      <c r="F107">
        <f>IF($W107="","",INDEX('Per Line'!$K$2:$K$501,$W107)&amp;"")</f>
        <v/>
      </c>
      <c r="G107">
        <f>IF($W107="","",INDEX('Per Line'!$L$2:$L$501,$W107)&amp;"")</f>
        <v/>
      </c>
      <c r="H107" s="12" t="n"/>
      <c r="I107">
        <f>IF($W107="","",INDEX('Per Line'!$M$2:$M$501,$W107))</f>
        <v/>
      </c>
      <c r="J107" s="7">
        <f>IF($W107="","",I107*T107/100)</f>
        <v/>
      </c>
      <c r="K107" s="11">
        <f>IF($W107="","",INDEX('Per Line'!$O$2:$O$501,$W107))</f>
        <v/>
      </c>
      <c r="L107">
        <f>IF($W107="","",Settings!$C$7)</f>
        <v/>
      </c>
      <c r="M107" s="7">
        <f>IF($W107="","",SUMIFS('Per Line'!$Y$2:$Y$501,'Per Line'!$C$2:$C$501,$B107,'Per Line'!$AD$2:$AD$501,0))</f>
        <v/>
      </c>
      <c r="N107" s="7">
        <f>IF($W107="","",M107*L107)</f>
        <v/>
      </c>
      <c r="O107">
        <f>IF($W107="","",Settings!$C$6)</f>
        <v/>
      </c>
      <c r="P107" s="7">
        <f>IF($W107="","",SUMIFS('Per Line'!$Y$2:$Y$501,'Per Line'!$C$2:$C$501,$B107,'Per Line'!$AD$2:$AD$501,1))</f>
        <v/>
      </c>
      <c r="Q107" s="7">
        <f>IF($W107="","",P107*O107)</f>
        <v/>
      </c>
      <c r="R107" s="7">
        <f>IF($W107="","",Q107+N107)</f>
        <v/>
      </c>
      <c r="S107" s="7">
        <f>IF($W107="","",T107-R107)</f>
        <v/>
      </c>
      <c r="T107" s="7">
        <f>IF($W107="","",M107+P107)</f>
        <v/>
      </c>
      <c r="U107" s="7">
        <f>IF($W107="","",T107-R107-J107)</f>
        <v/>
      </c>
      <c r="V107" s="12" t="n"/>
      <c r="W107" s="13">
        <f>IF(ROWS($W$2:$W107)&lt;=MAX('Per Line'!$AC$2:$AC$501),MATCH(ROWS($W$2:$W107),'Per Line'!$AC$2:$AC$501,0),"")</f>
        <v/>
      </c>
    </row>
    <row r="108">
      <c r="A108" s="12" t="n"/>
      <c r="B108">
        <f>IF($W108="","",INDEX('Per Line'!$C$2:$C$501,$W108)&amp;"")</f>
        <v/>
      </c>
      <c r="C108">
        <f>IF($W108="","",INDEX('Per Line'!$A$2:$A$501,$W108)&amp;"")</f>
        <v/>
      </c>
      <c r="D108">
        <f>IF($W108="","",INDEX('Per Line'!$E$2:$E$501,$W108)&amp;"")</f>
        <v/>
      </c>
      <c r="E108">
        <f>IF($W108="","",INDEX('Per Line'!$H$2:$H$501,$W108)&amp;"")</f>
        <v/>
      </c>
      <c r="F108">
        <f>IF($W108="","",INDEX('Per Line'!$K$2:$K$501,$W108)&amp;"")</f>
        <v/>
      </c>
      <c r="G108">
        <f>IF($W108="","",INDEX('Per Line'!$L$2:$L$501,$W108)&amp;"")</f>
        <v/>
      </c>
      <c r="H108" s="12" t="n"/>
      <c r="I108">
        <f>IF($W108="","",INDEX('Per Line'!$M$2:$M$501,$W108))</f>
        <v/>
      </c>
      <c r="J108" s="7">
        <f>IF($W108="","",I108*T108/100)</f>
        <v/>
      </c>
      <c r="K108" s="11">
        <f>IF($W108="","",INDEX('Per Line'!$O$2:$O$501,$W108))</f>
        <v/>
      </c>
      <c r="L108">
        <f>IF($W108="","",Settings!$C$7)</f>
        <v/>
      </c>
      <c r="M108" s="7">
        <f>IF($W108="","",SUMIFS('Per Line'!$Y$2:$Y$501,'Per Line'!$C$2:$C$501,$B108,'Per Line'!$AD$2:$AD$501,0))</f>
        <v/>
      </c>
      <c r="N108" s="7">
        <f>IF($W108="","",M108*L108)</f>
        <v/>
      </c>
      <c r="O108">
        <f>IF($W108="","",Settings!$C$6)</f>
        <v/>
      </c>
      <c r="P108" s="7">
        <f>IF($W108="","",SUMIFS('Per Line'!$Y$2:$Y$501,'Per Line'!$C$2:$C$501,$B108,'Per Line'!$AD$2:$AD$501,1))</f>
        <v/>
      </c>
      <c r="Q108" s="7">
        <f>IF($W108="","",P108*O108)</f>
        <v/>
      </c>
      <c r="R108" s="7">
        <f>IF($W108="","",Q108+N108)</f>
        <v/>
      </c>
      <c r="S108" s="7">
        <f>IF($W108="","",T108-R108)</f>
        <v/>
      </c>
      <c r="T108" s="7">
        <f>IF($W108="","",M108+P108)</f>
        <v/>
      </c>
      <c r="U108" s="7">
        <f>IF($W108="","",T108-R108-J108)</f>
        <v/>
      </c>
      <c r="V108" s="12" t="n"/>
      <c r="W108" s="13">
        <f>IF(ROWS($W$2:$W108)&lt;=MAX('Per Line'!$AC$2:$AC$501),MATCH(ROWS($W$2:$W108),'Per Line'!$AC$2:$AC$501,0),"")</f>
        <v/>
      </c>
    </row>
    <row r="109">
      <c r="A109" s="12" t="n"/>
      <c r="B109">
        <f>IF($W109="","",INDEX('Per Line'!$C$2:$C$501,$W109)&amp;"")</f>
        <v/>
      </c>
      <c r="C109">
        <f>IF($W109="","",INDEX('Per Line'!$A$2:$A$501,$W109)&amp;"")</f>
        <v/>
      </c>
      <c r="D109">
        <f>IF($W109="","",INDEX('Per Line'!$E$2:$E$501,$W109)&amp;"")</f>
        <v/>
      </c>
      <c r="E109">
        <f>IF($W109="","",INDEX('Per Line'!$H$2:$H$501,$W109)&amp;"")</f>
        <v/>
      </c>
      <c r="F109">
        <f>IF($W109="","",INDEX('Per Line'!$K$2:$K$501,$W109)&amp;"")</f>
        <v/>
      </c>
      <c r="G109">
        <f>IF($W109="","",INDEX('Per Line'!$L$2:$L$501,$W109)&amp;"")</f>
        <v/>
      </c>
      <c r="H109" s="12" t="n"/>
      <c r="I109">
        <f>IF($W109="","",INDEX('Per Line'!$M$2:$M$501,$W109))</f>
        <v/>
      </c>
      <c r="J109" s="7">
        <f>IF($W109="","",I109*T109/100)</f>
        <v/>
      </c>
      <c r="K109" s="11">
        <f>IF($W109="","",INDEX('Per Line'!$O$2:$O$501,$W109))</f>
        <v/>
      </c>
      <c r="L109">
        <f>IF($W109="","",Settings!$C$7)</f>
        <v/>
      </c>
      <c r="M109" s="7">
        <f>IF($W109="","",SUMIFS('Per Line'!$Y$2:$Y$501,'Per Line'!$C$2:$C$501,$B109,'Per Line'!$AD$2:$AD$501,0))</f>
        <v/>
      </c>
      <c r="N109" s="7">
        <f>IF($W109="","",M109*L109)</f>
        <v/>
      </c>
      <c r="O109">
        <f>IF($W109="","",Settings!$C$6)</f>
        <v/>
      </c>
      <c r="P109" s="7">
        <f>IF($W109="","",SUMIFS('Per Line'!$Y$2:$Y$501,'Per Line'!$C$2:$C$501,$B109,'Per Line'!$AD$2:$AD$501,1))</f>
        <v/>
      </c>
      <c r="Q109" s="7">
        <f>IF($W109="","",P109*O109)</f>
        <v/>
      </c>
      <c r="R109" s="7">
        <f>IF($W109="","",Q109+N109)</f>
        <v/>
      </c>
      <c r="S109" s="7">
        <f>IF($W109="","",T109-R109)</f>
        <v/>
      </c>
      <c r="T109" s="7">
        <f>IF($W109="","",M109+P109)</f>
        <v/>
      </c>
      <c r="U109" s="7">
        <f>IF($W109="","",T109-R109-J109)</f>
        <v/>
      </c>
      <c r="V109" s="12" t="n"/>
      <c r="W109" s="13">
        <f>IF(ROWS($W$2:$W109)&lt;=MAX('Per Line'!$AC$2:$AC$501),MATCH(ROWS($W$2:$W109),'Per Line'!$AC$2:$AC$501,0),"")</f>
        <v/>
      </c>
    </row>
    <row r="110">
      <c r="A110" s="12" t="n"/>
      <c r="B110">
        <f>IF($W110="","",INDEX('Per Line'!$C$2:$C$501,$W110)&amp;"")</f>
        <v/>
      </c>
      <c r="C110">
        <f>IF($W110="","",INDEX('Per Line'!$A$2:$A$501,$W110)&amp;"")</f>
        <v/>
      </c>
      <c r="D110">
        <f>IF($W110="","",INDEX('Per Line'!$E$2:$E$501,$W110)&amp;"")</f>
        <v/>
      </c>
      <c r="E110">
        <f>IF($W110="","",INDEX('Per Line'!$H$2:$H$501,$W110)&amp;"")</f>
        <v/>
      </c>
      <c r="F110">
        <f>IF($W110="","",INDEX('Per Line'!$K$2:$K$501,$W110)&amp;"")</f>
        <v/>
      </c>
      <c r="G110">
        <f>IF($W110="","",INDEX('Per Line'!$L$2:$L$501,$W110)&amp;"")</f>
        <v/>
      </c>
      <c r="H110" s="12" t="n"/>
      <c r="I110">
        <f>IF($W110="","",INDEX('Per Line'!$M$2:$M$501,$W110))</f>
        <v/>
      </c>
      <c r="J110" s="7">
        <f>IF($W110="","",I110*T110/100)</f>
        <v/>
      </c>
      <c r="K110" s="11">
        <f>IF($W110="","",INDEX('Per Line'!$O$2:$O$501,$W110))</f>
        <v/>
      </c>
      <c r="L110">
        <f>IF($W110="","",Settings!$C$7)</f>
        <v/>
      </c>
      <c r="M110" s="7">
        <f>IF($W110="","",SUMIFS('Per Line'!$Y$2:$Y$501,'Per Line'!$C$2:$C$501,$B110,'Per Line'!$AD$2:$AD$501,0))</f>
        <v/>
      </c>
      <c r="N110" s="7">
        <f>IF($W110="","",M110*L110)</f>
        <v/>
      </c>
      <c r="O110">
        <f>IF($W110="","",Settings!$C$6)</f>
        <v/>
      </c>
      <c r="P110" s="7">
        <f>IF($W110="","",SUMIFS('Per Line'!$Y$2:$Y$501,'Per Line'!$C$2:$C$501,$B110,'Per Line'!$AD$2:$AD$501,1))</f>
        <v/>
      </c>
      <c r="Q110" s="7">
        <f>IF($W110="","",P110*O110)</f>
        <v/>
      </c>
      <c r="R110" s="7">
        <f>IF($W110="","",Q110+N110)</f>
        <v/>
      </c>
      <c r="S110" s="7">
        <f>IF($W110="","",T110-R110)</f>
        <v/>
      </c>
      <c r="T110" s="7">
        <f>IF($W110="","",M110+P110)</f>
        <v/>
      </c>
      <c r="U110" s="7">
        <f>IF($W110="","",T110-R110-J110)</f>
        <v/>
      </c>
      <c r="V110" s="12" t="n"/>
      <c r="W110" s="13">
        <f>IF(ROWS($W$2:$W110)&lt;=MAX('Per Line'!$AC$2:$AC$501),MATCH(ROWS($W$2:$W110),'Per Line'!$AC$2:$AC$501,0),"")</f>
        <v/>
      </c>
    </row>
    <row r="111">
      <c r="A111" s="12" t="n"/>
      <c r="B111">
        <f>IF($W111="","",INDEX('Per Line'!$C$2:$C$501,$W111)&amp;"")</f>
        <v/>
      </c>
      <c r="C111">
        <f>IF($W111="","",INDEX('Per Line'!$A$2:$A$501,$W111)&amp;"")</f>
        <v/>
      </c>
      <c r="D111">
        <f>IF($W111="","",INDEX('Per Line'!$E$2:$E$501,$W111)&amp;"")</f>
        <v/>
      </c>
      <c r="E111">
        <f>IF($W111="","",INDEX('Per Line'!$H$2:$H$501,$W111)&amp;"")</f>
        <v/>
      </c>
      <c r="F111">
        <f>IF($W111="","",INDEX('Per Line'!$K$2:$K$501,$W111)&amp;"")</f>
        <v/>
      </c>
      <c r="G111">
        <f>IF($W111="","",INDEX('Per Line'!$L$2:$L$501,$W111)&amp;"")</f>
        <v/>
      </c>
      <c r="H111" s="12" t="n"/>
      <c r="I111">
        <f>IF($W111="","",INDEX('Per Line'!$M$2:$M$501,$W111))</f>
        <v/>
      </c>
      <c r="J111" s="7">
        <f>IF($W111="","",I111*T111/100)</f>
        <v/>
      </c>
      <c r="K111" s="11">
        <f>IF($W111="","",INDEX('Per Line'!$O$2:$O$501,$W111))</f>
        <v/>
      </c>
      <c r="L111">
        <f>IF($W111="","",Settings!$C$7)</f>
        <v/>
      </c>
      <c r="M111" s="7">
        <f>IF($W111="","",SUMIFS('Per Line'!$Y$2:$Y$501,'Per Line'!$C$2:$C$501,$B111,'Per Line'!$AD$2:$AD$501,0))</f>
        <v/>
      </c>
      <c r="N111" s="7">
        <f>IF($W111="","",M111*L111)</f>
        <v/>
      </c>
      <c r="O111">
        <f>IF($W111="","",Settings!$C$6)</f>
        <v/>
      </c>
      <c r="P111" s="7">
        <f>IF($W111="","",SUMIFS('Per Line'!$Y$2:$Y$501,'Per Line'!$C$2:$C$501,$B111,'Per Line'!$AD$2:$AD$501,1))</f>
        <v/>
      </c>
      <c r="Q111" s="7">
        <f>IF($W111="","",P111*O111)</f>
        <v/>
      </c>
      <c r="R111" s="7">
        <f>IF($W111="","",Q111+N111)</f>
        <v/>
      </c>
      <c r="S111" s="7">
        <f>IF($W111="","",T111-R111)</f>
        <v/>
      </c>
      <c r="T111" s="7">
        <f>IF($W111="","",M111+P111)</f>
        <v/>
      </c>
      <c r="U111" s="7">
        <f>IF($W111="","",T111-R111-J111)</f>
        <v/>
      </c>
      <c r="V111" s="12" t="n"/>
      <c r="W111" s="13">
        <f>IF(ROWS($W$2:$W111)&lt;=MAX('Per Line'!$AC$2:$AC$501),MATCH(ROWS($W$2:$W111),'Per Line'!$AC$2:$AC$501,0),"")</f>
        <v/>
      </c>
    </row>
    <row r="112">
      <c r="A112" s="12" t="n"/>
      <c r="B112">
        <f>IF($W112="","",INDEX('Per Line'!$C$2:$C$501,$W112)&amp;"")</f>
        <v/>
      </c>
      <c r="C112">
        <f>IF($W112="","",INDEX('Per Line'!$A$2:$A$501,$W112)&amp;"")</f>
        <v/>
      </c>
      <c r="D112">
        <f>IF($W112="","",INDEX('Per Line'!$E$2:$E$501,$W112)&amp;"")</f>
        <v/>
      </c>
      <c r="E112">
        <f>IF($W112="","",INDEX('Per Line'!$H$2:$H$501,$W112)&amp;"")</f>
        <v/>
      </c>
      <c r="F112">
        <f>IF($W112="","",INDEX('Per Line'!$K$2:$K$501,$W112)&amp;"")</f>
        <v/>
      </c>
      <c r="G112">
        <f>IF($W112="","",INDEX('Per Line'!$L$2:$L$501,$W112)&amp;"")</f>
        <v/>
      </c>
      <c r="H112" s="12" t="n"/>
      <c r="I112">
        <f>IF($W112="","",INDEX('Per Line'!$M$2:$M$501,$W112))</f>
        <v/>
      </c>
      <c r="J112" s="7">
        <f>IF($W112="","",I112*T112/100)</f>
        <v/>
      </c>
      <c r="K112" s="11">
        <f>IF($W112="","",INDEX('Per Line'!$O$2:$O$501,$W112))</f>
        <v/>
      </c>
      <c r="L112">
        <f>IF($W112="","",Settings!$C$7)</f>
        <v/>
      </c>
      <c r="M112" s="7">
        <f>IF($W112="","",SUMIFS('Per Line'!$Y$2:$Y$501,'Per Line'!$C$2:$C$501,$B112,'Per Line'!$AD$2:$AD$501,0))</f>
        <v/>
      </c>
      <c r="N112" s="7">
        <f>IF($W112="","",M112*L112)</f>
        <v/>
      </c>
      <c r="O112">
        <f>IF($W112="","",Settings!$C$6)</f>
        <v/>
      </c>
      <c r="P112" s="7">
        <f>IF($W112="","",SUMIFS('Per Line'!$Y$2:$Y$501,'Per Line'!$C$2:$C$501,$B112,'Per Line'!$AD$2:$AD$501,1))</f>
        <v/>
      </c>
      <c r="Q112" s="7">
        <f>IF($W112="","",P112*O112)</f>
        <v/>
      </c>
      <c r="R112" s="7">
        <f>IF($W112="","",Q112+N112)</f>
        <v/>
      </c>
      <c r="S112" s="7">
        <f>IF($W112="","",T112-R112)</f>
        <v/>
      </c>
      <c r="T112" s="7">
        <f>IF($W112="","",M112+P112)</f>
        <v/>
      </c>
      <c r="U112" s="7">
        <f>IF($W112="","",T112-R112-J112)</f>
        <v/>
      </c>
      <c r="V112" s="12" t="n"/>
      <c r="W112" s="13">
        <f>IF(ROWS($W$2:$W112)&lt;=MAX('Per Line'!$AC$2:$AC$501),MATCH(ROWS($W$2:$W112),'Per Line'!$AC$2:$AC$501,0),"")</f>
        <v/>
      </c>
    </row>
    <row r="113">
      <c r="A113" s="12" t="n"/>
      <c r="B113">
        <f>IF($W113="","",INDEX('Per Line'!$C$2:$C$501,$W113)&amp;"")</f>
        <v/>
      </c>
      <c r="C113">
        <f>IF($W113="","",INDEX('Per Line'!$A$2:$A$501,$W113)&amp;"")</f>
        <v/>
      </c>
      <c r="D113">
        <f>IF($W113="","",INDEX('Per Line'!$E$2:$E$501,$W113)&amp;"")</f>
        <v/>
      </c>
      <c r="E113">
        <f>IF($W113="","",INDEX('Per Line'!$H$2:$H$501,$W113)&amp;"")</f>
        <v/>
      </c>
      <c r="F113">
        <f>IF($W113="","",INDEX('Per Line'!$K$2:$K$501,$W113)&amp;"")</f>
        <v/>
      </c>
      <c r="G113">
        <f>IF($W113="","",INDEX('Per Line'!$L$2:$L$501,$W113)&amp;"")</f>
        <v/>
      </c>
      <c r="H113" s="12" t="n"/>
      <c r="I113">
        <f>IF($W113="","",INDEX('Per Line'!$M$2:$M$501,$W113))</f>
        <v/>
      </c>
      <c r="J113" s="7">
        <f>IF($W113="","",I113*T113/100)</f>
        <v/>
      </c>
      <c r="K113" s="11">
        <f>IF($W113="","",INDEX('Per Line'!$O$2:$O$501,$W113))</f>
        <v/>
      </c>
      <c r="L113">
        <f>IF($W113="","",Settings!$C$7)</f>
        <v/>
      </c>
      <c r="M113" s="7">
        <f>IF($W113="","",SUMIFS('Per Line'!$Y$2:$Y$501,'Per Line'!$C$2:$C$501,$B113,'Per Line'!$AD$2:$AD$501,0))</f>
        <v/>
      </c>
      <c r="N113" s="7">
        <f>IF($W113="","",M113*L113)</f>
        <v/>
      </c>
      <c r="O113">
        <f>IF($W113="","",Settings!$C$6)</f>
        <v/>
      </c>
      <c r="P113" s="7">
        <f>IF($W113="","",SUMIFS('Per Line'!$Y$2:$Y$501,'Per Line'!$C$2:$C$501,$B113,'Per Line'!$AD$2:$AD$501,1))</f>
        <v/>
      </c>
      <c r="Q113" s="7">
        <f>IF($W113="","",P113*O113)</f>
        <v/>
      </c>
      <c r="R113" s="7">
        <f>IF($W113="","",Q113+N113)</f>
        <v/>
      </c>
      <c r="S113" s="7">
        <f>IF($W113="","",T113-R113)</f>
        <v/>
      </c>
      <c r="T113" s="7">
        <f>IF($W113="","",M113+P113)</f>
        <v/>
      </c>
      <c r="U113" s="7">
        <f>IF($W113="","",T113-R113-J113)</f>
        <v/>
      </c>
      <c r="V113" s="12" t="n"/>
      <c r="W113" s="13">
        <f>IF(ROWS($W$2:$W113)&lt;=MAX('Per Line'!$AC$2:$AC$501),MATCH(ROWS($W$2:$W113),'Per Line'!$AC$2:$AC$501,0),"")</f>
        <v/>
      </c>
    </row>
    <row r="114">
      <c r="A114" s="12" t="n"/>
      <c r="B114">
        <f>IF($W114="","",INDEX('Per Line'!$C$2:$C$501,$W114)&amp;"")</f>
        <v/>
      </c>
      <c r="C114">
        <f>IF($W114="","",INDEX('Per Line'!$A$2:$A$501,$W114)&amp;"")</f>
        <v/>
      </c>
      <c r="D114">
        <f>IF($W114="","",INDEX('Per Line'!$E$2:$E$501,$W114)&amp;"")</f>
        <v/>
      </c>
      <c r="E114">
        <f>IF($W114="","",INDEX('Per Line'!$H$2:$H$501,$W114)&amp;"")</f>
        <v/>
      </c>
      <c r="F114">
        <f>IF($W114="","",INDEX('Per Line'!$K$2:$K$501,$W114)&amp;"")</f>
        <v/>
      </c>
      <c r="G114">
        <f>IF($W114="","",INDEX('Per Line'!$L$2:$L$501,$W114)&amp;"")</f>
        <v/>
      </c>
      <c r="H114" s="12" t="n"/>
      <c r="I114">
        <f>IF($W114="","",INDEX('Per Line'!$M$2:$M$501,$W114))</f>
        <v/>
      </c>
      <c r="J114" s="7">
        <f>IF($W114="","",I114*T114/100)</f>
        <v/>
      </c>
      <c r="K114" s="11">
        <f>IF($W114="","",INDEX('Per Line'!$O$2:$O$501,$W114))</f>
        <v/>
      </c>
      <c r="L114">
        <f>IF($W114="","",Settings!$C$7)</f>
        <v/>
      </c>
      <c r="M114" s="7">
        <f>IF($W114="","",SUMIFS('Per Line'!$Y$2:$Y$501,'Per Line'!$C$2:$C$501,$B114,'Per Line'!$AD$2:$AD$501,0))</f>
        <v/>
      </c>
      <c r="N114" s="7">
        <f>IF($W114="","",M114*L114)</f>
        <v/>
      </c>
      <c r="O114">
        <f>IF($W114="","",Settings!$C$6)</f>
        <v/>
      </c>
      <c r="P114" s="7">
        <f>IF($W114="","",SUMIFS('Per Line'!$Y$2:$Y$501,'Per Line'!$C$2:$C$501,$B114,'Per Line'!$AD$2:$AD$501,1))</f>
        <v/>
      </c>
      <c r="Q114" s="7">
        <f>IF($W114="","",P114*O114)</f>
        <v/>
      </c>
      <c r="R114" s="7">
        <f>IF($W114="","",Q114+N114)</f>
        <v/>
      </c>
      <c r="S114" s="7">
        <f>IF($W114="","",T114-R114)</f>
        <v/>
      </c>
      <c r="T114" s="7">
        <f>IF($W114="","",M114+P114)</f>
        <v/>
      </c>
      <c r="U114" s="7">
        <f>IF($W114="","",T114-R114-J114)</f>
        <v/>
      </c>
      <c r="V114" s="12" t="n"/>
      <c r="W114" s="13">
        <f>IF(ROWS($W$2:$W114)&lt;=MAX('Per Line'!$AC$2:$AC$501),MATCH(ROWS($W$2:$W114),'Per Line'!$AC$2:$AC$501,0),"")</f>
        <v/>
      </c>
    </row>
    <row r="115">
      <c r="A115" s="12" t="n"/>
      <c r="B115">
        <f>IF($W115="","",INDEX('Per Line'!$C$2:$C$501,$W115)&amp;"")</f>
        <v/>
      </c>
      <c r="C115">
        <f>IF($W115="","",INDEX('Per Line'!$A$2:$A$501,$W115)&amp;"")</f>
        <v/>
      </c>
      <c r="D115">
        <f>IF($W115="","",INDEX('Per Line'!$E$2:$E$501,$W115)&amp;"")</f>
        <v/>
      </c>
      <c r="E115">
        <f>IF($W115="","",INDEX('Per Line'!$H$2:$H$501,$W115)&amp;"")</f>
        <v/>
      </c>
      <c r="F115">
        <f>IF($W115="","",INDEX('Per Line'!$K$2:$K$501,$W115)&amp;"")</f>
        <v/>
      </c>
      <c r="G115">
        <f>IF($W115="","",INDEX('Per Line'!$L$2:$L$501,$W115)&amp;"")</f>
        <v/>
      </c>
      <c r="H115" s="12" t="n"/>
      <c r="I115">
        <f>IF($W115="","",INDEX('Per Line'!$M$2:$M$501,$W115))</f>
        <v/>
      </c>
      <c r="J115" s="7">
        <f>IF($W115="","",I115*T115/100)</f>
        <v/>
      </c>
      <c r="K115" s="11">
        <f>IF($W115="","",INDEX('Per Line'!$O$2:$O$501,$W115))</f>
        <v/>
      </c>
      <c r="L115">
        <f>IF($W115="","",Settings!$C$7)</f>
        <v/>
      </c>
      <c r="M115" s="7">
        <f>IF($W115="","",SUMIFS('Per Line'!$Y$2:$Y$501,'Per Line'!$C$2:$C$501,$B115,'Per Line'!$AD$2:$AD$501,0))</f>
        <v/>
      </c>
      <c r="N115" s="7">
        <f>IF($W115="","",M115*L115)</f>
        <v/>
      </c>
      <c r="O115">
        <f>IF($W115="","",Settings!$C$6)</f>
        <v/>
      </c>
      <c r="P115" s="7">
        <f>IF($W115="","",SUMIFS('Per Line'!$Y$2:$Y$501,'Per Line'!$C$2:$C$501,$B115,'Per Line'!$AD$2:$AD$501,1))</f>
        <v/>
      </c>
      <c r="Q115" s="7">
        <f>IF($W115="","",P115*O115)</f>
        <v/>
      </c>
      <c r="R115" s="7">
        <f>IF($W115="","",Q115+N115)</f>
        <v/>
      </c>
      <c r="S115" s="7">
        <f>IF($W115="","",T115-R115)</f>
        <v/>
      </c>
      <c r="T115" s="7">
        <f>IF($W115="","",M115+P115)</f>
        <v/>
      </c>
      <c r="U115" s="7">
        <f>IF($W115="","",T115-R115-J115)</f>
        <v/>
      </c>
      <c r="V115" s="12" t="n"/>
      <c r="W115" s="13">
        <f>IF(ROWS($W$2:$W115)&lt;=MAX('Per Line'!$AC$2:$AC$501),MATCH(ROWS($W$2:$W115),'Per Line'!$AC$2:$AC$501,0),"")</f>
        <v/>
      </c>
    </row>
    <row r="116">
      <c r="A116" s="12" t="n"/>
      <c r="B116">
        <f>IF($W116="","",INDEX('Per Line'!$C$2:$C$501,$W116)&amp;"")</f>
        <v/>
      </c>
      <c r="C116">
        <f>IF($W116="","",INDEX('Per Line'!$A$2:$A$501,$W116)&amp;"")</f>
        <v/>
      </c>
      <c r="D116">
        <f>IF($W116="","",INDEX('Per Line'!$E$2:$E$501,$W116)&amp;"")</f>
        <v/>
      </c>
      <c r="E116">
        <f>IF($W116="","",INDEX('Per Line'!$H$2:$H$501,$W116)&amp;"")</f>
        <v/>
      </c>
      <c r="F116">
        <f>IF($W116="","",INDEX('Per Line'!$K$2:$K$501,$W116)&amp;"")</f>
        <v/>
      </c>
      <c r="G116">
        <f>IF($W116="","",INDEX('Per Line'!$L$2:$L$501,$W116)&amp;"")</f>
        <v/>
      </c>
      <c r="H116" s="12" t="n"/>
      <c r="I116">
        <f>IF($W116="","",INDEX('Per Line'!$M$2:$M$501,$W116))</f>
        <v/>
      </c>
      <c r="J116" s="7">
        <f>IF($W116="","",I116*T116/100)</f>
        <v/>
      </c>
      <c r="K116" s="11">
        <f>IF($W116="","",INDEX('Per Line'!$O$2:$O$501,$W116))</f>
        <v/>
      </c>
      <c r="L116">
        <f>IF($W116="","",Settings!$C$7)</f>
        <v/>
      </c>
      <c r="M116" s="7">
        <f>IF($W116="","",SUMIFS('Per Line'!$Y$2:$Y$501,'Per Line'!$C$2:$C$501,$B116,'Per Line'!$AD$2:$AD$501,0))</f>
        <v/>
      </c>
      <c r="N116" s="7">
        <f>IF($W116="","",M116*L116)</f>
        <v/>
      </c>
      <c r="O116">
        <f>IF($W116="","",Settings!$C$6)</f>
        <v/>
      </c>
      <c r="P116" s="7">
        <f>IF($W116="","",SUMIFS('Per Line'!$Y$2:$Y$501,'Per Line'!$C$2:$C$501,$B116,'Per Line'!$AD$2:$AD$501,1))</f>
        <v/>
      </c>
      <c r="Q116" s="7">
        <f>IF($W116="","",P116*O116)</f>
        <v/>
      </c>
      <c r="R116" s="7">
        <f>IF($W116="","",Q116+N116)</f>
        <v/>
      </c>
      <c r="S116" s="7">
        <f>IF($W116="","",T116-R116)</f>
        <v/>
      </c>
      <c r="T116" s="7">
        <f>IF($W116="","",M116+P116)</f>
        <v/>
      </c>
      <c r="U116" s="7">
        <f>IF($W116="","",T116-R116-J116)</f>
        <v/>
      </c>
      <c r="V116" s="12" t="n"/>
      <c r="W116" s="13">
        <f>IF(ROWS($W$2:$W116)&lt;=MAX('Per Line'!$AC$2:$AC$501),MATCH(ROWS($W$2:$W116),'Per Line'!$AC$2:$AC$501,0),"")</f>
        <v/>
      </c>
    </row>
    <row r="117">
      <c r="A117" s="12" t="n"/>
      <c r="B117">
        <f>IF($W117="","",INDEX('Per Line'!$C$2:$C$501,$W117)&amp;"")</f>
        <v/>
      </c>
      <c r="C117">
        <f>IF($W117="","",INDEX('Per Line'!$A$2:$A$501,$W117)&amp;"")</f>
        <v/>
      </c>
      <c r="D117">
        <f>IF($W117="","",INDEX('Per Line'!$E$2:$E$501,$W117)&amp;"")</f>
        <v/>
      </c>
      <c r="E117">
        <f>IF($W117="","",INDEX('Per Line'!$H$2:$H$501,$W117)&amp;"")</f>
        <v/>
      </c>
      <c r="F117">
        <f>IF($W117="","",INDEX('Per Line'!$K$2:$K$501,$W117)&amp;"")</f>
        <v/>
      </c>
      <c r="G117">
        <f>IF($W117="","",INDEX('Per Line'!$L$2:$L$501,$W117)&amp;"")</f>
        <v/>
      </c>
      <c r="H117" s="12" t="n"/>
      <c r="I117">
        <f>IF($W117="","",INDEX('Per Line'!$M$2:$M$501,$W117))</f>
        <v/>
      </c>
      <c r="J117" s="7">
        <f>IF($W117="","",I117*T117/100)</f>
        <v/>
      </c>
      <c r="K117" s="11">
        <f>IF($W117="","",INDEX('Per Line'!$O$2:$O$501,$W117))</f>
        <v/>
      </c>
      <c r="L117">
        <f>IF($W117="","",Settings!$C$7)</f>
        <v/>
      </c>
      <c r="M117" s="7">
        <f>IF($W117="","",SUMIFS('Per Line'!$Y$2:$Y$501,'Per Line'!$C$2:$C$501,$B117,'Per Line'!$AD$2:$AD$501,0))</f>
        <v/>
      </c>
      <c r="N117" s="7">
        <f>IF($W117="","",M117*L117)</f>
        <v/>
      </c>
      <c r="O117">
        <f>IF($W117="","",Settings!$C$6)</f>
        <v/>
      </c>
      <c r="P117" s="7">
        <f>IF($W117="","",SUMIFS('Per Line'!$Y$2:$Y$501,'Per Line'!$C$2:$C$501,$B117,'Per Line'!$AD$2:$AD$501,1))</f>
        <v/>
      </c>
      <c r="Q117" s="7">
        <f>IF($W117="","",P117*O117)</f>
        <v/>
      </c>
      <c r="R117" s="7">
        <f>IF($W117="","",Q117+N117)</f>
        <v/>
      </c>
      <c r="S117" s="7">
        <f>IF($W117="","",T117-R117)</f>
        <v/>
      </c>
      <c r="T117" s="7">
        <f>IF($W117="","",M117+P117)</f>
        <v/>
      </c>
      <c r="U117" s="7">
        <f>IF($W117="","",T117-R117-J117)</f>
        <v/>
      </c>
      <c r="V117" s="12" t="n"/>
      <c r="W117" s="13">
        <f>IF(ROWS($W$2:$W117)&lt;=MAX('Per Line'!$AC$2:$AC$501),MATCH(ROWS($W$2:$W117),'Per Line'!$AC$2:$AC$501,0),"")</f>
        <v/>
      </c>
    </row>
    <row r="118">
      <c r="A118" s="12" t="n"/>
      <c r="B118">
        <f>IF($W118="","",INDEX('Per Line'!$C$2:$C$501,$W118)&amp;"")</f>
        <v/>
      </c>
      <c r="C118">
        <f>IF($W118="","",INDEX('Per Line'!$A$2:$A$501,$W118)&amp;"")</f>
        <v/>
      </c>
      <c r="D118">
        <f>IF($W118="","",INDEX('Per Line'!$E$2:$E$501,$W118)&amp;"")</f>
        <v/>
      </c>
      <c r="E118">
        <f>IF($W118="","",INDEX('Per Line'!$H$2:$H$501,$W118)&amp;"")</f>
        <v/>
      </c>
      <c r="F118">
        <f>IF($W118="","",INDEX('Per Line'!$K$2:$K$501,$W118)&amp;"")</f>
        <v/>
      </c>
      <c r="G118">
        <f>IF($W118="","",INDEX('Per Line'!$L$2:$L$501,$W118)&amp;"")</f>
        <v/>
      </c>
      <c r="H118" s="12" t="n"/>
      <c r="I118">
        <f>IF($W118="","",INDEX('Per Line'!$M$2:$M$501,$W118))</f>
        <v/>
      </c>
      <c r="J118" s="7">
        <f>IF($W118="","",I118*T118/100)</f>
        <v/>
      </c>
      <c r="K118" s="11">
        <f>IF($W118="","",INDEX('Per Line'!$O$2:$O$501,$W118))</f>
        <v/>
      </c>
      <c r="L118">
        <f>IF($W118="","",Settings!$C$7)</f>
        <v/>
      </c>
      <c r="M118" s="7">
        <f>IF($W118="","",SUMIFS('Per Line'!$Y$2:$Y$501,'Per Line'!$C$2:$C$501,$B118,'Per Line'!$AD$2:$AD$501,0))</f>
        <v/>
      </c>
      <c r="N118" s="7">
        <f>IF($W118="","",M118*L118)</f>
        <v/>
      </c>
      <c r="O118">
        <f>IF($W118="","",Settings!$C$6)</f>
        <v/>
      </c>
      <c r="P118" s="7">
        <f>IF($W118="","",SUMIFS('Per Line'!$Y$2:$Y$501,'Per Line'!$C$2:$C$501,$B118,'Per Line'!$AD$2:$AD$501,1))</f>
        <v/>
      </c>
      <c r="Q118" s="7">
        <f>IF($W118="","",P118*O118)</f>
        <v/>
      </c>
      <c r="R118" s="7">
        <f>IF($W118="","",Q118+N118)</f>
        <v/>
      </c>
      <c r="S118" s="7">
        <f>IF($W118="","",T118-R118)</f>
        <v/>
      </c>
      <c r="T118" s="7">
        <f>IF($W118="","",M118+P118)</f>
        <v/>
      </c>
      <c r="U118" s="7">
        <f>IF($W118="","",T118-R118-J118)</f>
        <v/>
      </c>
      <c r="V118" s="12" t="n"/>
      <c r="W118" s="13">
        <f>IF(ROWS($W$2:$W118)&lt;=MAX('Per Line'!$AC$2:$AC$501),MATCH(ROWS($W$2:$W118),'Per Line'!$AC$2:$AC$501,0),"")</f>
        <v/>
      </c>
    </row>
    <row r="119">
      <c r="A119" s="12" t="n"/>
      <c r="B119">
        <f>IF($W119="","",INDEX('Per Line'!$C$2:$C$501,$W119)&amp;"")</f>
        <v/>
      </c>
      <c r="C119">
        <f>IF($W119="","",INDEX('Per Line'!$A$2:$A$501,$W119)&amp;"")</f>
        <v/>
      </c>
      <c r="D119">
        <f>IF($W119="","",INDEX('Per Line'!$E$2:$E$501,$W119)&amp;"")</f>
        <v/>
      </c>
      <c r="E119">
        <f>IF($W119="","",INDEX('Per Line'!$H$2:$H$501,$W119)&amp;"")</f>
        <v/>
      </c>
      <c r="F119">
        <f>IF($W119="","",INDEX('Per Line'!$K$2:$K$501,$W119)&amp;"")</f>
        <v/>
      </c>
      <c r="G119">
        <f>IF($W119="","",INDEX('Per Line'!$L$2:$L$501,$W119)&amp;"")</f>
        <v/>
      </c>
      <c r="H119" s="12" t="n"/>
      <c r="I119">
        <f>IF($W119="","",INDEX('Per Line'!$M$2:$M$501,$W119))</f>
        <v/>
      </c>
      <c r="J119" s="7">
        <f>IF($W119="","",I119*T119/100)</f>
        <v/>
      </c>
      <c r="K119" s="11">
        <f>IF($W119="","",INDEX('Per Line'!$O$2:$O$501,$W119))</f>
        <v/>
      </c>
      <c r="L119">
        <f>IF($W119="","",Settings!$C$7)</f>
        <v/>
      </c>
      <c r="M119" s="7">
        <f>IF($W119="","",SUMIFS('Per Line'!$Y$2:$Y$501,'Per Line'!$C$2:$C$501,$B119,'Per Line'!$AD$2:$AD$501,0))</f>
        <v/>
      </c>
      <c r="N119" s="7">
        <f>IF($W119="","",M119*L119)</f>
        <v/>
      </c>
      <c r="O119">
        <f>IF($W119="","",Settings!$C$6)</f>
        <v/>
      </c>
      <c r="P119" s="7">
        <f>IF($W119="","",SUMIFS('Per Line'!$Y$2:$Y$501,'Per Line'!$C$2:$C$501,$B119,'Per Line'!$AD$2:$AD$501,1))</f>
        <v/>
      </c>
      <c r="Q119" s="7">
        <f>IF($W119="","",P119*O119)</f>
        <v/>
      </c>
      <c r="R119" s="7">
        <f>IF($W119="","",Q119+N119)</f>
        <v/>
      </c>
      <c r="S119" s="7">
        <f>IF($W119="","",T119-R119)</f>
        <v/>
      </c>
      <c r="T119" s="7">
        <f>IF($W119="","",M119+P119)</f>
        <v/>
      </c>
      <c r="U119" s="7">
        <f>IF($W119="","",T119-R119-J119)</f>
        <v/>
      </c>
      <c r="V119" s="12" t="n"/>
      <c r="W119" s="13">
        <f>IF(ROWS($W$2:$W119)&lt;=MAX('Per Line'!$AC$2:$AC$501),MATCH(ROWS($W$2:$W119),'Per Line'!$AC$2:$AC$501,0),"")</f>
        <v/>
      </c>
    </row>
    <row r="120">
      <c r="A120" s="12" t="n"/>
      <c r="B120">
        <f>IF($W120="","",INDEX('Per Line'!$C$2:$C$501,$W120)&amp;"")</f>
        <v/>
      </c>
      <c r="C120">
        <f>IF($W120="","",INDEX('Per Line'!$A$2:$A$501,$W120)&amp;"")</f>
        <v/>
      </c>
      <c r="D120">
        <f>IF($W120="","",INDEX('Per Line'!$E$2:$E$501,$W120)&amp;"")</f>
        <v/>
      </c>
      <c r="E120">
        <f>IF($W120="","",INDEX('Per Line'!$H$2:$H$501,$W120)&amp;"")</f>
        <v/>
      </c>
      <c r="F120">
        <f>IF($W120="","",INDEX('Per Line'!$K$2:$K$501,$W120)&amp;"")</f>
        <v/>
      </c>
      <c r="G120">
        <f>IF($W120="","",INDEX('Per Line'!$L$2:$L$501,$W120)&amp;"")</f>
        <v/>
      </c>
      <c r="H120" s="12" t="n"/>
      <c r="I120">
        <f>IF($W120="","",INDEX('Per Line'!$M$2:$M$501,$W120))</f>
        <v/>
      </c>
      <c r="J120" s="7">
        <f>IF($W120="","",I120*T120/100)</f>
        <v/>
      </c>
      <c r="K120" s="11">
        <f>IF($W120="","",INDEX('Per Line'!$O$2:$O$501,$W120))</f>
        <v/>
      </c>
      <c r="L120">
        <f>IF($W120="","",Settings!$C$7)</f>
        <v/>
      </c>
      <c r="M120" s="7">
        <f>IF($W120="","",SUMIFS('Per Line'!$Y$2:$Y$501,'Per Line'!$C$2:$C$501,$B120,'Per Line'!$AD$2:$AD$501,0))</f>
        <v/>
      </c>
      <c r="N120" s="7">
        <f>IF($W120="","",M120*L120)</f>
        <v/>
      </c>
      <c r="O120">
        <f>IF($W120="","",Settings!$C$6)</f>
        <v/>
      </c>
      <c r="P120" s="7">
        <f>IF($W120="","",SUMIFS('Per Line'!$Y$2:$Y$501,'Per Line'!$C$2:$C$501,$B120,'Per Line'!$AD$2:$AD$501,1))</f>
        <v/>
      </c>
      <c r="Q120" s="7">
        <f>IF($W120="","",P120*O120)</f>
        <v/>
      </c>
      <c r="R120" s="7">
        <f>IF($W120="","",Q120+N120)</f>
        <v/>
      </c>
      <c r="S120" s="7">
        <f>IF($W120="","",T120-R120)</f>
        <v/>
      </c>
      <c r="T120" s="7">
        <f>IF($W120="","",M120+P120)</f>
        <v/>
      </c>
      <c r="U120" s="7">
        <f>IF($W120="","",T120-R120-J120)</f>
        <v/>
      </c>
      <c r="V120" s="12" t="n"/>
      <c r="W120" s="13">
        <f>IF(ROWS($W$2:$W120)&lt;=MAX('Per Line'!$AC$2:$AC$501),MATCH(ROWS($W$2:$W120),'Per Line'!$AC$2:$AC$501,0),"")</f>
        <v/>
      </c>
    </row>
    <row r="121">
      <c r="A121" s="12" t="n"/>
      <c r="B121">
        <f>IF($W121="","",INDEX('Per Line'!$C$2:$C$501,$W121)&amp;"")</f>
        <v/>
      </c>
      <c r="C121">
        <f>IF($W121="","",INDEX('Per Line'!$A$2:$A$501,$W121)&amp;"")</f>
        <v/>
      </c>
      <c r="D121">
        <f>IF($W121="","",INDEX('Per Line'!$E$2:$E$501,$W121)&amp;"")</f>
        <v/>
      </c>
      <c r="E121">
        <f>IF($W121="","",INDEX('Per Line'!$H$2:$H$501,$W121)&amp;"")</f>
        <v/>
      </c>
      <c r="F121">
        <f>IF($W121="","",INDEX('Per Line'!$K$2:$K$501,$W121)&amp;"")</f>
        <v/>
      </c>
      <c r="G121">
        <f>IF($W121="","",INDEX('Per Line'!$L$2:$L$501,$W121)&amp;"")</f>
        <v/>
      </c>
      <c r="H121" s="12" t="n"/>
      <c r="I121">
        <f>IF($W121="","",INDEX('Per Line'!$M$2:$M$501,$W121))</f>
        <v/>
      </c>
      <c r="J121" s="7">
        <f>IF($W121="","",I121*T121/100)</f>
        <v/>
      </c>
      <c r="K121" s="11">
        <f>IF($W121="","",INDEX('Per Line'!$O$2:$O$501,$W121))</f>
        <v/>
      </c>
      <c r="L121">
        <f>IF($W121="","",Settings!$C$7)</f>
        <v/>
      </c>
      <c r="M121" s="7">
        <f>IF($W121="","",SUMIFS('Per Line'!$Y$2:$Y$501,'Per Line'!$C$2:$C$501,$B121,'Per Line'!$AD$2:$AD$501,0))</f>
        <v/>
      </c>
      <c r="N121" s="7">
        <f>IF($W121="","",M121*L121)</f>
        <v/>
      </c>
      <c r="O121">
        <f>IF($W121="","",Settings!$C$6)</f>
        <v/>
      </c>
      <c r="P121" s="7">
        <f>IF($W121="","",SUMIFS('Per Line'!$Y$2:$Y$501,'Per Line'!$C$2:$C$501,$B121,'Per Line'!$AD$2:$AD$501,1))</f>
        <v/>
      </c>
      <c r="Q121" s="7">
        <f>IF($W121="","",P121*O121)</f>
        <v/>
      </c>
      <c r="R121" s="7">
        <f>IF($W121="","",Q121+N121)</f>
        <v/>
      </c>
      <c r="S121" s="7">
        <f>IF($W121="","",T121-R121)</f>
        <v/>
      </c>
      <c r="T121" s="7">
        <f>IF($W121="","",M121+P121)</f>
        <v/>
      </c>
      <c r="U121" s="7">
        <f>IF($W121="","",T121-R121-J121)</f>
        <v/>
      </c>
      <c r="V121" s="12" t="n"/>
      <c r="W121" s="13">
        <f>IF(ROWS($W$2:$W121)&lt;=MAX('Per Line'!$AC$2:$AC$501),MATCH(ROWS($W$2:$W121),'Per Line'!$AC$2:$AC$501,0),"")</f>
        <v/>
      </c>
    </row>
    <row r="122">
      <c r="A122" s="12" t="n"/>
      <c r="B122">
        <f>IF($W122="","",INDEX('Per Line'!$C$2:$C$501,$W122)&amp;"")</f>
        <v/>
      </c>
      <c r="C122">
        <f>IF($W122="","",INDEX('Per Line'!$A$2:$A$501,$W122)&amp;"")</f>
        <v/>
      </c>
      <c r="D122">
        <f>IF($W122="","",INDEX('Per Line'!$E$2:$E$501,$W122)&amp;"")</f>
        <v/>
      </c>
      <c r="E122">
        <f>IF($W122="","",INDEX('Per Line'!$H$2:$H$501,$W122)&amp;"")</f>
        <v/>
      </c>
      <c r="F122">
        <f>IF($W122="","",INDEX('Per Line'!$K$2:$K$501,$W122)&amp;"")</f>
        <v/>
      </c>
      <c r="G122">
        <f>IF($W122="","",INDEX('Per Line'!$L$2:$L$501,$W122)&amp;"")</f>
        <v/>
      </c>
      <c r="H122" s="12" t="n"/>
      <c r="I122">
        <f>IF($W122="","",INDEX('Per Line'!$M$2:$M$501,$W122))</f>
        <v/>
      </c>
      <c r="J122" s="7">
        <f>IF($W122="","",I122*T122/100)</f>
        <v/>
      </c>
      <c r="K122" s="11">
        <f>IF($W122="","",INDEX('Per Line'!$O$2:$O$501,$W122))</f>
        <v/>
      </c>
      <c r="L122">
        <f>IF($W122="","",Settings!$C$7)</f>
        <v/>
      </c>
      <c r="M122" s="7">
        <f>IF($W122="","",SUMIFS('Per Line'!$Y$2:$Y$501,'Per Line'!$C$2:$C$501,$B122,'Per Line'!$AD$2:$AD$501,0))</f>
        <v/>
      </c>
      <c r="N122" s="7">
        <f>IF($W122="","",M122*L122)</f>
        <v/>
      </c>
      <c r="O122">
        <f>IF($W122="","",Settings!$C$6)</f>
        <v/>
      </c>
      <c r="P122" s="7">
        <f>IF($W122="","",SUMIFS('Per Line'!$Y$2:$Y$501,'Per Line'!$C$2:$C$501,$B122,'Per Line'!$AD$2:$AD$501,1))</f>
        <v/>
      </c>
      <c r="Q122" s="7">
        <f>IF($W122="","",P122*O122)</f>
        <v/>
      </c>
      <c r="R122" s="7">
        <f>IF($W122="","",Q122+N122)</f>
        <v/>
      </c>
      <c r="S122" s="7">
        <f>IF($W122="","",T122-R122)</f>
        <v/>
      </c>
      <c r="T122" s="7">
        <f>IF($W122="","",M122+P122)</f>
        <v/>
      </c>
      <c r="U122" s="7">
        <f>IF($W122="","",T122-R122-J122)</f>
        <v/>
      </c>
      <c r="V122" s="12" t="n"/>
      <c r="W122" s="13">
        <f>IF(ROWS($W$2:$W122)&lt;=MAX('Per Line'!$AC$2:$AC$501),MATCH(ROWS($W$2:$W122),'Per Line'!$AC$2:$AC$501,0),"")</f>
        <v/>
      </c>
    </row>
    <row r="123">
      <c r="A123" s="12" t="n"/>
      <c r="B123">
        <f>IF($W123="","",INDEX('Per Line'!$C$2:$C$501,$W123)&amp;"")</f>
        <v/>
      </c>
      <c r="C123">
        <f>IF($W123="","",INDEX('Per Line'!$A$2:$A$501,$W123)&amp;"")</f>
        <v/>
      </c>
      <c r="D123">
        <f>IF($W123="","",INDEX('Per Line'!$E$2:$E$501,$W123)&amp;"")</f>
        <v/>
      </c>
      <c r="E123">
        <f>IF($W123="","",INDEX('Per Line'!$H$2:$H$501,$W123)&amp;"")</f>
        <v/>
      </c>
      <c r="F123">
        <f>IF($W123="","",INDEX('Per Line'!$K$2:$K$501,$W123)&amp;"")</f>
        <v/>
      </c>
      <c r="G123">
        <f>IF($W123="","",INDEX('Per Line'!$L$2:$L$501,$W123)&amp;"")</f>
        <v/>
      </c>
      <c r="H123" s="12" t="n"/>
      <c r="I123">
        <f>IF($W123="","",INDEX('Per Line'!$M$2:$M$501,$W123))</f>
        <v/>
      </c>
      <c r="J123" s="7">
        <f>IF($W123="","",I123*T123/100)</f>
        <v/>
      </c>
      <c r="K123" s="11">
        <f>IF($W123="","",INDEX('Per Line'!$O$2:$O$501,$W123))</f>
        <v/>
      </c>
      <c r="L123">
        <f>IF($W123="","",Settings!$C$7)</f>
        <v/>
      </c>
      <c r="M123" s="7">
        <f>IF($W123="","",SUMIFS('Per Line'!$Y$2:$Y$501,'Per Line'!$C$2:$C$501,$B123,'Per Line'!$AD$2:$AD$501,0))</f>
        <v/>
      </c>
      <c r="N123" s="7">
        <f>IF($W123="","",M123*L123)</f>
        <v/>
      </c>
      <c r="O123">
        <f>IF($W123="","",Settings!$C$6)</f>
        <v/>
      </c>
      <c r="P123" s="7">
        <f>IF($W123="","",SUMIFS('Per Line'!$Y$2:$Y$501,'Per Line'!$C$2:$C$501,$B123,'Per Line'!$AD$2:$AD$501,1))</f>
        <v/>
      </c>
      <c r="Q123" s="7">
        <f>IF($W123="","",P123*O123)</f>
        <v/>
      </c>
      <c r="R123" s="7">
        <f>IF($W123="","",Q123+N123)</f>
        <v/>
      </c>
      <c r="S123" s="7">
        <f>IF($W123="","",T123-R123)</f>
        <v/>
      </c>
      <c r="T123" s="7">
        <f>IF($W123="","",M123+P123)</f>
        <v/>
      </c>
      <c r="U123" s="7">
        <f>IF($W123="","",T123-R123-J123)</f>
        <v/>
      </c>
      <c r="V123" s="12" t="n"/>
      <c r="W123" s="13">
        <f>IF(ROWS($W$2:$W123)&lt;=MAX('Per Line'!$AC$2:$AC$501),MATCH(ROWS($W$2:$W123),'Per Line'!$AC$2:$AC$501,0),"")</f>
        <v/>
      </c>
    </row>
    <row r="124">
      <c r="A124" s="12" t="n"/>
      <c r="B124">
        <f>IF($W124="","",INDEX('Per Line'!$C$2:$C$501,$W124)&amp;"")</f>
        <v/>
      </c>
      <c r="C124">
        <f>IF($W124="","",INDEX('Per Line'!$A$2:$A$501,$W124)&amp;"")</f>
        <v/>
      </c>
      <c r="D124">
        <f>IF($W124="","",INDEX('Per Line'!$E$2:$E$501,$W124)&amp;"")</f>
        <v/>
      </c>
      <c r="E124">
        <f>IF($W124="","",INDEX('Per Line'!$H$2:$H$501,$W124)&amp;"")</f>
        <v/>
      </c>
      <c r="F124">
        <f>IF($W124="","",INDEX('Per Line'!$K$2:$K$501,$W124)&amp;"")</f>
        <v/>
      </c>
      <c r="G124">
        <f>IF($W124="","",INDEX('Per Line'!$L$2:$L$501,$W124)&amp;"")</f>
        <v/>
      </c>
      <c r="H124" s="12" t="n"/>
      <c r="I124">
        <f>IF($W124="","",INDEX('Per Line'!$M$2:$M$501,$W124))</f>
        <v/>
      </c>
      <c r="J124" s="7">
        <f>IF($W124="","",I124*T124/100)</f>
        <v/>
      </c>
      <c r="K124" s="11">
        <f>IF($W124="","",INDEX('Per Line'!$O$2:$O$501,$W124))</f>
        <v/>
      </c>
      <c r="L124">
        <f>IF($W124="","",Settings!$C$7)</f>
        <v/>
      </c>
      <c r="M124" s="7">
        <f>IF($W124="","",SUMIFS('Per Line'!$Y$2:$Y$501,'Per Line'!$C$2:$C$501,$B124,'Per Line'!$AD$2:$AD$501,0))</f>
        <v/>
      </c>
      <c r="N124" s="7">
        <f>IF($W124="","",M124*L124)</f>
        <v/>
      </c>
      <c r="O124">
        <f>IF($W124="","",Settings!$C$6)</f>
        <v/>
      </c>
      <c r="P124" s="7">
        <f>IF($W124="","",SUMIFS('Per Line'!$Y$2:$Y$501,'Per Line'!$C$2:$C$501,$B124,'Per Line'!$AD$2:$AD$501,1))</f>
        <v/>
      </c>
      <c r="Q124" s="7">
        <f>IF($W124="","",P124*O124)</f>
        <v/>
      </c>
      <c r="R124" s="7">
        <f>IF($W124="","",Q124+N124)</f>
        <v/>
      </c>
      <c r="S124" s="7">
        <f>IF($W124="","",T124-R124)</f>
        <v/>
      </c>
      <c r="T124" s="7">
        <f>IF($W124="","",M124+P124)</f>
        <v/>
      </c>
      <c r="U124" s="7">
        <f>IF($W124="","",T124-R124-J124)</f>
        <v/>
      </c>
      <c r="V124" s="12" t="n"/>
      <c r="W124" s="13">
        <f>IF(ROWS($W$2:$W124)&lt;=MAX('Per Line'!$AC$2:$AC$501),MATCH(ROWS($W$2:$W124),'Per Line'!$AC$2:$AC$501,0),"")</f>
        <v/>
      </c>
    </row>
    <row r="125">
      <c r="A125" s="12" t="n"/>
      <c r="B125">
        <f>IF($W125="","",INDEX('Per Line'!$C$2:$C$501,$W125)&amp;"")</f>
        <v/>
      </c>
      <c r="C125">
        <f>IF($W125="","",INDEX('Per Line'!$A$2:$A$501,$W125)&amp;"")</f>
        <v/>
      </c>
      <c r="D125">
        <f>IF($W125="","",INDEX('Per Line'!$E$2:$E$501,$W125)&amp;"")</f>
        <v/>
      </c>
      <c r="E125">
        <f>IF($W125="","",INDEX('Per Line'!$H$2:$H$501,$W125)&amp;"")</f>
        <v/>
      </c>
      <c r="F125">
        <f>IF($W125="","",INDEX('Per Line'!$K$2:$K$501,$W125)&amp;"")</f>
        <v/>
      </c>
      <c r="G125">
        <f>IF($W125="","",INDEX('Per Line'!$L$2:$L$501,$W125)&amp;"")</f>
        <v/>
      </c>
      <c r="H125" s="12" t="n"/>
      <c r="I125">
        <f>IF($W125="","",INDEX('Per Line'!$M$2:$M$501,$W125))</f>
        <v/>
      </c>
      <c r="J125" s="7">
        <f>IF($W125="","",I125*T125/100)</f>
        <v/>
      </c>
      <c r="K125" s="11">
        <f>IF($W125="","",INDEX('Per Line'!$O$2:$O$501,$W125))</f>
        <v/>
      </c>
      <c r="L125">
        <f>IF($W125="","",Settings!$C$7)</f>
        <v/>
      </c>
      <c r="M125" s="7">
        <f>IF($W125="","",SUMIFS('Per Line'!$Y$2:$Y$501,'Per Line'!$C$2:$C$501,$B125,'Per Line'!$AD$2:$AD$501,0))</f>
        <v/>
      </c>
      <c r="N125" s="7">
        <f>IF($W125="","",M125*L125)</f>
        <v/>
      </c>
      <c r="O125">
        <f>IF($W125="","",Settings!$C$6)</f>
        <v/>
      </c>
      <c r="P125" s="7">
        <f>IF($W125="","",SUMIFS('Per Line'!$Y$2:$Y$501,'Per Line'!$C$2:$C$501,$B125,'Per Line'!$AD$2:$AD$501,1))</f>
        <v/>
      </c>
      <c r="Q125" s="7">
        <f>IF($W125="","",P125*O125)</f>
        <v/>
      </c>
      <c r="R125" s="7">
        <f>IF($W125="","",Q125+N125)</f>
        <v/>
      </c>
      <c r="S125" s="7">
        <f>IF($W125="","",T125-R125)</f>
        <v/>
      </c>
      <c r="T125" s="7">
        <f>IF($W125="","",M125+P125)</f>
        <v/>
      </c>
      <c r="U125" s="7">
        <f>IF($W125="","",T125-R125-J125)</f>
        <v/>
      </c>
      <c r="V125" s="12" t="n"/>
      <c r="W125" s="13">
        <f>IF(ROWS($W$2:$W125)&lt;=MAX('Per Line'!$AC$2:$AC$501),MATCH(ROWS($W$2:$W125),'Per Line'!$AC$2:$AC$501,0),"")</f>
        <v/>
      </c>
    </row>
    <row r="126">
      <c r="A126" s="12" t="n"/>
      <c r="B126">
        <f>IF($W126="","",INDEX('Per Line'!$C$2:$C$501,$W126)&amp;"")</f>
        <v/>
      </c>
      <c r="C126">
        <f>IF($W126="","",INDEX('Per Line'!$A$2:$A$501,$W126)&amp;"")</f>
        <v/>
      </c>
      <c r="D126">
        <f>IF($W126="","",INDEX('Per Line'!$E$2:$E$501,$W126)&amp;"")</f>
        <v/>
      </c>
      <c r="E126">
        <f>IF($W126="","",INDEX('Per Line'!$H$2:$H$501,$W126)&amp;"")</f>
        <v/>
      </c>
      <c r="F126">
        <f>IF($W126="","",INDEX('Per Line'!$K$2:$K$501,$W126)&amp;"")</f>
        <v/>
      </c>
      <c r="G126">
        <f>IF($W126="","",INDEX('Per Line'!$L$2:$L$501,$W126)&amp;"")</f>
        <v/>
      </c>
      <c r="H126" s="12" t="n"/>
      <c r="I126">
        <f>IF($W126="","",INDEX('Per Line'!$M$2:$M$501,$W126))</f>
        <v/>
      </c>
      <c r="J126" s="7">
        <f>IF($W126="","",I126*T126/100)</f>
        <v/>
      </c>
      <c r="K126" s="11">
        <f>IF($W126="","",INDEX('Per Line'!$O$2:$O$501,$W126))</f>
        <v/>
      </c>
      <c r="L126">
        <f>IF($W126="","",Settings!$C$7)</f>
        <v/>
      </c>
      <c r="M126" s="7">
        <f>IF($W126="","",SUMIFS('Per Line'!$Y$2:$Y$501,'Per Line'!$C$2:$C$501,$B126,'Per Line'!$AD$2:$AD$501,0))</f>
        <v/>
      </c>
      <c r="N126" s="7">
        <f>IF($W126="","",M126*L126)</f>
        <v/>
      </c>
      <c r="O126">
        <f>IF($W126="","",Settings!$C$6)</f>
        <v/>
      </c>
      <c r="P126" s="7">
        <f>IF($W126="","",SUMIFS('Per Line'!$Y$2:$Y$501,'Per Line'!$C$2:$C$501,$B126,'Per Line'!$AD$2:$AD$501,1))</f>
        <v/>
      </c>
      <c r="Q126" s="7">
        <f>IF($W126="","",P126*O126)</f>
        <v/>
      </c>
      <c r="R126" s="7">
        <f>IF($W126="","",Q126+N126)</f>
        <v/>
      </c>
      <c r="S126" s="7">
        <f>IF($W126="","",T126-R126)</f>
        <v/>
      </c>
      <c r="T126" s="7">
        <f>IF($W126="","",M126+P126)</f>
        <v/>
      </c>
      <c r="U126" s="7">
        <f>IF($W126="","",T126-R126-J126)</f>
        <v/>
      </c>
      <c r="V126" s="12" t="n"/>
      <c r="W126" s="13">
        <f>IF(ROWS($W$2:$W126)&lt;=MAX('Per Line'!$AC$2:$AC$501),MATCH(ROWS($W$2:$W126),'Per Line'!$AC$2:$AC$501,0),"")</f>
        <v/>
      </c>
    </row>
    <row r="127">
      <c r="A127" s="12" t="n"/>
      <c r="B127">
        <f>IF($W127="","",INDEX('Per Line'!$C$2:$C$501,$W127)&amp;"")</f>
        <v/>
      </c>
      <c r="C127">
        <f>IF($W127="","",INDEX('Per Line'!$A$2:$A$501,$W127)&amp;"")</f>
        <v/>
      </c>
      <c r="D127">
        <f>IF($W127="","",INDEX('Per Line'!$E$2:$E$501,$W127)&amp;"")</f>
        <v/>
      </c>
      <c r="E127">
        <f>IF($W127="","",INDEX('Per Line'!$H$2:$H$501,$W127)&amp;"")</f>
        <v/>
      </c>
      <c r="F127">
        <f>IF($W127="","",INDEX('Per Line'!$K$2:$K$501,$W127)&amp;"")</f>
        <v/>
      </c>
      <c r="G127">
        <f>IF($W127="","",INDEX('Per Line'!$L$2:$L$501,$W127)&amp;"")</f>
        <v/>
      </c>
      <c r="H127" s="12" t="n"/>
      <c r="I127">
        <f>IF($W127="","",INDEX('Per Line'!$M$2:$M$501,$W127))</f>
        <v/>
      </c>
      <c r="J127" s="7">
        <f>IF($W127="","",I127*T127/100)</f>
        <v/>
      </c>
      <c r="K127" s="11">
        <f>IF($W127="","",INDEX('Per Line'!$O$2:$O$501,$W127))</f>
        <v/>
      </c>
      <c r="L127">
        <f>IF($W127="","",Settings!$C$7)</f>
        <v/>
      </c>
      <c r="M127" s="7">
        <f>IF($W127="","",SUMIFS('Per Line'!$Y$2:$Y$501,'Per Line'!$C$2:$C$501,$B127,'Per Line'!$AD$2:$AD$501,0))</f>
        <v/>
      </c>
      <c r="N127" s="7">
        <f>IF($W127="","",M127*L127)</f>
        <v/>
      </c>
      <c r="O127">
        <f>IF($W127="","",Settings!$C$6)</f>
        <v/>
      </c>
      <c r="P127" s="7">
        <f>IF($W127="","",SUMIFS('Per Line'!$Y$2:$Y$501,'Per Line'!$C$2:$C$501,$B127,'Per Line'!$AD$2:$AD$501,1))</f>
        <v/>
      </c>
      <c r="Q127" s="7">
        <f>IF($W127="","",P127*O127)</f>
        <v/>
      </c>
      <c r="R127" s="7">
        <f>IF($W127="","",Q127+N127)</f>
        <v/>
      </c>
      <c r="S127" s="7">
        <f>IF($W127="","",T127-R127)</f>
        <v/>
      </c>
      <c r="T127" s="7">
        <f>IF($W127="","",M127+P127)</f>
        <v/>
      </c>
      <c r="U127" s="7">
        <f>IF($W127="","",T127-R127-J127)</f>
        <v/>
      </c>
      <c r="V127" s="12" t="n"/>
      <c r="W127" s="13">
        <f>IF(ROWS($W$2:$W127)&lt;=MAX('Per Line'!$AC$2:$AC$501),MATCH(ROWS($W$2:$W127),'Per Line'!$AC$2:$AC$501,0),"")</f>
        <v/>
      </c>
    </row>
    <row r="128">
      <c r="A128" s="12" t="n"/>
      <c r="B128">
        <f>IF($W128="","",INDEX('Per Line'!$C$2:$C$501,$W128)&amp;"")</f>
        <v/>
      </c>
      <c r="C128">
        <f>IF($W128="","",INDEX('Per Line'!$A$2:$A$501,$W128)&amp;"")</f>
        <v/>
      </c>
      <c r="D128">
        <f>IF($W128="","",INDEX('Per Line'!$E$2:$E$501,$W128)&amp;"")</f>
        <v/>
      </c>
      <c r="E128">
        <f>IF($W128="","",INDEX('Per Line'!$H$2:$H$501,$W128)&amp;"")</f>
        <v/>
      </c>
      <c r="F128">
        <f>IF($W128="","",INDEX('Per Line'!$K$2:$K$501,$W128)&amp;"")</f>
        <v/>
      </c>
      <c r="G128">
        <f>IF($W128="","",INDEX('Per Line'!$L$2:$L$501,$W128)&amp;"")</f>
        <v/>
      </c>
      <c r="H128" s="12" t="n"/>
      <c r="I128">
        <f>IF($W128="","",INDEX('Per Line'!$M$2:$M$501,$W128))</f>
        <v/>
      </c>
      <c r="J128" s="7">
        <f>IF($W128="","",I128*T128/100)</f>
        <v/>
      </c>
      <c r="K128" s="11">
        <f>IF($W128="","",INDEX('Per Line'!$O$2:$O$501,$W128))</f>
        <v/>
      </c>
      <c r="L128">
        <f>IF($W128="","",Settings!$C$7)</f>
        <v/>
      </c>
      <c r="M128" s="7">
        <f>IF($W128="","",SUMIFS('Per Line'!$Y$2:$Y$501,'Per Line'!$C$2:$C$501,$B128,'Per Line'!$AD$2:$AD$501,0))</f>
        <v/>
      </c>
      <c r="N128" s="7">
        <f>IF($W128="","",M128*L128)</f>
        <v/>
      </c>
      <c r="O128">
        <f>IF($W128="","",Settings!$C$6)</f>
        <v/>
      </c>
      <c r="P128" s="7">
        <f>IF($W128="","",SUMIFS('Per Line'!$Y$2:$Y$501,'Per Line'!$C$2:$C$501,$B128,'Per Line'!$AD$2:$AD$501,1))</f>
        <v/>
      </c>
      <c r="Q128" s="7">
        <f>IF($W128="","",P128*O128)</f>
        <v/>
      </c>
      <c r="R128" s="7">
        <f>IF($W128="","",Q128+N128)</f>
        <v/>
      </c>
      <c r="S128" s="7">
        <f>IF($W128="","",T128-R128)</f>
        <v/>
      </c>
      <c r="T128" s="7">
        <f>IF($W128="","",M128+P128)</f>
        <v/>
      </c>
      <c r="U128" s="7">
        <f>IF($W128="","",T128-R128-J128)</f>
        <v/>
      </c>
      <c r="V128" s="12" t="n"/>
      <c r="W128" s="13">
        <f>IF(ROWS($W$2:$W128)&lt;=MAX('Per Line'!$AC$2:$AC$501),MATCH(ROWS($W$2:$W128),'Per Line'!$AC$2:$AC$501,0),"")</f>
        <v/>
      </c>
    </row>
    <row r="129">
      <c r="A129" s="12" t="n"/>
      <c r="B129">
        <f>IF($W129="","",INDEX('Per Line'!$C$2:$C$501,$W129)&amp;"")</f>
        <v/>
      </c>
      <c r="C129">
        <f>IF($W129="","",INDEX('Per Line'!$A$2:$A$501,$W129)&amp;"")</f>
        <v/>
      </c>
      <c r="D129">
        <f>IF($W129="","",INDEX('Per Line'!$E$2:$E$501,$W129)&amp;"")</f>
        <v/>
      </c>
      <c r="E129">
        <f>IF($W129="","",INDEX('Per Line'!$H$2:$H$501,$W129)&amp;"")</f>
        <v/>
      </c>
      <c r="F129">
        <f>IF($W129="","",INDEX('Per Line'!$K$2:$K$501,$W129)&amp;"")</f>
        <v/>
      </c>
      <c r="G129">
        <f>IF($W129="","",INDEX('Per Line'!$L$2:$L$501,$W129)&amp;"")</f>
        <v/>
      </c>
      <c r="H129" s="12" t="n"/>
      <c r="I129">
        <f>IF($W129="","",INDEX('Per Line'!$M$2:$M$501,$W129))</f>
        <v/>
      </c>
      <c r="J129" s="7">
        <f>IF($W129="","",I129*T129/100)</f>
        <v/>
      </c>
      <c r="K129" s="11">
        <f>IF($W129="","",INDEX('Per Line'!$O$2:$O$501,$W129))</f>
        <v/>
      </c>
      <c r="L129">
        <f>IF($W129="","",Settings!$C$7)</f>
        <v/>
      </c>
      <c r="M129" s="7">
        <f>IF($W129="","",SUMIFS('Per Line'!$Y$2:$Y$501,'Per Line'!$C$2:$C$501,$B129,'Per Line'!$AD$2:$AD$501,0))</f>
        <v/>
      </c>
      <c r="N129" s="7">
        <f>IF($W129="","",M129*L129)</f>
        <v/>
      </c>
      <c r="O129">
        <f>IF($W129="","",Settings!$C$6)</f>
        <v/>
      </c>
      <c r="P129" s="7">
        <f>IF($W129="","",SUMIFS('Per Line'!$Y$2:$Y$501,'Per Line'!$C$2:$C$501,$B129,'Per Line'!$AD$2:$AD$501,1))</f>
        <v/>
      </c>
      <c r="Q129" s="7">
        <f>IF($W129="","",P129*O129)</f>
        <v/>
      </c>
      <c r="R129" s="7">
        <f>IF($W129="","",Q129+N129)</f>
        <v/>
      </c>
      <c r="S129" s="7">
        <f>IF($W129="","",T129-R129)</f>
        <v/>
      </c>
      <c r="T129" s="7">
        <f>IF($W129="","",M129+P129)</f>
        <v/>
      </c>
      <c r="U129" s="7">
        <f>IF($W129="","",T129-R129-J129)</f>
        <v/>
      </c>
      <c r="V129" s="12" t="n"/>
      <c r="W129" s="13">
        <f>IF(ROWS($W$2:$W129)&lt;=MAX('Per Line'!$AC$2:$AC$501),MATCH(ROWS($W$2:$W129),'Per Line'!$AC$2:$AC$501,0),"")</f>
        <v/>
      </c>
    </row>
    <row r="130">
      <c r="A130" s="12" t="n"/>
      <c r="B130">
        <f>IF($W130="","",INDEX('Per Line'!$C$2:$C$501,$W130)&amp;"")</f>
        <v/>
      </c>
      <c r="C130">
        <f>IF($W130="","",INDEX('Per Line'!$A$2:$A$501,$W130)&amp;"")</f>
        <v/>
      </c>
      <c r="D130">
        <f>IF($W130="","",INDEX('Per Line'!$E$2:$E$501,$W130)&amp;"")</f>
        <v/>
      </c>
      <c r="E130">
        <f>IF($W130="","",INDEX('Per Line'!$H$2:$H$501,$W130)&amp;"")</f>
        <v/>
      </c>
      <c r="F130">
        <f>IF($W130="","",INDEX('Per Line'!$K$2:$K$501,$W130)&amp;"")</f>
        <v/>
      </c>
      <c r="G130">
        <f>IF($W130="","",INDEX('Per Line'!$L$2:$L$501,$W130)&amp;"")</f>
        <v/>
      </c>
      <c r="H130" s="12" t="n"/>
      <c r="I130">
        <f>IF($W130="","",INDEX('Per Line'!$M$2:$M$501,$W130))</f>
        <v/>
      </c>
      <c r="J130" s="7">
        <f>IF($W130="","",I130*T130/100)</f>
        <v/>
      </c>
      <c r="K130" s="11">
        <f>IF($W130="","",INDEX('Per Line'!$O$2:$O$501,$W130))</f>
        <v/>
      </c>
      <c r="L130">
        <f>IF($W130="","",Settings!$C$7)</f>
        <v/>
      </c>
      <c r="M130" s="7">
        <f>IF($W130="","",SUMIFS('Per Line'!$Y$2:$Y$501,'Per Line'!$C$2:$C$501,$B130,'Per Line'!$AD$2:$AD$501,0))</f>
        <v/>
      </c>
      <c r="N130" s="7">
        <f>IF($W130="","",M130*L130)</f>
        <v/>
      </c>
      <c r="O130">
        <f>IF($W130="","",Settings!$C$6)</f>
        <v/>
      </c>
      <c r="P130" s="7">
        <f>IF($W130="","",SUMIFS('Per Line'!$Y$2:$Y$501,'Per Line'!$C$2:$C$501,$B130,'Per Line'!$AD$2:$AD$501,1))</f>
        <v/>
      </c>
      <c r="Q130" s="7">
        <f>IF($W130="","",P130*O130)</f>
        <v/>
      </c>
      <c r="R130" s="7">
        <f>IF($W130="","",Q130+N130)</f>
        <v/>
      </c>
      <c r="S130" s="7">
        <f>IF($W130="","",T130-R130)</f>
        <v/>
      </c>
      <c r="T130" s="7">
        <f>IF($W130="","",M130+P130)</f>
        <v/>
      </c>
      <c r="U130" s="7">
        <f>IF($W130="","",T130-R130-J130)</f>
        <v/>
      </c>
      <c r="V130" s="12" t="n"/>
      <c r="W130" s="13">
        <f>IF(ROWS($W$2:$W130)&lt;=MAX('Per Line'!$AC$2:$AC$501),MATCH(ROWS($W$2:$W130),'Per Line'!$AC$2:$AC$501,0),"")</f>
        <v/>
      </c>
    </row>
    <row r="131">
      <c r="A131" s="12" t="n"/>
      <c r="B131">
        <f>IF($W131="","",INDEX('Per Line'!$C$2:$C$501,$W131)&amp;"")</f>
        <v/>
      </c>
      <c r="C131">
        <f>IF($W131="","",INDEX('Per Line'!$A$2:$A$501,$W131)&amp;"")</f>
        <v/>
      </c>
      <c r="D131">
        <f>IF($W131="","",INDEX('Per Line'!$E$2:$E$501,$W131)&amp;"")</f>
        <v/>
      </c>
      <c r="E131">
        <f>IF($W131="","",INDEX('Per Line'!$H$2:$H$501,$W131)&amp;"")</f>
        <v/>
      </c>
      <c r="F131">
        <f>IF($W131="","",INDEX('Per Line'!$K$2:$K$501,$W131)&amp;"")</f>
        <v/>
      </c>
      <c r="G131">
        <f>IF($W131="","",INDEX('Per Line'!$L$2:$L$501,$W131)&amp;"")</f>
        <v/>
      </c>
      <c r="H131" s="12" t="n"/>
      <c r="I131">
        <f>IF($W131="","",INDEX('Per Line'!$M$2:$M$501,$W131))</f>
        <v/>
      </c>
      <c r="J131" s="7">
        <f>IF($W131="","",I131*T131/100)</f>
        <v/>
      </c>
      <c r="K131" s="11">
        <f>IF($W131="","",INDEX('Per Line'!$O$2:$O$501,$W131))</f>
        <v/>
      </c>
      <c r="L131">
        <f>IF($W131="","",Settings!$C$7)</f>
        <v/>
      </c>
      <c r="M131" s="7">
        <f>IF($W131="","",SUMIFS('Per Line'!$Y$2:$Y$501,'Per Line'!$C$2:$C$501,$B131,'Per Line'!$AD$2:$AD$501,0))</f>
        <v/>
      </c>
      <c r="N131" s="7">
        <f>IF($W131="","",M131*L131)</f>
        <v/>
      </c>
      <c r="O131">
        <f>IF($W131="","",Settings!$C$6)</f>
        <v/>
      </c>
      <c r="P131" s="7">
        <f>IF($W131="","",SUMIFS('Per Line'!$Y$2:$Y$501,'Per Line'!$C$2:$C$501,$B131,'Per Line'!$AD$2:$AD$501,1))</f>
        <v/>
      </c>
      <c r="Q131" s="7">
        <f>IF($W131="","",P131*O131)</f>
        <v/>
      </c>
      <c r="R131" s="7">
        <f>IF($W131="","",Q131+N131)</f>
        <v/>
      </c>
      <c r="S131" s="7">
        <f>IF($W131="","",T131-R131)</f>
        <v/>
      </c>
      <c r="T131" s="7">
        <f>IF($W131="","",M131+P131)</f>
        <v/>
      </c>
      <c r="U131" s="7">
        <f>IF($W131="","",T131-R131-J131)</f>
        <v/>
      </c>
      <c r="V131" s="12" t="n"/>
      <c r="W131" s="13">
        <f>IF(ROWS($W$2:$W131)&lt;=MAX('Per Line'!$AC$2:$AC$501),MATCH(ROWS($W$2:$W131),'Per Line'!$AC$2:$AC$501,0),"")</f>
        <v/>
      </c>
    </row>
    <row r="132">
      <c r="A132" s="12" t="n"/>
      <c r="B132">
        <f>IF($W132="","",INDEX('Per Line'!$C$2:$C$501,$W132)&amp;"")</f>
        <v/>
      </c>
      <c r="C132">
        <f>IF($W132="","",INDEX('Per Line'!$A$2:$A$501,$W132)&amp;"")</f>
        <v/>
      </c>
      <c r="D132">
        <f>IF($W132="","",INDEX('Per Line'!$E$2:$E$501,$W132)&amp;"")</f>
        <v/>
      </c>
      <c r="E132">
        <f>IF($W132="","",INDEX('Per Line'!$H$2:$H$501,$W132)&amp;"")</f>
        <v/>
      </c>
      <c r="F132">
        <f>IF($W132="","",INDEX('Per Line'!$K$2:$K$501,$W132)&amp;"")</f>
        <v/>
      </c>
      <c r="G132">
        <f>IF($W132="","",INDEX('Per Line'!$L$2:$L$501,$W132)&amp;"")</f>
        <v/>
      </c>
      <c r="H132" s="12" t="n"/>
      <c r="I132">
        <f>IF($W132="","",INDEX('Per Line'!$M$2:$M$501,$W132))</f>
        <v/>
      </c>
      <c r="J132" s="7">
        <f>IF($W132="","",I132*T132/100)</f>
        <v/>
      </c>
      <c r="K132" s="11">
        <f>IF($W132="","",INDEX('Per Line'!$O$2:$O$501,$W132))</f>
        <v/>
      </c>
      <c r="L132">
        <f>IF($W132="","",Settings!$C$7)</f>
        <v/>
      </c>
      <c r="M132" s="7">
        <f>IF($W132="","",SUMIFS('Per Line'!$Y$2:$Y$501,'Per Line'!$C$2:$C$501,$B132,'Per Line'!$AD$2:$AD$501,0))</f>
        <v/>
      </c>
      <c r="N132" s="7">
        <f>IF($W132="","",M132*L132)</f>
        <v/>
      </c>
      <c r="O132">
        <f>IF($W132="","",Settings!$C$6)</f>
        <v/>
      </c>
      <c r="P132" s="7">
        <f>IF($W132="","",SUMIFS('Per Line'!$Y$2:$Y$501,'Per Line'!$C$2:$C$501,$B132,'Per Line'!$AD$2:$AD$501,1))</f>
        <v/>
      </c>
      <c r="Q132" s="7">
        <f>IF($W132="","",P132*O132)</f>
        <v/>
      </c>
      <c r="R132" s="7">
        <f>IF($W132="","",Q132+N132)</f>
        <v/>
      </c>
      <c r="S132" s="7">
        <f>IF($W132="","",T132-R132)</f>
        <v/>
      </c>
      <c r="T132" s="7">
        <f>IF($W132="","",M132+P132)</f>
        <v/>
      </c>
      <c r="U132" s="7">
        <f>IF($W132="","",T132-R132-J132)</f>
        <v/>
      </c>
      <c r="V132" s="12" t="n"/>
      <c r="W132" s="13">
        <f>IF(ROWS($W$2:$W132)&lt;=MAX('Per Line'!$AC$2:$AC$501),MATCH(ROWS($W$2:$W132),'Per Line'!$AC$2:$AC$501,0),"")</f>
        <v/>
      </c>
    </row>
    <row r="133">
      <c r="A133" s="12" t="n"/>
      <c r="B133">
        <f>IF($W133="","",INDEX('Per Line'!$C$2:$C$501,$W133)&amp;"")</f>
        <v/>
      </c>
      <c r="C133">
        <f>IF($W133="","",INDEX('Per Line'!$A$2:$A$501,$W133)&amp;"")</f>
        <v/>
      </c>
      <c r="D133">
        <f>IF($W133="","",INDEX('Per Line'!$E$2:$E$501,$W133)&amp;"")</f>
        <v/>
      </c>
      <c r="E133">
        <f>IF($W133="","",INDEX('Per Line'!$H$2:$H$501,$W133)&amp;"")</f>
        <v/>
      </c>
      <c r="F133">
        <f>IF($W133="","",INDEX('Per Line'!$K$2:$K$501,$W133)&amp;"")</f>
        <v/>
      </c>
      <c r="G133">
        <f>IF($W133="","",INDEX('Per Line'!$L$2:$L$501,$W133)&amp;"")</f>
        <v/>
      </c>
      <c r="H133" s="12" t="n"/>
      <c r="I133">
        <f>IF($W133="","",INDEX('Per Line'!$M$2:$M$501,$W133))</f>
        <v/>
      </c>
      <c r="J133" s="7">
        <f>IF($W133="","",I133*T133/100)</f>
        <v/>
      </c>
      <c r="K133" s="11">
        <f>IF($W133="","",INDEX('Per Line'!$O$2:$O$501,$W133))</f>
        <v/>
      </c>
      <c r="L133">
        <f>IF($W133="","",Settings!$C$7)</f>
        <v/>
      </c>
      <c r="M133" s="7">
        <f>IF($W133="","",SUMIFS('Per Line'!$Y$2:$Y$501,'Per Line'!$C$2:$C$501,$B133,'Per Line'!$AD$2:$AD$501,0))</f>
        <v/>
      </c>
      <c r="N133" s="7">
        <f>IF($W133="","",M133*L133)</f>
        <v/>
      </c>
      <c r="O133">
        <f>IF($W133="","",Settings!$C$6)</f>
        <v/>
      </c>
      <c r="P133" s="7">
        <f>IF($W133="","",SUMIFS('Per Line'!$Y$2:$Y$501,'Per Line'!$C$2:$C$501,$B133,'Per Line'!$AD$2:$AD$501,1))</f>
        <v/>
      </c>
      <c r="Q133" s="7">
        <f>IF($W133="","",P133*O133)</f>
        <v/>
      </c>
      <c r="R133" s="7">
        <f>IF($W133="","",Q133+N133)</f>
        <v/>
      </c>
      <c r="S133" s="7">
        <f>IF($W133="","",T133-R133)</f>
        <v/>
      </c>
      <c r="T133" s="7">
        <f>IF($W133="","",M133+P133)</f>
        <v/>
      </c>
      <c r="U133" s="7">
        <f>IF($W133="","",T133-R133-J133)</f>
        <v/>
      </c>
      <c r="V133" s="12" t="n"/>
      <c r="W133" s="13">
        <f>IF(ROWS($W$2:$W133)&lt;=MAX('Per Line'!$AC$2:$AC$501),MATCH(ROWS($W$2:$W133),'Per Line'!$AC$2:$AC$501,0),"")</f>
        <v/>
      </c>
    </row>
    <row r="134">
      <c r="A134" s="12" t="n"/>
      <c r="B134">
        <f>IF($W134="","",INDEX('Per Line'!$C$2:$C$501,$W134)&amp;"")</f>
        <v/>
      </c>
      <c r="C134">
        <f>IF($W134="","",INDEX('Per Line'!$A$2:$A$501,$W134)&amp;"")</f>
        <v/>
      </c>
      <c r="D134">
        <f>IF($W134="","",INDEX('Per Line'!$E$2:$E$501,$W134)&amp;"")</f>
        <v/>
      </c>
      <c r="E134">
        <f>IF($W134="","",INDEX('Per Line'!$H$2:$H$501,$W134)&amp;"")</f>
        <v/>
      </c>
      <c r="F134">
        <f>IF($W134="","",INDEX('Per Line'!$K$2:$K$501,$W134)&amp;"")</f>
        <v/>
      </c>
      <c r="G134">
        <f>IF($W134="","",INDEX('Per Line'!$L$2:$L$501,$W134)&amp;"")</f>
        <v/>
      </c>
      <c r="H134" s="12" t="n"/>
      <c r="I134">
        <f>IF($W134="","",INDEX('Per Line'!$M$2:$M$501,$W134))</f>
        <v/>
      </c>
      <c r="J134" s="7">
        <f>IF($W134="","",I134*T134/100)</f>
        <v/>
      </c>
      <c r="K134" s="11">
        <f>IF($W134="","",INDEX('Per Line'!$O$2:$O$501,$W134))</f>
        <v/>
      </c>
      <c r="L134">
        <f>IF($W134="","",Settings!$C$7)</f>
        <v/>
      </c>
      <c r="M134" s="7">
        <f>IF($W134="","",SUMIFS('Per Line'!$Y$2:$Y$501,'Per Line'!$C$2:$C$501,$B134,'Per Line'!$AD$2:$AD$501,0))</f>
        <v/>
      </c>
      <c r="N134" s="7">
        <f>IF($W134="","",M134*L134)</f>
        <v/>
      </c>
      <c r="O134">
        <f>IF($W134="","",Settings!$C$6)</f>
        <v/>
      </c>
      <c r="P134" s="7">
        <f>IF($W134="","",SUMIFS('Per Line'!$Y$2:$Y$501,'Per Line'!$C$2:$C$501,$B134,'Per Line'!$AD$2:$AD$501,1))</f>
        <v/>
      </c>
      <c r="Q134" s="7">
        <f>IF($W134="","",P134*O134)</f>
        <v/>
      </c>
      <c r="R134" s="7">
        <f>IF($W134="","",Q134+N134)</f>
        <v/>
      </c>
      <c r="S134" s="7">
        <f>IF($W134="","",T134-R134)</f>
        <v/>
      </c>
      <c r="T134" s="7">
        <f>IF($W134="","",M134+P134)</f>
        <v/>
      </c>
      <c r="U134" s="7">
        <f>IF($W134="","",T134-R134-J134)</f>
        <v/>
      </c>
      <c r="V134" s="12" t="n"/>
      <c r="W134" s="13">
        <f>IF(ROWS($W$2:$W134)&lt;=MAX('Per Line'!$AC$2:$AC$501),MATCH(ROWS($W$2:$W134),'Per Line'!$AC$2:$AC$501,0),"")</f>
        <v/>
      </c>
    </row>
    <row r="135">
      <c r="A135" s="12" t="n"/>
      <c r="B135">
        <f>IF($W135="","",INDEX('Per Line'!$C$2:$C$501,$W135)&amp;"")</f>
        <v/>
      </c>
      <c r="C135">
        <f>IF($W135="","",INDEX('Per Line'!$A$2:$A$501,$W135)&amp;"")</f>
        <v/>
      </c>
      <c r="D135">
        <f>IF($W135="","",INDEX('Per Line'!$E$2:$E$501,$W135)&amp;"")</f>
        <v/>
      </c>
      <c r="E135">
        <f>IF($W135="","",INDEX('Per Line'!$H$2:$H$501,$W135)&amp;"")</f>
        <v/>
      </c>
      <c r="F135">
        <f>IF($W135="","",INDEX('Per Line'!$K$2:$K$501,$W135)&amp;"")</f>
        <v/>
      </c>
      <c r="G135">
        <f>IF($W135="","",INDEX('Per Line'!$L$2:$L$501,$W135)&amp;"")</f>
        <v/>
      </c>
      <c r="H135" s="12" t="n"/>
      <c r="I135">
        <f>IF($W135="","",INDEX('Per Line'!$M$2:$M$501,$W135))</f>
        <v/>
      </c>
      <c r="J135" s="7">
        <f>IF($W135="","",I135*T135/100)</f>
        <v/>
      </c>
      <c r="K135" s="11">
        <f>IF($W135="","",INDEX('Per Line'!$O$2:$O$501,$W135))</f>
        <v/>
      </c>
      <c r="L135">
        <f>IF($W135="","",Settings!$C$7)</f>
        <v/>
      </c>
      <c r="M135" s="7">
        <f>IF($W135="","",SUMIFS('Per Line'!$Y$2:$Y$501,'Per Line'!$C$2:$C$501,$B135,'Per Line'!$AD$2:$AD$501,0))</f>
        <v/>
      </c>
      <c r="N135" s="7">
        <f>IF($W135="","",M135*L135)</f>
        <v/>
      </c>
      <c r="O135">
        <f>IF($W135="","",Settings!$C$6)</f>
        <v/>
      </c>
      <c r="P135" s="7">
        <f>IF($W135="","",SUMIFS('Per Line'!$Y$2:$Y$501,'Per Line'!$C$2:$C$501,$B135,'Per Line'!$AD$2:$AD$501,1))</f>
        <v/>
      </c>
      <c r="Q135" s="7">
        <f>IF($W135="","",P135*O135)</f>
        <v/>
      </c>
      <c r="R135" s="7">
        <f>IF($W135="","",Q135+N135)</f>
        <v/>
      </c>
      <c r="S135" s="7">
        <f>IF($W135="","",T135-R135)</f>
        <v/>
      </c>
      <c r="T135" s="7">
        <f>IF($W135="","",M135+P135)</f>
        <v/>
      </c>
      <c r="U135" s="7">
        <f>IF($W135="","",T135-R135-J135)</f>
        <v/>
      </c>
      <c r="V135" s="12" t="n"/>
      <c r="W135" s="13">
        <f>IF(ROWS($W$2:$W135)&lt;=MAX('Per Line'!$AC$2:$AC$501),MATCH(ROWS($W$2:$W135),'Per Line'!$AC$2:$AC$501,0),"")</f>
        <v/>
      </c>
    </row>
    <row r="136">
      <c r="A136" s="12" t="n"/>
      <c r="B136">
        <f>IF($W136="","",INDEX('Per Line'!$C$2:$C$501,$W136)&amp;"")</f>
        <v/>
      </c>
      <c r="C136">
        <f>IF($W136="","",INDEX('Per Line'!$A$2:$A$501,$W136)&amp;"")</f>
        <v/>
      </c>
      <c r="D136">
        <f>IF($W136="","",INDEX('Per Line'!$E$2:$E$501,$W136)&amp;"")</f>
        <v/>
      </c>
      <c r="E136">
        <f>IF($W136="","",INDEX('Per Line'!$H$2:$H$501,$W136)&amp;"")</f>
        <v/>
      </c>
      <c r="F136">
        <f>IF($W136="","",INDEX('Per Line'!$K$2:$K$501,$W136)&amp;"")</f>
        <v/>
      </c>
      <c r="G136">
        <f>IF($W136="","",INDEX('Per Line'!$L$2:$L$501,$W136)&amp;"")</f>
        <v/>
      </c>
      <c r="H136" s="12" t="n"/>
      <c r="I136">
        <f>IF($W136="","",INDEX('Per Line'!$M$2:$M$501,$W136))</f>
        <v/>
      </c>
      <c r="J136" s="7">
        <f>IF($W136="","",I136*T136/100)</f>
        <v/>
      </c>
      <c r="K136" s="11">
        <f>IF($W136="","",INDEX('Per Line'!$O$2:$O$501,$W136))</f>
        <v/>
      </c>
      <c r="L136">
        <f>IF($W136="","",Settings!$C$7)</f>
        <v/>
      </c>
      <c r="M136" s="7">
        <f>IF($W136="","",SUMIFS('Per Line'!$Y$2:$Y$501,'Per Line'!$C$2:$C$501,$B136,'Per Line'!$AD$2:$AD$501,0))</f>
        <v/>
      </c>
      <c r="N136" s="7">
        <f>IF($W136="","",M136*L136)</f>
        <v/>
      </c>
      <c r="O136">
        <f>IF($W136="","",Settings!$C$6)</f>
        <v/>
      </c>
      <c r="P136" s="7">
        <f>IF($W136="","",SUMIFS('Per Line'!$Y$2:$Y$501,'Per Line'!$C$2:$C$501,$B136,'Per Line'!$AD$2:$AD$501,1))</f>
        <v/>
      </c>
      <c r="Q136" s="7">
        <f>IF($W136="","",P136*O136)</f>
        <v/>
      </c>
      <c r="R136" s="7">
        <f>IF($W136="","",Q136+N136)</f>
        <v/>
      </c>
      <c r="S136" s="7">
        <f>IF($W136="","",T136-R136)</f>
        <v/>
      </c>
      <c r="T136" s="7">
        <f>IF($W136="","",M136+P136)</f>
        <v/>
      </c>
      <c r="U136" s="7">
        <f>IF($W136="","",T136-R136-J136)</f>
        <v/>
      </c>
      <c r="V136" s="12" t="n"/>
      <c r="W136" s="13">
        <f>IF(ROWS($W$2:$W136)&lt;=MAX('Per Line'!$AC$2:$AC$501),MATCH(ROWS($W$2:$W136),'Per Line'!$AC$2:$AC$501,0),"")</f>
        <v/>
      </c>
    </row>
    <row r="137">
      <c r="A137" s="12" t="n"/>
      <c r="B137">
        <f>IF($W137="","",INDEX('Per Line'!$C$2:$C$501,$W137)&amp;"")</f>
        <v/>
      </c>
      <c r="C137">
        <f>IF($W137="","",INDEX('Per Line'!$A$2:$A$501,$W137)&amp;"")</f>
        <v/>
      </c>
      <c r="D137">
        <f>IF($W137="","",INDEX('Per Line'!$E$2:$E$501,$W137)&amp;"")</f>
        <v/>
      </c>
      <c r="E137">
        <f>IF($W137="","",INDEX('Per Line'!$H$2:$H$501,$W137)&amp;"")</f>
        <v/>
      </c>
      <c r="F137">
        <f>IF($W137="","",INDEX('Per Line'!$K$2:$K$501,$W137)&amp;"")</f>
        <v/>
      </c>
      <c r="G137">
        <f>IF($W137="","",INDEX('Per Line'!$L$2:$L$501,$W137)&amp;"")</f>
        <v/>
      </c>
      <c r="H137" s="12" t="n"/>
      <c r="I137">
        <f>IF($W137="","",INDEX('Per Line'!$M$2:$M$501,$W137))</f>
        <v/>
      </c>
      <c r="J137" s="7">
        <f>IF($W137="","",I137*T137/100)</f>
        <v/>
      </c>
      <c r="K137" s="11">
        <f>IF($W137="","",INDEX('Per Line'!$O$2:$O$501,$W137))</f>
        <v/>
      </c>
      <c r="L137">
        <f>IF($W137="","",Settings!$C$7)</f>
        <v/>
      </c>
      <c r="M137" s="7">
        <f>IF($W137="","",SUMIFS('Per Line'!$Y$2:$Y$501,'Per Line'!$C$2:$C$501,$B137,'Per Line'!$AD$2:$AD$501,0))</f>
        <v/>
      </c>
      <c r="N137" s="7">
        <f>IF($W137="","",M137*L137)</f>
        <v/>
      </c>
      <c r="O137">
        <f>IF($W137="","",Settings!$C$6)</f>
        <v/>
      </c>
      <c r="P137" s="7">
        <f>IF($W137="","",SUMIFS('Per Line'!$Y$2:$Y$501,'Per Line'!$C$2:$C$501,$B137,'Per Line'!$AD$2:$AD$501,1))</f>
        <v/>
      </c>
      <c r="Q137" s="7">
        <f>IF($W137="","",P137*O137)</f>
        <v/>
      </c>
      <c r="R137" s="7">
        <f>IF($W137="","",Q137+N137)</f>
        <v/>
      </c>
      <c r="S137" s="7">
        <f>IF($W137="","",T137-R137)</f>
        <v/>
      </c>
      <c r="T137" s="7">
        <f>IF($W137="","",M137+P137)</f>
        <v/>
      </c>
      <c r="U137" s="7">
        <f>IF($W137="","",T137-R137-J137)</f>
        <v/>
      </c>
      <c r="V137" s="12" t="n"/>
      <c r="W137" s="13">
        <f>IF(ROWS($W$2:$W137)&lt;=MAX('Per Line'!$AC$2:$AC$501),MATCH(ROWS($W$2:$W137),'Per Line'!$AC$2:$AC$501,0),"")</f>
        <v/>
      </c>
    </row>
    <row r="138">
      <c r="A138" s="12" t="n"/>
      <c r="B138">
        <f>IF($W138="","",INDEX('Per Line'!$C$2:$C$501,$W138)&amp;"")</f>
        <v/>
      </c>
      <c r="C138">
        <f>IF($W138="","",INDEX('Per Line'!$A$2:$A$501,$W138)&amp;"")</f>
        <v/>
      </c>
      <c r="D138">
        <f>IF($W138="","",INDEX('Per Line'!$E$2:$E$501,$W138)&amp;"")</f>
        <v/>
      </c>
      <c r="E138">
        <f>IF($W138="","",INDEX('Per Line'!$H$2:$H$501,$W138)&amp;"")</f>
        <v/>
      </c>
      <c r="F138">
        <f>IF($W138="","",INDEX('Per Line'!$K$2:$K$501,$W138)&amp;"")</f>
        <v/>
      </c>
      <c r="G138">
        <f>IF($W138="","",INDEX('Per Line'!$L$2:$L$501,$W138)&amp;"")</f>
        <v/>
      </c>
      <c r="H138" s="12" t="n"/>
      <c r="I138">
        <f>IF($W138="","",INDEX('Per Line'!$M$2:$M$501,$W138))</f>
        <v/>
      </c>
      <c r="J138" s="7">
        <f>IF($W138="","",I138*T138/100)</f>
        <v/>
      </c>
      <c r="K138" s="11">
        <f>IF($W138="","",INDEX('Per Line'!$O$2:$O$501,$W138))</f>
        <v/>
      </c>
      <c r="L138">
        <f>IF($W138="","",Settings!$C$7)</f>
        <v/>
      </c>
      <c r="M138" s="7">
        <f>IF($W138="","",SUMIFS('Per Line'!$Y$2:$Y$501,'Per Line'!$C$2:$C$501,$B138,'Per Line'!$AD$2:$AD$501,0))</f>
        <v/>
      </c>
      <c r="N138" s="7">
        <f>IF($W138="","",M138*L138)</f>
        <v/>
      </c>
      <c r="O138">
        <f>IF($W138="","",Settings!$C$6)</f>
        <v/>
      </c>
      <c r="P138" s="7">
        <f>IF($W138="","",SUMIFS('Per Line'!$Y$2:$Y$501,'Per Line'!$C$2:$C$501,$B138,'Per Line'!$AD$2:$AD$501,1))</f>
        <v/>
      </c>
      <c r="Q138" s="7">
        <f>IF($W138="","",P138*O138)</f>
        <v/>
      </c>
      <c r="R138" s="7">
        <f>IF($W138="","",Q138+N138)</f>
        <v/>
      </c>
      <c r="S138" s="7">
        <f>IF($W138="","",T138-R138)</f>
        <v/>
      </c>
      <c r="T138" s="7">
        <f>IF($W138="","",M138+P138)</f>
        <v/>
      </c>
      <c r="U138" s="7">
        <f>IF($W138="","",T138-R138-J138)</f>
        <v/>
      </c>
      <c r="V138" s="12" t="n"/>
      <c r="W138" s="13">
        <f>IF(ROWS($W$2:$W138)&lt;=MAX('Per Line'!$AC$2:$AC$501),MATCH(ROWS($W$2:$W138),'Per Line'!$AC$2:$AC$501,0),"")</f>
        <v/>
      </c>
    </row>
    <row r="139">
      <c r="A139" s="12" t="n"/>
      <c r="B139">
        <f>IF($W139="","",INDEX('Per Line'!$C$2:$C$501,$W139)&amp;"")</f>
        <v/>
      </c>
      <c r="C139">
        <f>IF($W139="","",INDEX('Per Line'!$A$2:$A$501,$W139)&amp;"")</f>
        <v/>
      </c>
      <c r="D139">
        <f>IF($W139="","",INDEX('Per Line'!$E$2:$E$501,$W139)&amp;"")</f>
        <v/>
      </c>
      <c r="E139">
        <f>IF($W139="","",INDEX('Per Line'!$H$2:$H$501,$W139)&amp;"")</f>
        <v/>
      </c>
      <c r="F139">
        <f>IF($W139="","",INDEX('Per Line'!$K$2:$K$501,$W139)&amp;"")</f>
        <v/>
      </c>
      <c r="G139">
        <f>IF($W139="","",INDEX('Per Line'!$L$2:$L$501,$W139)&amp;"")</f>
        <v/>
      </c>
      <c r="H139" s="12" t="n"/>
      <c r="I139">
        <f>IF($W139="","",INDEX('Per Line'!$M$2:$M$501,$W139))</f>
        <v/>
      </c>
      <c r="J139" s="7">
        <f>IF($W139="","",I139*T139/100)</f>
        <v/>
      </c>
      <c r="K139" s="11">
        <f>IF($W139="","",INDEX('Per Line'!$O$2:$O$501,$W139))</f>
        <v/>
      </c>
      <c r="L139">
        <f>IF($W139="","",Settings!$C$7)</f>
        <v/>
      </c>
      <c r="M139" s="7">
        <f>IF($W139="","",SUMIFS('Per Line'!$Y$2:$Y$501,'Per Line'!$C$2:$C$501,$B139,'Per Line'!$AD$2:$AD$501,0))</f>
        <v/>
      </c>
      <c r="N139" s="7">
        <f>IF($W139="","",M139*L139)</f>
        <v/>
      </c>
      <c r="O139">
        <f>IF($W139="","",Settings!$C$6)</f>
        <v/>
      </c>
      <c r="P139" s="7">
        <f>IF($W139="","",SUMIFS('Per Line'!$Y$2:$Y$501,'Per Line'!$C$2:$C$501,$B139,'Per Line'!$AD$2:$AD$501,1))</f>
        <v/>
      </c>
      <c r="Q139" s="7">
        <f>IF($W139="","",P139*O139)</f>
        <v/>
      </c>
      <c r="R139" s="7">
        <f>IF($W139="","",Q139+N139)</f>
        <v/>
      </c>
      <c r="S139" s="7">
        <f>IF($W139="","",T139-R139)</f>
        <v/>
      </c>
      <c r="T139" s="7">
        <f>IF($W139="","",M139+P139)</f>
        <v/>
      </c>
      <c r="U139" s="7">
        <f>IF($W139="","",T139-R139-J139)</f>
        <v/>
      </c>
      <c r="V139" s="12" t="n"/>
      <c r="W139" s="13">
        <f>IF(ROWS($W$2:$W139)&lt;=MAX('Per Line'!$AC$2:$AC$501),MATCH(ROWS($W$2:$W139),'Per Line'!$AC$2:$AC$501,0),"")</f>
        <v/>
      </c>
    </row>
    <row r="140">
      <c r="A140" s="12" t="n"/>
      <c r="B140">
        <f>IF($W140="","",INDEX('Per Line'!$C$2:$C$501,$W140)&amp;"")</f>
        <v/>
      </c>
      <c r="C140">
        <f>IF($W140="","",INDEX('Per Line'!$A$2:$A$501,$W140)&amp;"")</f>
        <v/>
      </c>
      <c r="D140">
        <f>IF($W140="","",INDEX('Per Line'!$E$2:$E$501,$W140)&amp;"")</f>
        <v/>
      </c>
      <c r="E140">
        <f>IF($W140="","",INDEX('Per Line'!$H$2:$H$501,$W140)&amp;"")</f>
        <v/>
      </c>
      <c r="F140">
        <f>IF($W140="","",INDEX('Per Line'!$K$2:$K$501,$W140)&amp;"")</f>
        <v/>
      </c>
      <c r="G140">
        <f>IF($W140="","",INDEX('Per Line'!$L$2:$L$501,$W140)&amp;"")</f>
        <v/>
      </c>
      <c r="H140" s="12" t="n"/>
      <c r="I140">
        <f>IF($W140="","",INDEX('Per Line'!$M$2:$M$501,$W140))</f>
        <v/>
      </c>
      <c r="J140" s="7">
        <f>IF($W140="","",I140*T140/100)</f>
        <v/>
      </c>
      <c r="K140" s="11">
        <f>IF($W140="","",INDEX('Per Line'!$O$2:$O$501,$W140))</f>
        <v/>
      </c>
      <c r="L140">
        <f>IF($W140="","",Settings!$C$7)</f>
        <v/>
      </c>
      <c r="M140" s="7">
        <f>IF($W140="","",SUMIFS('Per Line'!$Y$2:$Y$501,'Per Line'!$C$2:$C$501,$B140,'Per Line'!$AD$2:$AD$501,0))</f>
        <v/>
      </c>
      <c r="N140" s="7">
        <f>IF($W140="","",M140*L140)</f>
        <v/>
      </c>
      <c r="O140">
        <f>IF($W140="","",Settings!$C$6)</f>
        <v/>
      </c>
      <c r="P140" s="7">
        <f>IF($W140="","",SUMIFS('Per Line'!$Y$2:$Y$501,'Per Line'!$C$2:$C$501,$B140,'Per Line'!$AD$2:$AD$501,1))</f>
        <v/>
      </c>
      <c r="Q140" s="7">
        <f>IF($W140="","",P140*O140)</f>
        <v/>
      </c>
      <c r="R140" s="7">
        <f>IF($W140="","",Q140+N140)</f>
        <v/>
      </c>
      <c r="S140" s="7">
        <f>IF($W140="","",T140-R140)</f>
        <v/>
      </c>
      <c r="T140" s="7">
        <f>IF($W140="","",M140+P140)</f>
        <v/>
      </c>
      <c r="U140" s="7">
        <f>IF($W140="","",T140-R140-J140)</f>
        <v/>
      </c>
      <c r="V140" s="12" t="n"/>
      <c r="W140" s="13">
        <f>IF(ROWS($W$2:$W140)&lt;=MAX('Per Line'!$AC$2:$AC$501),MATCH(ROWS($W$2:$W140),'Per Line'!$AC$2:$AC$501,0),"")</f>
        <v/>
      </c>
    </row>
    <row r="141">
      <c r="A141" s="12" t="n"/>
      <c r="B141">
        <f>IF($W141="","",INDEX('Per Line'!$C$2:$C$501,$W141)&amp;"")</f>
        <v/>
      </c>
      <c r="C141">
        <f>IF($W141="","",INDEX('Per Line'!$A$2:$A$501,$W141)&amp;"")</f>
        <v/>
      </c>
      <c r="D141">
        <f>IF($W141="","",INDEX('Per Line'!$E$2:$E$501,$W141)&amp;"")</f>
        <v/>
      </c>
      <c r="E141">
        <f>IF($W141="","",INDEX('Per Line'!$H$2:$H$501,$W141)&amp;"")</f>
        <v/>
      </c>
      <c r="F141">
        <f>IF($W141="","",INDEX('Per Line'!$K$2:$K$501,$W141)&amp;"")</f>
        <v/>
      </c>
      <c r="G141">
        <f>IF($W141="","",INDEX('Per Line'!$L$2:$L$501,$W141)&amp;"")</f>
        <v/>
      </c>
      <c r="H141" s="12" t="n"/>
      <c r="I141">
        <f>IF($W141="","",INDEX('Per Line'!$M$2:$M$501,$W141))</f>
        <v/>
      </c>
      <c r="J141" s="7">
        <f>IF($W141="","",I141*T141/100)</f>
        <v/>
      </c>
      <c r="K141" s="11">
        <f>IF($W141="","",INDEX('Per Line'!$O$2:$O$501,$W141))</f>
        <v/>
      </c>
      <c r="L141">
        <f>IF($W141="","",Settings!$C$7)</f>
        <v/>
      </c>
      <c r="M141" s="7">
        <f>IF($W141="","",SUMIFS('Per Line'!$Y$2:$Y$501,'Per Line'!$C$2:$C$501,$B141,'Per Line'!$AD$2:$AD$501,0))</f>
        <v/>
      </c>
      <c r="N141" s="7">
        <f>IF($W141="","",M141*L141)</f>
        <v/>
      </c>
      <c r="O141">
        <f>IF($W141="","",Settings!$C$6)</f>
        <v/>
      </c>
      <c r="P141" s="7">
        <f>IF($W141="","",SUMIFS('Per Line'!$Y$2:$Y$501,'Per Line'!$C$2:$C$501,$B141,'Per Line'!$AD$2:$AD$501,1))</f>
        <v/>
      </c>
      <c r="Q141" s="7">
        <f>IF($W141="","",P141*O141)</f>
        <v/>
      </c>
      <c r="R141" s="7">
        <f>IF($W141="","",Q141+N141)</f>
        <v/>
      </c>
      <c r="S141" s="7">
        <f>IF($W141="","",T141-R141)</f>
        <v/>
      </c>
      <c r="T141" s="7">
        <f>IF($W141="","",M141+P141)</f>
        <v/>
      </c>
      <c r="U141" s="7">
        <f>IF($W141="","",T141-R141-J141)</f>
        <v/>
      </c>
      <c r="V141" s="12" t="n"/>
      <c r="W141" s="13">
        <f>IF(ROWS($W$2:$W141)&lt;=MAX('Per Line'!$AC$2:$AC$501),MATCH(ROWS($W$2:$W141),'Per Line'!$AC$2:$AC$501,0),"")</f>
        <v/>
      </c>
    </row>
    <row r="142">
      <c r="A142" s="12" t="n"/>
      <c r="B142">
        <f>IF($W142="","",INDEX('Per Line'!$C$2:$C$501,$W142)&amp;"")</f>
        <v/>
      </c>
      <c r="C142">
        <f>IF($W142="","",INDEX('Per Line'!$A$2:$A$501,$W142)&amp;"")</f>
        <v/>
      </c>
      <c r="D142">
        <f>IF($W142="","",INDEX('Per Line'!$E$2:$E$501,$W142)&amp;"")</f>
        <v/>
      </c>
      <c r="E142">
        <f>IF($W142="","",INDEX('Per Line'!$H$2:$H$501,$W142)&amp;"")</f>
        <v/>
      </c>
      <c r="F142">
        <f>IF($W142="","",INDEX('Per Line'!$K$2:$K$501,$W142)&amp;"")</f>
        <v/>
      </c>
      <c r="G142">
        <f>IF($W142="","",INDEX('Per Line'!$L$2:$L$501,$W142)&amp;"")</f>
        <v/>
      </c>
      <c r="H142" s="12" t="n"/>
      <c r="I142">
        <f>IF($W142="","",INDEX('Per Line'!$M$2:$M$501,$W142))</f>
        <v/>
      </c>
      <c r="J142" s="7">
        <f>IF($W142="","",I142*T142/100)</f>
        <v/>
      </c>
      <c r="K142" s="11">
        <f>IF($W142="","",INDEX('Per Line'!$O$2:$O$501,$W142))</f>
        <v/>
      </c>
      <c r="L142">
        <f>IF($W142="","",Settings!$C$7)</f>
        <v/>
      </c>
      <c r="M142" s="7">
        <f>IF($W142="","",SUMIFS('Per Line'!$Y$2:$Y$501,'Per Line'!$C$2:$C$501,$B142,'Per Line'!$AD$2:$AD$501,0))</f>
        <v/>
      </c>
      <c r="N142" s="7">
        <f>IF($W142="","",M142*L142)</f>
        <v/>
      </c>
      <c r="O142">
        <f>IF($W142="","",Settings!$C$6)</f>
        <v/>
      </c>
      <c r="P142" s="7">
        <f>IF($W142="","",SUMIFS('Per Line'!$Y$2:$Y$501,'Per Line'!$C$2:$C$501,$B142,'Per Line'!$AD$2:$AD$501,1))</f>
        <v/>
      </c>
      <c r="Q142" s="7">
        <f>IF($W142="","",P142*O142)</f>
        <v/>
      </c>
      <c r="R142" s="7">
        <f>IF($W142="","",Q142+N142)</f>
        <v/>
      </c>
      <c r="S142" s="7">
        <f>IF($W142="","",T142-R142)</f>
        <v/>
      </c>
      <c r="T142" s="7">
        <f>IF($W142="","",M142+P142)</f>
        <v/>
      </c>
      <c r="U142" s="7">
        <f>IF($W142="","",T142-R142-J142)</f>
        <v/>
      </c>
      <c r="V142" s="12" t="n"/>
      <c r="W142" s="13">
        <f>IF(ROWS($W$2:$W142)&lt;=MAX('Per Line'!$AC$2:$AC$501),MATCH(ROWS($W$2:$W142),'Per Line'!$AC$2:$AC$501,0),"")</f>
        <v/>
      </c>
    </row>
    <row r="143">
      <c r="A143" s="12" t="n"/>
      <c r="B143">
        <f>IF($W143="","",INDEX('Per Line'!$C$2:$C$501,$W143)&amp;"")</f>
        <v/>
      </c>
      <c r="C143">
        <f>IF($W143="","",INDEX('Per Line'!$A$2:$A$501,$W143)&amp;"")</f>
        <v/>
      </c>
      <c r="D143">
        <f>IF($W143="","",INDEX('Per Line'!$E$2:$E$501,$W143)&amp;"")</f>
        <v/>
      </c>
      <c r="E143">
        <f>IF($W143="","",INDEX('Per Line'!$H$2:$H$501,$W143)&amp;"")</f>
        <v/>
      </c>
      <c r="F143">
        <f>IF($W143="","",INDEX('Per Line'!$K$2:$K$501,$W143)&amp;"")</f>
        <v/>
      </c>
      <c r="G143">
        <f>IF($W143="","",INDEX('Per Line'!$L$2:$L$501,$W143)&amp;"")</f>
        <v/>
      </c>
      <c r="H143" s="12" t="n"/>
      <c r="I143">
        <f>IF($W143="","",INDEX('Per Line'!$M$2:$M$501,$W143))</f>
        <v/>
      </c>
      <c r="J143" s="7">
        <f>IF($W143="","",I143*T143/100)</f>
        <v/>
      </c>
      <c r="K143" s="11">
        <f>IF($W143="","",INDEX('Per Line'!$O$2:$O$501,$W143))</f>
        <v/>
      </c>
      <c r="L143">
        <f>IF($W143="","",Settings!$C$7)</f>
        <v/>
      </c>
      <c r="M143" s="7">
        <f>IF($W143="","",SUMIFS('Per Line'!$Y$2:$Y$501,'Per Line'!$C$2:$C$501,$B143,'Per Line'!$AD$2:$AD$501,0))</f>
        <v/>
      </c>
      <c r="N143" s="7">
        <f>IF($W143="","",M143*L143)</f>
        <v/>
      </c>
      <c r="O143">
        <f>IF($W143="","",Settings!$C$6)</f>
        <v/>
      </c>
      <c r="P143" s="7">
        <f>IF($W143="","",SUMIFS('Per Line'!$Y$2:$Y$501,'Per Line'!$C$2:$C$501,$B143,'Per Line'!$AD$2:$AD$501,1))</f>
        <v/>
      </c>
      <c r="Q143" s="7">
        <f>IF($W143="","",P143*O143)</f>
        <v/>
      </c>
      <c r="R143" s="7">
        <f>IF($W143="","",Q143+N143)</f>
        <v/>
      </c>
      <c r="S143" s="7">
        <f>IF($W143="","",T143-R143)</f>
        <v/>
      </c>
      <c r="T143" s="7">
        <f>IF($W143="","",M143+P143)</f>
        <v/>
      </c>
      <c r="U143" s="7">
        <f>IF($W143="","",T143-R143-J143)</f>
        <v/>
      </c>
      <c r="V143" s="12" t="n"/>
      <c r="W143" s="13">
        <f>IF(ROWS($W$2:$W143)&lt;=MAX('Per Line'!$AC$2:$AC$501),MATCH(ROWS($W$2:$W143),'Per Line'!$AC$2:$AC$501,0),"")</f>
        <v/>
      </c>
    </row>
    <row r="144">
      <c r="A144" s="12" t="n"/>
      <c r="B144">
        <f>IF($W144="","",INDEX('Per Line'!$C$2:$C$501,$W144)&amp;"")</f>
        <v/>
      </c>
      <c r="C144">
        <f>IF($W144="","",INDEX('Per Line'!$A$2:$A$501,$W144)&amp;"")</f>
        <v/>
      </c>
      <c r="D144">
        <f>IF($W144="","",INDEX('Per Line'!$E$2:$E$501,$W144)&amp;"")</f>
        <v/>
      </c>
      <c r="E144">
        <f>IF($W144="","",INDEX('Per Line'!$H$2:$H$501,$W144)&amp;"")</f>
        <v/>
      </c>
      <c r="F144">
        <f>IF($W144="","",INDEX('Per Line'!$K$2:$K$501,$W144)&amp;"")</f>
        <v/>
      </c>
      <c r="G144">
        <f>IF($W144="","",INDEX('Per Line'!$L$2:$L$501,$W144)&amp;"")</f>
        <v/>
      </c>
      <c r="H144" s="12" t="n"/>
      <c r="I144">
        <f>IF($W144="","",INDEX('Per Line'!$M$2:$M$501,$W144))</f>
        <v/>
      </c>
      <c r="J144" s="7">
        <f>IF($W144="","",I144*T144/100)</f>
        <v/>
      </c>
      <c r="K144" s="11">
        <f>IF($W144="","",INDEX('Per Line'!$O$2:$O$501,$W144))</f>
        <v/>
      </c>
      <c r="L144">
        <f>IF($W144="","",Settings!$C$7)</f>
        <v/>
      </c>
      <c r="M144" s="7">
        <f>IF($W144="","",SUMIFS('Per Line'!$Y$2:$Y$501,'Per Line'!$C$2:$C$501,$B144,'Per Line'!$AD$2:$AD$501,0))</f>
        <v/>
      </c>
      <c r="N144" s="7">
        <f>IF($W144="","",M144*L144)</f>
        <v/>
      </c>
      <c r="O144">
        <f>IF($W144="","",Settings!$C$6)</f>
        <v/>
      </c>
      <c r="P144" s="7">
        <f>IF($W144="","",SUMIFS('Per Line'!$Y$2:$Y$501,'Per Line'!$C$2:$C$501,$B144,'Per Line'!$AD$2:$AD$501,1))</f>
        <v/>
      </c>
      <c r="Q144" s="7">
        <f>IF($W144="","",P144*O144)</f>
        <v/>
      </c>
      <c r="R144" s="7">
        <f>IF($W144="","",Q144+N144)</f>
        <v/>
      </c>
      <c r="S144" s="7">
        <f>IF($W144="","",T144-R144)</f>
        <v/>
      </c>
      <c r="T144" s="7">
        <f>IF($W144="","",M144+P144)</f>
        <v/>
      </c>
      <c r="U144" s="7">
        <f>IF($W144="","",T144-R144-J144)</f>
        <v/>
      </c>
      <c r="V144" s="12" t="n"/>
      <c r="W144" s="13">
        <f>IF(ROWS($W$2:$W144)&lt;=MAX('Per Line'!$AC$2:$AC$501),MATCH(ROWS($W$2:$W144),'Per Line'!$AC$2:$AC$501,0),"")</f>
        <v/>
      </c>
    </row>
    <row r="145">
      <c r="A145" s="12" t="n"/>
      <c r="B145">
        <f>IF($W145="","",INDEX('Per Line'!$C$2:$C$501,$W145)&amp;"")</f>
        <v/>
      </c>
      <c r="C145">
        <f>IF($W145="","",INDEX('Per Line'!$A$2:$A$501,$W145)&amp;"")</f>
        <v/>
      </c>
      <c r="D145">
        <f>IF($W145="","",INDEX('Per Line'!$E$2:$E$501,$W145)&amp;"")</f>
        <v/>
      </c>
      <c r="E145">
        <f>IF($W145="","",INDEX('Per Line'!$H$2:$H$501,$W145)&amp;"")</f>
        <v/>
      </c>
      <c r="F145">
        <f>IF($W145="","",INDEX('Per Line'!$K$2:$K$501,$W145)&amp;"")</f>
        <v/>
      </c>
      <c r="G145">
        <f>IF($W145="","",INDEX('Per Line'!$L$2:$L$501,$W145)&amp;"")</f>
        <v/>
      </c>
      <c r="H145" s="12" t="n"/>
      <c r="I145">
        <f>IF($W145="","",INDEX('Per Line'!$M$2:$M$501,$W145))</f>
        <v/>
      </c>
      <c r="J145" s="7">
        <f>IF($W145="","",I145*T145/100)</f>
        <v/>
      </c>
      <c r="K145" s="11">
        <f>IF($W145="","",INDEX('Per Line'!$O$2:$O$501,$W145))</f>
        <v/>
      </c>
      <c r="L145">
        <f>IF($W145="","",Settings!$C$7)</f>
        <v/>
      </c>
      <c r="M145" s="7">
        <f>IF($W145="","",SUMIFS('Per Line'!$Y$2:$Y$501,'Per Line'!$C$2:$C$501,$B145,'Per Line'!$AD$2:$AD$501,0))</f>
        <v/>
      </c>
      <c r="N145" s="7">
        <f>IF($W145="","",M145*L145)</f>
        <v/>
      </c>
      <c r="O145">
        <f>IF($W145="","",Settings!$C$6)</f>
        <v/>
      </c>
      <c r="P145" s="7">
        <f>IF($W145="","",SUMIFS('Per Line'!$Y$2:$Y$501,'Per Line'!$C$2:$C$501,$B145,'Per Line'!$AD$2:$AD$501,1))</f>
        <v/>
      </c>
      <c r="Q145" s="7">
        <f>IF($W145="","",P145*O145)</f>
        <v/>
      </c>
      <c r="R145" s="7">
        <f>IF($W145="","",Q145+N145)</f>
        <v/>
      </c>
      <c r="S145" s="7">
        <f>IF($W145="","",T145-R145)</f>
        <v/>
      </c>
      <c r="T145" s="7">
        <f>IF($W145="","",M145+P145)</f>
        <v/>
      </c>
      <c r="U145" s="7">
        <f>IF($W145="","",T145-R145-J145)</f>
        <v/>
      </c>
      <c r="V145" s="12" t="n"/>
      <c r="W145" s="13">
        <f>IF(ROWS($W$2:$W145)&lt;=MAX('Per Line'!$AC$2:$AC$501),MATCH(ROWS($W$2:$W145),'Per Line'!$AC$2:$AC$501,0),"")</f>
        <v/>
      </c>
    </row>
    <row r="146">
      <c r="A146" s="12" t="n"/>
      <c r="B146">
        <f>IF($W146="","",INDEX('Per Line'!$C$2:$C$501,$W146)&amp;"")</f>
        <v/>
      </c>
      <c r="C146">
        <f>IF($W146="","",INDEX('Per Line'!$A$2:$A$501,$W146)&amp;"")</f>
        <v/>
      </c>
      <c r="D146">
        <f>IF($W146="","",INDEX('Per Line'!$E$2:$E$501,$W146)&amp;"")</f>
        <v/>
      </c>
      <c r="E146">
        <f>IF($W146="","",INDEX('Per Line'!$H$2:$H$501,$W146)&amp;"")</f>
        <v/>
      </c>
      <c r="F146">
        <f>IF($W146="","",INDEX('Per Line'!$K$2:$K$501,$W146)&amp;"")</f>
        <v/>
      </c>
      <c r="G146">
        <f>IF($W146="","",INDEX('Per Line'!$L$2:$L$501,$W146)&amp;"")</f>
        <v/>
      </c>
      <c r="H146" s="12" t="n"/>
      <c r="I146">
        <f>IF($W146="","",INDEX('Per Line'!$M$2:$M$501,$W146))</f>
        <v/>
      </c>
      <c r="J146" s="7">
        <f>IF($W146="","",I146*T146/100)</f>
        <v/>
      </c>
      <c r="K146" s="11">
        <f>IF($W146="","",INDEX('Per Line'!$O$2:$O$501,$W146))</f>
        <v/>
      </c>
      <c r="L146">
        <f>IF($W146="","",Settings!$C$7)</f>
        <v/>
      </c>
      <c r="M146" s="7">
        <f>IF($W146="","",SUMIFS('Per Line'!$Y$2:$Y$501,'Per Line'!$C$2:$C$501,$B146,'Per Line'!$AD$2:$AD$501,0))</f>
        <v/>
      </c>
      <c r="N146" s="7">
        <f>IF($W146="","",M146*L146)</f>
        <v/>
      </c>
      <c r="O146">
        <f>IF($W146="","",Settings!$C$6)</f>
        <v/>
      </c>
      <c r="P146" s="7">
        <f>IF($W146="","",SUMIFS('Per Line'!$Y$2:$Y$501,'Per Line'!$C$2:$C$501,$B146,'Per Line'!$AD$2:$AD$501,1))</f>
        <v/>
      </c>
      <c r="Q146" s="7">
        <f>IF($W146="","",P146*O146)</f>
        <v/>
      </c>
      <c r="R146" s="7">
        <f>IF($W146="","",Q146+N146)</f>
        <v/>
      </c>
      <c r="S146" s="7">
        <f>IF($W146="","",T146-R146)</f>
        <v/>
      </c>
      <c r="T146" s="7">
        <f>IF($W146="","",M146+P146)</f>
        <v/>
      </c>
      <c r="U146" s="7">
        <f>IF($W146="","",T146-R146-J146)</f>
        <v/>
      </c>
      <c r="V146" s="12" t="n"/>
      <c r="W146" s="13">
        <f>IF(ROWS($W$2:$W146)&lt;=MAX('Per Line'!$AC$2:$AC$501),MATCH(ROWS($W$2:$W146),'Per Line'!$AC$2:$AC$501,0),"")</f>
        <v/>
      </c>
    </row>
    <row r="147">
      <c r="A147" s="12" t="n"/>
      <c r="B147">
        <f>IF($W147="","",INDEX('Per Line'!$C$2:$C$501,$W147)&amp;"")</f>
        <v/>
      </c>
      <c r="C147">
        <f>IF($W147="","",INDEX('Per Line'!$A$2:$A$501,$W147)&amp;"")</f>
        <v/>
      </c>
      <c r="D147">
        <f>IF($W147="","",INDEX('Per Line'!$E$2:$E$501,$W147)&amp;"")</f>
        <v/>
      </c>
      <c r="E147">
        <f>IF($W147="","",INDEX('Per Line'!$H$2:$H$501,$W147)&amp;"")</f>
        <v/>
      </c>
      <c r="F147">
        <f>IF($W147="","",INDEX('Per Line'!$K$2:$K$501,$W147)&amp;"")</f>
        <v/>
      </c>
      <c r="G147">
        <f>IF($W147="","",INDEX('Per Line'!$L$2:$L$501,$W147)&amp;"")</f>
        <v/>
      </c>
      <c r="H147" s="12" t="n"/>
      <c r="I147">
        <f>IF($W147="","",INDEX('Per Line'!$M$2:$M$501,$W147))</f>
        <v/>
      </c>
      <c r="J147" s="7">
        <f>IF($W147="","",I147*T147/100)</f>
        <v/>
      </c>
      <c r="K147" s="11">
        <f>IF($W147="","",INDEX('Per Line'!$O$2:$O$501,$W147))</f>
        <v/>
      </c>
      <c r="L147">
        <f>IF($W147="","",Settings!$C$7)</f>
        <v/>
      </c>
      <c r="M147" s="7">
        <f>IF($W147="","",SUMIFS('Per Line'!$Y$2:$Y$501,'Per Line'!$C$2:$C$501,$B147,'Per Line'!$AD$2:$AD$501,0))</f>
        <v/>
      </c>
      <c r="N147" s="7">
        <f>IF($W147="","",M147*L147)</f>
        <v/>
      </c>
      <c r="O147">
        <f>IF($W147="","",Settings!$C$6)</f>
        <v/>
      </c>
      <c r="P147" s="7">
        <f>IF($W147="","",SUMIFS('Per Line'!$Y$2:$Y$501,'Per Line'!$C$2:$C$501,$B147,'Per Line'!$AD$2:$AD$501,1))</f>
        <v/>
      </c>
      <c r="Q147" s="7">
        <f>IF($W147="","",P147*O147)</f>
        <v/>
      </c>
      <c r="R147" s="7">
        <f>IF($W147="","",Q147+N147)</f>
        <v/>
      </c>
      <c r="S147" s="7">
        <f>IF($W147="","",T147-R147)</f>
        <v/>
      </c>
      <c r="T147" s="7">
        <f>IF($W147="","",M147+P147)</f>
        <v/>
      </c>
      <c r="U147" s="7">
        <f>IF($W147="","",T147-R147-J147)</f>
        <v/>
      </c>
      <c r="V147" s="12" t="n"/>
      <c r="W147" s="13">
        <f>IF(ROWS($W$2:$W147)&lt;=MAX('Per Line'!$AC$2:$AC$501),MATCH(ROWS($W$2:$W147),'Per Line'!$AC$2:$AC$501,0),"")</f>
        <v/>
      </c>
    </row>
    <row r="148">
      <c r="A148" s="12" t="n"/>
      <c r="B148">
        <f>IF($W148="","",INDEX('Per Line'!$C$2:$C$501,$W148)&amp;"")</f>
        <v/>
      </c>
      <c r="C148">
        <f>IF($W148="","",INDEX('Per Line'!$A$2:$A$501,$W148)&amp;"")</f>
        <v/>
      </c>
      <c r="D148">
        <f>IF($W148="","",INDEX('Per Line'!$E$2:$E$501,$W148)&amp;"")</f>
        <v/>
      </c>
      <c r="E148">
        <f>IF($W148="","",INDEX('Per Line'!$H$2:$H$501,$W148)&amp;"")</f>
        <v/>
      </c>
      <c r="F148">
        <f>IF($W148="","",INDEX('Per Line'!$K$2:$K$501,$W148)&amp;"")</f>
        <v/>
      </c>
      <c r="G148">
        <f>IF($W148="","",INDEX('Per Line'!$L$2:$L$501,$W148)&amp;"")</f>
        <v/>
      </c>
      <c r="H148" s="12" t="n"/>
      <c r="I148">
        <f>IF($W148="","",INDEX('Per Line'!$M$2:$M$501,$W148))</f>
        <v/>
      </c>
      <c r="J148" s="7">
        <f>IF($W148="","",I148*T148/100)</f>
        <v/>
      </c>
      <c r="K148" s="11">
        <f>IF($W148="","",INDEX('Per Line'!$O$2:$O$501,$W148))</f>
        <v/>
      </c>
      <c r="L148">
        <f>IF($W148="","",Settings!$C$7)</f>
        <v/>
      </c>
      <c r="M148" s="7">
        <f>IF($W148="","",SUMIFS('Per Line'!$Y$2:$Y$501,'Per Line'!$C$2:$C$501,$B148,'Per Line'!$AD$2:$AD$501,0))</f>
        <v/>
      </c>
      <c r="N148" s="7">
        <f>IF($W148="","",M148*L148)</f>
        <v/>
      </c>
      <c r="O148">
        <f>IF($W148="","",Settings!$C$6)</f>
        <v/>
      </c>
      <c r="P148" s="7">
        <f>IF($W148="","",SUMIFS('Per Line'!$Y$2:$Y$501,'Per Line'!$C$2:$C$501,$B148,'Per Line'!$AD$2:$AD$501,1))</f>
        <v/>
      </c>
      <c r="Q148" s="7">
        <f>IF($W148="","",P148*O148)</f>
        <v/>
      </c>
      <c r="R148" s="7">
        <f>IF($W148="","",Q148+N148)</f>
        <v/>
      </c>
      <c r="S148" s="7">
        <f>IF($W148="","",T148-R148)</f>
        <v/>
      </c>
      <c r="T148" s="7">
        <f>IF($W148="","",M148+P148)</f>
        <v/>
      </c>
      <c r="U148" s="7">
        <f>IF($W148="","",T148-R148-J148)</f>
        <v/>
      </c>
      <c r="V148" s="12" t="n"/>
      <c r="W148" s="13">
        <f>IF(ROWS($W$2:$W148)&lt;=MAX('Per Line'!$AC$2:$AC$501),MATCH(ROWS($W$2:$W148),'Per Line'!$AC$2:$AC$501,0),"")</f>
        <v/>
      </c>
    </row>
    <row r="149">
      <c r="A149" s="12" t="n"/>
      <c r="B149">
        <f>IF($W149="","",INDEX('Per Line'!$C$2:$C$501,$W149)&amp;"")</f>
        <v/>
      </c>
      <c r="C149">
        <f>IF($W149="","",INDEX('Per Line'!$A$2:$A$501,$W149)&amp;"")</f>
        <v/>
      </c>
      <c r="D149">
        <f>IF($W149="","",INDEX('Per Line'!$E$2:$E$501,$W149)&amp;"")</f>
        <v/>
      </c>
      <c r="E149">
        <f>IF($W149="","",INDEX('Per Line'!$H$2:$H$501,$W149)&amp;"")</f>
        <v/>
      </c>
      <c r="F149">
        <f>IF($W149="","",INDEX('Per Line'!$K$2:$K$501,$W149)&amp;"")</f>
        <v/>
      </c>
      <c r="G149">
        <f>IF($W149="","",INDEX('Per Line'!$L$2:$L$501,$W149)&amp;"")</f>
        <v/>
      </c>
      <c r="H149" s="12" t="n"/>
      <c r="I149">
        <f>IF($W149="","",INDEX('Per Line'!$M$2:$M$501,$W149))</f>
        <v/>
      </c>
      <c r="J149" s="7">
        <f>IF($W149="","",I149*T149/100)</f>
        <v/>
      </c>
      <c r="K149" s="11">
        <f>IF($W149="","",INDEX('Per Line'!$O$2:$O$501,$W149))</f>
        <v/>
      </c>
      <c r="L149">
        <f>IF($W149="","",Settings!$C$7)</f>
        <v/>
      </c>
      <c r="M149" s="7">
        <f>IF($W149="","",SUMIFS('Per Line'!$Y$2:$Y$501,'Per Line'!$C$2:$C$501,$B149,'Per Line'!$AD$2:$AD$501,0))</f>
        <v/>
      </c>
      <c r="N149" s="7">
        <f>IF($W149="","",M149*L149)</f>
        <v/>
      </c>
      <c r="O149">
        <f>IF($W149="","",Settings!$C$6)</f>
        <v/>
      </c>
      <c r="P149" s="7">
        <f>IF($W149="","",SUMIFS('Per Line'!$Y$2:$Y$501,'Per Line'!$C$2:$C$501,$B149,'Per Line'!$AD$2:$AD$501,1))</f>
        <v/>
      </c>
      <c r="Q149" s="7">
        <f>IF($W149="","",P149*O149)</f>
        <v/>
      </c>
      <c r="R149" s="7">
        <f>IF($W149="","",Q149+N149)</f>
        <v/>
      </c>
      <c r="S149" s="7">
        <f>IF($W149="","",T149-R149)</f>
        <v/>
      </c>
      <c r="T149" s="7">
        <f>IF($W149="","",M149+P149)</f>
        <v/>
      </c>
      <c r="U149" s="7">
        <f>IF($W149="","",T149-R149-J149)</f>
        <v/>
      </c>
      <c r="V149" s="12" t="n"/>
      <c r="W149" s="13">
        <f>IF(ROWS($W$2:$W149)&lt;=MAX('Per Line'!$AC$2:$AC$501),MATCH(ROWS($W$2:$W149),'Per Line'!$AC$2:$AC$501,0),"")</f>
        <v/>
      </c>
    </row>
    <row r="150">
      <c r="A150" s="12" t="n"/>
      <c r="B150">
        <f>IF($W150="","",INDEX('Per Line'!$C$2:$C$501,$W150)&amp;"")</f>
        <v/>
      </c>
      <c r="C150">
        <f>IF($W150="","",INDEX('Per Line'!$A$2:$A$501,$W150)&amp;"")</f>
        <v/>
      </c>
      <c r="D150">
        <f>IF($W150="","",INDEX('Per Line'!$E$2:$E$501,$W150)&amp;"")</f>
        <v/>
      </c>
      <c r="E150">
        <f>IF($W150="","",INDEX('Per Line'!$H$2:$H$501,$W150)&amp;"")</f>
        <v/>
      </c>
      <c r="F150">
        <f>IF($W150="","",INDEX('Per Line'!$K$2:$K$501,$W150)&amp;"")</f>
        <v/>
      </c>
      <c r="G150">
        <f>IF($W150="","",INDEX('Per Line'!$L$2:$L$501,$W150)&amp;"")</f>
        <v/>
      </c>
      <c r="H150" s="12" t="n"/>
      <c r="I150">
        <f>IF($W150="","",INDEX('Per Line'!$M$2:$M$501,$W150))</f>
        <v/>
      </c>
      <c r="J150" s="7">
        <f>IF($W150="","",I150*T150/100)</f>
        <v/>
      </c>
      <c r="K150" s="11">
        <f>IF($W150="","",INDEX('Per Line'!$O$2:$O$501,$W150))</f>
        <v/>
      </c>
      <c r="L150">
        <f>IF($W150="","",Settings!$C$7)</f>
        <v/>
      </c>
      <c r="M150" s="7">
        <f>IF($W150="","",SUMIFS('Per Line'!$Y$2:$Y$501,'Per Line'!$C$2:$C$501,$B150,'Per Line'!$AD$2:$AD$501,0))</f>
        <v/>
      </c>
      <c r="N150" s="7">
        <f>IF($W150="","",M150*L150)</f>
        <v/>
      </c>
      <c r="O150">
        <f>IF($W150="","",Settings!$C$6)</f>
        <v/>
      </c>
      <c r="P150" s="7">
        <f>IF($W150="","",SUMIFS('Per Line'!$Y$2:$Y$501,'Per Line'!$C$2:$C$501,$B150,'Per Line'!$AD$2:$AD$501,1))</f>
        <v/>
      </c>
      <c r="Q150" s="7">
        <f>IF($W150="","",P150*O150)</f>
        <v/>
      </c>
      <c r="R150" s="7">
        <f>IF($W150="","",Q150+N150)</f>
        <v/>
      </c>
      <c r="S150" s="7">
        <f>IF($W150="","",T150-R150)</f>
        <v/>
      </c>
      <c r="T150" s="7">
        <f>IF($W150="","",M150+P150)</f>
        <v/>
      </c>
      <c r="U150" s="7">
        <f>IF($W150="","",T150-R150-J150)</f>
        <v/>
      </c>
      <c r="V150" s="12" t="n"/>
      <c r="W150" s="13">
        <f>IF(ROWS($W$2:$W150)&lt;=MAX('Per Line'!$AC$2:$AC$501),MATCH(ROWS($W$2:$W150),'Per Line'!$AC$2:$AC$501,0),"")</f>
        <v/>
      </c>
    </row>
    <row r="151">
      <c r="A151" s="12" t="n"/>
      <c r="B151">
        <f>IF($W151="","",INDEX('Per Line'!$C$2:$C$501,$W151)&amp;"")</f>
        <v/>
      </c>
      <c r="C151">
        <f>IF($W151="","",INDEX('Per Line'!$A$2:$A$501,$W151)&amp;"")</f>
        <v/>
      </c>
      <c r="D151">
        <f>IF($W151="","",INDEX('Per Line'!$E$2:$E$501,$W151)&amp;"")</f>
        <v/>
      </c>
      <c r="E151">
        <f>IF($W151="","",INDEX('Per Line'!$H$2:$H$501,$W151)&amp;"")</f>
        <v/>
      </c>
      <c r="F151">
        <f>IF($W151="","",INDEX('Per Line'!$K$2:$K$501,$W151)&amp;"")</f>
        <v/>
      </c>
      <c r="G151">
        <f>IF($W151="","",INDEX('Per Line'!$L$2:$L$501,$W151)&amp;"")</f>
        <v/>
      </c>
      <c r="H151" s="12" t="n"/>
      <c r="I151">
        <f>IF($W151="","",INDEX('Per Line'!$M$2:$M$501,$W151))</f>
        <v/>
      </c>
      <c r="J151" s="7">
        <f>IF($W151="","",I151*T151/100)</f>
        <v/>
      </c>
      <c r="K151" s="11">
        <f>IF($W151="","",INDEX('Per Line'!$O$2:$O$501,$W151))</f>
        <v/>
      </c>
      <c r="L151">
        <f>IF($W151="","",Settings!$C$7)</f>
        <v/>
      </c>
      <c r="M151" s="7">
        <f>IF($W151="","",SUMIFS('Per Line'!$Y$2:$Y$501,'Per Line'!$C$2:$C$501,$B151,'Per Line'!$AD$2:$AD$501,0))</f>
        <v/>
      </c>
      <c r="N151" s="7">
        <f>IF($W151="","",M151*L151)</f>
        <v/>
      </c>
      <c r="O151">
        <f>IF($W151="","",Settings!$C$6)</f>
        <v/>
      </c>
      <c r="P151" s="7">
        <f>IF($W151="","",SUMIFS('Per Line'!$Y$2:$Y$501,'Per Line'!$C$2:$C$501,$B151,'Per Line'!$AD$2:$AD$501,1))</f>
        <v/>
      </c>
      <c r="Q151" s="7">
        <f>IF($W151="","",P151*O151)</f>
        <v/>
      </c>
      <c r="R151" s="7">
        <f>IF($W151="","",Q151+N151)</f>
        <v/>
      </c>
      <c r="S151" s="7">
        <f>IF($W151="","",T151-R151)</f>
        <v/>
      </c>
      <c r="T151" s="7">
        <f>IF($W151="","",M151+P151)</f>
        <v/>
      </c>
      <c r="U151" s="7">
        <f>IF($W151="","",T151-R151-J151)</f>
        <v/>
      </c>
      <c r="V151" s="12" t="n"/>
      <c r="W151" s="13">
        <f>IF(ROWS($W$2:$W151)&lt;=MAX('Per Line'!$AC$2:$AC$501),MATCH(ROWS($W$2:$W151),'Per Line'!$AC$2:$AC$501,0),"")</f>
        <v/>
      </c>
    </row>
    <row r="152">
      <c r="A152" s="12" t="n"/>
      <c r="B152">
        <f>IF($W152="","",INDEX('Per Line'!$C$2:$C$501,$W152)&amp;"")</f>
        <v/>
      </c>
      <c r="C152">
        <f>IF($W152="","",INDEX('Per Line'!$A$2:$A$501,$W152)&amp;"")</f>
        <v/>
      </c>
      <c r="D152">
        <f>IF($W152="","",INDEX('Per Line'!$E$2:$E$501,$W152)&amp;"")</f>
        <v/>
      </c>
      <c r="E152">
        <f>IF($W152="","",INDEX('Per Line'!$H$2:$H$501,$W152)&amp;"")</f>
        <v/>
      </c>
      <c r="F152">
        <f>IF($W152="","",INDEX('Per Line'!$K$2:$K$501,$W152)&amp;"")</f>
        <v/>
      </c>
      <c r="G152">
        <f>IF($W152="","",INDEX('Per Line'!$L$2:$L$501,$W152)&amp;"")</f>
        <v/>
      </c>
      <c r="H152" s="12" t="n"/>
      <c r="I152">
        <f>IF($W152="","",INDEX('Per Line'!$M$2:$M$501,$W152))</f>
        <v/>
      </c>
      <c r="J152" s="7">
        <f>IF($W152="","",I152*T152/100)</f>
        <v/>
      </c>
      <c r="K152" s="11">
        <f>IF($W152="","",INDEX('Per Line'!$O$2:$O$501,$W152))</f>
        <v/>
      </c>
      <c r="L152">
        <f>IF($W152="","",Settings!$C$7)</f>
        <v/>
      </c>
      <c r="M152" s="7">
        <f>IF($W152="","",SUMIFS('Per Line'!$Y$2:$Y$501,'Per Line'!$C$2:$C$501,$B152,'Per Line'!$AD$2:$AD$501,0))</f>
        <v/>
      </c>
      <c r="N152" s="7">
        <f>IF($W152="","",M152*L152)</f>
        <v/>
      </c>
      <c r="O152">
        <f>IF($W152="","",Settings!$C$6)</f>
        <v/>
      </c>
      <c r="P152" s="7">
        <f>IF($W152="","",SUMIFS('Per Line'!$Y$2:$Y$501,'Per Line'!$C$2:$C$501,$B152,'Per Line'!$AD$2:$AD$501,1))</f>
        <v/>
      </c>
      <c r="Q152" s="7">
        <f>IF($W152="","",P152*O152)</f>
        <v/>
      </c>
      <c r="R152" s="7">
        <f>IF($W152="","",Q152+N152)</f>
        <v/>
      </c>
      <c r="S152" s="7">
        <f>IF($W152="","",T152-R152)</f>
        <v/>
      </c>
      <c r="T152" s="7">
        <f>IF($W152="","",M152+P152)</f>
        <v/>
      </c>
      <c r="U152" s="7">
        <f>IF($W152="","",T152-R152-J152)</f>
        <v/>
      </c>
      <c r="V152" s="12" t="n"/>
      <c r="W152" s="13">
        <f>IF(ROWS($W$2:$W152)&lt;=MAX('Per Line'!$AC$2:$AC$501),MATCH(ROWS($W$2:$W152),'Per Line'!$AC$2:$AC$501,0),"")</f>
        <v/>
      </c>
    </row>
    <row r="153">
      <c r="A153" s="12" t="n"/>
      <c r="B153">
        <f>IF($W153="","",INDEX('Per Line'!$C$2:$C$501,$W153)&amp;"")</f>
        <v/>
      </c>
      <c r="C153">
        <f>IF($W153="","",INDEX('Per Line'!$A$2:$A$501,$W153)&amp;"")</f>
        <v/>
      </c>
      <c r="D153">
        <f>IF($W153="","",INDEX('Per Line'!$E$2:$E$501,$W153)&amp;"")</f>
        <v/>
      </c>
      <c r="E153">
        <f>IF($W153="","",INDEX('Per Line'!$H$2:$H$501,$W153)&amp;"")</f>
        <v/>
      </c>
      <c r="F153">
        <f>IF($W153="","",INDEX('Per Line'!$K$2:$K$501,$W153)&amp;"")</f>
        <v/>
      </c>
      <c r="G153">
        <f>IF($W153="","",INDEX('Per Line'!$L$2:$L$501,$W153)&amp;"")</f>
        <v/>
      </c>
      <c r="H153" s="12" t="n"/>
      <c r="I153">
        <f>IF($W153="","",INDEX('Per Line'!$M$2:$M$501,$W153))</f>
        <v/>
      </c>
      <c r="J153" s="7">
        <f>IF($W153="","",I153*T153/100)</f>
        <v/>
      </c>
      <c r="K153" s="11">
        <f>IF($W153="","",INDEX('Per Line'!$O$2:$O$501,$W153))</f>
        <v/>
      </c>
      <c r="L153">
        <f>IF($W153="","",Settings!$C$7)</f>
        <v/>
      </c>
      <c r="M153" s="7">
        <f>IF($W153="","",SUMIFS('Per Line'!$Y$2:$Y$501,'Per Line'!$C$2:$C$501,$B153,'Per Line'!$AD$2:$AD$501,0))</f>
        <v/>
      </c>
      <c r="N153" s="7">
        <f>IF($W153="","",M153*L153)</f>
        <v/>
      </c>
      <c r="O153">
        <f>IF($W153="","",Settings!$C$6)</f>
        <v/>
      </c>
      <c r="P153" s="7">
        <f>IF($W153="","",SUMIFS('Per Line'!$Y$2:$Y$501,'Per Line'!$C$2:$C$501,$B153,'Per Line'!$AD$2:$AD$501,1))</f>
        <v/>
      </c>
      <c r="Q153" s="7">
        <f>IF($W153="","",P153*O153)</f>
        <v/>
      </c>
      <c r="R153" s="7">
        <f>IF($W153="","",Q153+N153)</f>
        <v/>
      </c>
      <c r="S153" s="7">
        <f>IF($W153="","",T153-R153)</f>
        <v/>
      </c>
      <c r="T153" s="7">
        <f>IF($W153="","",M153+P153)</f>
        <v/>
      </c>
      <c r="U153" s="7">
        <f>IF($W153="","",T153-R153-J153)</f>
        <v/>
      </c>
      <c r="V153" s="12" t="n"/>
      <c r="W153" s="13">
        <f>IF(ROWS($W$2:$W153)&lt;=MAX('Per Line'!$AC$2:$AC$501),MATCH(ROWS($W$2:$W153),'Per Line'!$AC$2:$AC$501,0),"")</f>
        <v/>
      </c>
    </row>
    <row r="154">
      <c r="A154" s="12" t="n"/>
      <c r="B154">
        <f>IF($W154="","",INDEX('Per Line'!$C$2:$C$501,$W154)&amp;"")</f>
        <v/>
      </c>
      <c r="C154">
        <f>IF($W154="","",INDEX('Per Line'!$A$2:$A$501,$W154)&amp;"")</f>
        <v/>
      </c>
      <c r="D154">
        <f>IF($W154="","",INDEX('Per Line'!$E$2:$E$501,$W154)&amp;"")</f>
        <v/>
      </c>
      <c r="E154">
        <f>IF($W154="","",INDEX('Per Line'!$H$2:$H$501,$W154)&amp;"")</f>
        <v/>
      </c>
      <c r="F154">
        <f>IF($W154="","",INDEX('Per Line'!$K$2:$K$501,$W154)&amp;"")</f>
        <v/>
      </c>
      <c r="G154">
        <f>IF($W154="","",INDEX('Per Line'!$L$2:$L$501,$W154)&amp;"")</f>
        <v/>
      </c>
      <c r="H154" s="12" t="n"/>
      <c r="I154">
        <f>IF($W154="","",INDEX('Per Line'!$M$2:$M$501,$W154))</f>
        <v/>
      </c>
      <c r="J154" s="7">
        <f>IF($W154="","",I154*T154/100)</f>
        <v/>
      </c>
      <c r="K154" s="11">
        <f>IF($W154="","",INDEX('Per Line'!$O$2:$O$501,$W154))</f>
        <v/>
      </c>
      <c r="L154">
        <f>IF($W154="","",Settings!$C$7)</f>
        <v/>
      </c>
      <c r="M154" s="7">
        <f>IF($W154="","",SUMIFS('Per Line'!$Y$2:$Y$501,'Per Line'!$C$2:$C$501,$B154,'Per Line'!$AD$2:$AD$501,0))</f>
        <v/>
      </c>
      <c r="N154" s="7">
        <f>IF($W154="","",M154*L154)</f>
        <v/>
      </c>
      <c r="O154">
        <f>IF($W154="","",Settings!$C$6)</f>
        <v/>
      </c>
      <c r="P154" s="7">
        <f>IF($W154="","",SUMIFS('Per Line'!$Y$2:$Y$501,'Per Line'!$C$2:$C$501,$B154,'Per Line'!$AD$2:$AD$501,1))</f>
        <v/>
      </c>
      <c r="Q154" s="7">
        <f>IF($W154="","",P154*O154)</f>
        <v/>
      </c>
      <c r="R154" s="7">
        <f>IF($W154="","",Q154+N154)</f>
        <v/>
      </c>
      <c r="S154" s="7">
        <f>IF($W154="","",T154-R154)</f>
        <v/>
      </c>
      <c r="T154" s="7">
        <f>IF($W154="","",M154+P154)</f>
        <v/>
      </c>
      <c r="U154" s="7">
        <f>IF($W154="","",T154-R154-J154)</f>
        <v/>
      </c>
      <c r="V154" s="12" t="n"/>
      <c r="W154" s="13">
        <f>IF(ROWS($W$2:$W154)&lt;=MAX('Per Line'!$AC$2:$AC$501),MATCH(ROWS($W$2:$W154),'Per Line'!$AC$2:$AC$501,0),"")</f>
        <v/>
      </c>
    </row>
    <row r="155">
      <c r="A155" s="12" t="n"/>
      <c r="B155">
        <f>IF($W155="","",INDEX('Per Line'!$C$2:$C$501,$W155)&amp;"")</f>
        <v/>
      </c>
      <c r="C155">
        <f>IF($W155="","",INDEX('Per Line'!$A$2:$A$501,$W155)&amp;"")</f>
        <v/>
      </c>
      <c r="D155">
        <f>IF($W155="","",INDEX('Per Line'!$E$2:$E$501,$W155)&amp;"")</f>
        <v/>
      </c>
      <c r="E155">
        <f>IF($W155="","",INDEX('Per Line'!$H$2:$H$501,$W155)&amp;"")</f>
        <v/>
      </c>
      <c r="F155">
        <f>IF($W155="","",INDEX('Per Line'!$K$2:$K$501,$W155)&amp;"")</f>
        <v/>
      </c>
      <c r="G155">
        <f>IF($W155="","",INDEX('Per Line'!$L$2:$L$501,$W155)&amp;"")</f>
        <v/>
      </c>
      <c r="H155" s="12" t="n"/>
      <c r="I155">
        <f>IF($W155="","",INDEX('Per Line'!$M$2:$M$501,$W155))</f>
        <v/>
      </c>
      <c r="J155" s="7">
        <f>IF($W155="","",I155*T155/100)</f>
        <v/>
      </c>
      <c r="K155" s="11">
        <f>IF($W155="","",INDEX('Per Line'!$O$2:$O$501,$W155))</f>
        <v/>
      </c>
      <c r="L155">
        <f>IF($W155="","",Settings!$C$7)</f>
        <v/>
      </c>
      <c r="M155" s="7">
        <f>IF($W155="","",SUMIFS('Per Line'!$Y$2:$Y$501,'Per Line'!$C$2:$C$501,$B155,'Per Line'!$AD$2:$AD$501,0))</f>
        <v/>
      </c>
      <c r="N155" s="7">
        <f>IF($W155="","",M155*L155)</f>
        <v/>
      </c>
      <c r="O155">
        <f>IF($W155="","",Settings!$C$6)</f>
        <v/>
      </c>
      <c r="P155" s="7">
        <f>IF($W155="","",SUMIFS('Per Line'!$Y$2:$Y$501,'Per Line'!$C$2:$C$501,$B155,'Per Line'!$AD$2:$AD$501,1))</f>
        <v/>
      </c>
      <c r="Q155" s="7">
        <f>IF($W155="","",P155*O155)</f>
        <v/>
      </c>
      <c r="R155" s="7">
        <f>IF($W155="","",Q155+N155)</f>
        <v/>
      </c>
      <c r="S155" s="7">
        <f>IF($W155="","",T155-R155)</f>
        <v/>
      </c>
      <c r="T155" s="7">
        <f>IF($W155="","",M155+P155)</f>
        <v/>
      </c>
      <c r="U155" s="7">
        <f>IF($W155="","",T155-R155-J155)</f>
        <v/>
      </c>
      <c r="V155" s="12" t="n"/>
      <c r="W155" s="13">
        <f>IF(ROWS($W$2:$W155)&lt;=MAX('Per Line'!$AC$2:$AC$501),MATCH(ROWS($W$2:$W155),'Per Line'!$AC$2:$AC$501,0),"")</f>
        <v/>
      </c>
    </row>
    <row r="156">
      <c r="A156" s="12" t="n"/>
      <c r="B156">
        <f>IF($W156="","",INDEX('Per Line'!$C$2:$C$501,$W156)&amp;"")</f>
        <v/>
      </c>
      <c r="C156">
        <f>IF($W156="","",INDEX('Per Line'!$A$2:$A$501,$W156)&amp;"")</f>
        <v/>
      </c>
      <c r="D156">
        <f>IF($W156="","",INDEX('Per Line'!$E$2:$E$501,$W156)&amp;"")</f>
        <v/>
      </c>
      <c r="E156">
        <f>IF($W156="","",INDEX('Per Line'!$H$2:$H$501,$W156)&amp;"")</f>
        <v/>
      </c>
      <c r="F156">
        <f>IF($W156="","",INDEX('Per Line'!$K$2:$K$501,$W156)&amp;"")</f>
        <v/>
      </c>
      <c r="G156">
        <f>IF($W156="","",INDEX('Per Line'!$L$2:$L$501,$W156)&amp;"")</f>
        <v/>
      </c>
      <c r="H156" s="12" t="n"/>
      <c r="I156">
        <f>IF($W156="","",INDEX('Per Line'!$M$2:$M$501,$W156))</f>
        <v/>
      </c>
      <c r="J156" s="7">
        <f>IF($W156="","",I156*T156/100)</f>
        <v/>
      </c>
      <c r="K156" s="11">
        <f>IF($W156="","",INDEX('Per Line'!$O$2:$O$501,$W156))</f>
        <v/>
      </c>
      <c r="L156">
        <f>IF($W156="","",Settings!$C$7)</f>
        <v/>
      </c>
      <c r="M156" s="7">
        <f>IF($W156="","",SUMIFS('Per Line'!$Y$2:$Y$501,'Per Line'!$C$2:$C$501,$B156,'Per Line'!$AD$2:$AD$501,0))</f>
        <v/>
      </c>
      <c r="N156" s="7">
        <f>IF($W156="","",M156*L156)</f>
        <v/>
      </c>
      <c r="O156">
        <f>IF($W156="","",Settings!$C$6)</f>
        <v/>
      </c>
      <c r="P156" s="7">
        <f>IF($W156="","",SUMIFS('Per Line'!$Y$2:$Y$501,'Per Line'!$C$2:$C$501,$B156,'Per Line'!$AD$2:$AD$501,1))</f>
        <v/>
      </c>
      <c r="Q156" s="7">
        <f>IF($W156="","",P156*O156)</f>
        <v/>
      </c>
      <c r="R156" s="7">
        <f>IF($W156="","",Q156+N156)</f>
        <v/>
      </c>
      <c r="S156" s="7">
        <f>IF($W156="","",T156-R156)</f>
        <v/>
      </c>
      <c r="T156" s="7">
        <f>IF($W156="","",M156+P156)</f>
        <v/>
      </c>
      <c r="U156" s="7">
        <f>IF($W156="","",T156-R156-J156)</f>
        <v/>
      </c>
      <c r="V156" s="12" t="n"/>
      <c r="W156" s="13">
        <f>IF(ROWS($W$2:$W156)&lt;=MAX('Per Line'!$AC$2:$AC$501),MATCH(ROWS($W$2:$W156),'Per Line'!$AC$2:$AC$501,0),"")</f>
        <v/>
      </c>
    </row>
    <row r="157">
      <c r="A157" s="12" t="n"/>
      <c r="B157">
        <f>IF($W157="","",INDEX('Per Line'!$C$2:$C$501,$W157)&amp;"")</f>
        <v/>
      </c>
      <c r="C157">
        <f>IF($W157="","",INDEX('Per Line'!$A$2:$A$501,$W157)&amp;"")</f>
        <v/>
      </c>
      <c r="D157">
        <f>IF($W157="","",INDEX('Per Line'!$E$2:$E$501,$W157)&amp;"")</f>
        <v/>
      </c>
      <c r="E157">
        <f>IF($W157="","",INDEX('Per Line'!$H$2:$H$501,$W157)&amp;"")</f>
        <v/>
      </c>
      <c r="F157">
        <f>IF($W157="","",INDEX('Per Line'!$K$2:$K$501,$W157)&amp;"")</f>
        <v/>
      </c>
      <c r="G157">
        <f>IF($W157="","",INDEX('Per Line'!$L$2:$L$501,$W157)&amp;"")</f>
        <v/>
      </c>
      <c r="H157" s="12" t="n"/>
      <c r="I157">
        <f>IF($W157="","",INDEX('Per Line'!$M$2:$M$501,$W157))</f>
        <v/>
      </c>
      <c r="J157" s="7">
        <f>IF($W157="","",I157*T157/100)</f>
        <v/>
      </c>
      <c r="K157" s="11">
        <f>IF($W157="","",INDEX('Per Line'!$O$2:$O$501,$W157))</f>
        <v/>
      </c>
      <c r="L157">
        <f>IF($W157="","",Settings!$C$7)</f>
        <v/>
      </c>
      <c r="M157" s="7">
        <f>IF($W157="","",SUMIFS('Per Line'!$Y$2:$Y$501,'Per Line'!$C$2:$C$501,$B157,'Per Line'!$AD$2:$AD$501,0))</f>
        <v/>
      </c>
      <c r="N157" s="7">
        <f>IF($W157="","",M157*L157)</f>
        <v/>
      </c>
      <c r="O157">
        <f>IF($W157="","",Settings!$C$6)</f>
        <v/>
      </c>
      <c r="P157" s="7">
        <f>IF($W157="","",SUMIFS('Per Line'!$Y$2:$Y$501,'Per Line'!$C$2:$C$501,$B157,'Per Line'!$AD$2:$AD$501,1))</f>
        <v/>
      </c>
      <c r="Q157" s="7">
        <f>IF($W157="","",P157*O157)</f>
        <v/>
      </c>
      <c r="R157" s="7">
        <f>IF($W157="","",Q157+N157)</f>
        <v/>
      </c>
      <c r="S157" s="7">
        <f>IF($W157="","",T157-R157)</f>
        <v/>
      </c>
      <c r="T157" s="7">
        <f>IF($W157="","",M157+P157)</f>
        <v/>
      </c>
      <c r="U157" s="7">
        <f>IF($W157="","",T157-R157-J157)</f>
        <v/>
      </c>
      <c r="V157" s="12" t="n"/>
      <c r="W157" s="13">
        <f>IF(ROWS($W$2:$W157)&lt;=MAX('Per Line'!$AC$2:$AC$501),MATCH(ROWS($W$2:$W157),'Per Line'!$AC$2:$AC$501,0),"")</f>
        <v/>
      </c>
    </row>
    <row r="158">
      <c r="A158" s="12" t="n"/>
      <c r="B158">
        <f>IF($W158="","",INDEX('Per Line'!$C$2:$C$501,$W158)&amp;"")</f>
        <v/>
      </c>
      <c r="C158">
        <f>IF($W158="","",INDEX('Per Line'!$A$2:$A$501,$W158)&amp;"")</f>
        <v/>
      </c>
      <c r="D158">
        <f>IF($W158="","",INDEX('Per Line'!$E$2:$E$501,$W158)&amp;"")</f>
        <v/>
      </c>
      <c r="E158">
        <f>IF($W158="","",INDEX('Per Line'!$H$2:$H$501,$W158)&amp;"")</f>
        <v/>
      </c>
      <c r="F158">
        <f>IF($W158="","",INDEX('Per Line'!$K$2:$K$501,$W158)&amp;"")</f>
        <v/>
      </c>
      <c r="G158">
        <f>IF($W158="","",INDEX('Per Line'!$L$2:$L$501,$W158)&amp;"")</f>
        <v/>
      </c>
      <c r="H158" s="12" t="n"/>
      <c r="I158">
        <f>IF($W158="","",INDEX('Per Line'!$M$2:$M$501,$W158))</f>
        <v/>
      </c>
      <c r="J158" s="7">
        <f>IF($W158="","",I158*T158/100)</f>
        <v/>
      </c>
      <c r="K158" s="11">
        <f>IF($W158="","",INDEX('Per Line'!$O$2:$O$501,$W158))</f>
        <v/>
      </c>
      <c r="L158">
        <f>IF($W158="","",Settings!$C$7)</f>
        <v/>
      </c>
      <c r="M158" s="7">
        <f>IF($W158="","",SUMIFS('Per Line'!$Y$2:$Y$501,'Per Line'!$C$2:$C$501,$B158,'Per Line'!$AD$2:$AD$501,0))</f>
        <v/>
      </c>
      <c r="N158" s="7">
        <f>IF($W158="","",M158*L158)</f>
        <v/>
      </c>
      <c r="O158">
        <f>IF($W158="","",Settings!$C$6)</f>
        <v/>
      </c>
      <c r="P158" s="7">
        <f>IF($W158="","",SUMIFS('Per Line'!$Y$2:$Y$501,'Per Line'!$C$2:$C$501,$B158,'Per Line'!$AD$2:$AD$501,1))</f>
        <v/>
      </c>
      <c r="Q158" s="7">
        <f>IF($W158="","",P158*O158)</f>
        <v/>
      </c>
      <c r="R158" s="7">
        <f>IF($W158="","",Q158+N158)</f>
        <v/>
      </c>
      <c r="S158" s="7">
        <f>IF($W158="","",T158-R158)</f>
        <v/>
      </c>
      <c r="T158" s="7">
        <f>IF($W158="","",M158+P158)</f>
        <v/>
      </c>
      <c r="U158" s="7">
        <f>IF($W158="","",T158-R158-J158)</f>
        <v/>
      </c>
      <c r="V158" s="12" t="n"/>
      <c r="W158" s="13">
        <f>IF(ROWS($W$2:$W158)&lt;=MAX('Per Line'!$AC$2:$AC$501),MATCH(ROWS($W$2:$W158),'Per Line'!$AC$2:$AC$501,0),"")</f>
        <v/>
      </c>
    </row>
    <row r="159">
      <c r="A159" s="12" t="n"/>
      <c r="B159">
        <f>IF($W159="","",INDEX('Per Line'!$C$2:$C$501,$W159)&amp;"")</f>
        <v/>
      </c>
      <c r="C159">
        <f>IF($W159="","",INDEX('Per Line'!$A$2:$A$501,$W159)&amp;"")</f>
        <v/>
      </c>
      <c r="D159">
        <f>IF($W159="","",INDEX('Per Line'!$E$2:$E$501,$W159)&amp;"")</f>
        <v/>
      </c>
      <c r="E159">
        <f>IF($W159="","",INDEX('Per Line'!$H$2:$H$501,$W159)&amp;"")</f>
        <v/>
      </c>
      <c r="F159">
        <f>IF($W159="","",INDEX('Per Line'!$K$2:$K$501,$W159)&amp;"")</f>
        <v/>
      </c>
      <c r="G159">
        <f>IF($W159="","",INDEX('Per Line'!$L$2:$L$501,$W159)&amp;"")</f>
        <v/>
      </c>
      <c r="H159" s="12" t="n"/>
      <c r="I159">
        <f>IF($W159="","",INDEX('Per Line'!$M$2:$M$501,$W159))</f>
        <v/>
      </c>
      <c r="J159" s="7">
        <f>IF($W159="","",I159*T159/100)</f>
        <v/>
      </c>
      <c r="K159" s="11">
        <f>IF($W159="","",INDEX('Per Line'!$O$2:$O$501,$W159))</f>
        <v/>
      </c>
      <c r="L159">
        <f>IF($W159="","",Settings!$C$7)</f>
        <v/>
      </c>
      <c r="M159" s="7">
        <f>IF($W159="","",SUMIFS('Per Line'!$Y$2:$Y$501,'Per Line'!$C$2:$C$501,$B159,'Per Line'!$AD$2:$AD$501,0))</f>
        <v/>
      </c>
      <c r="N159" s="7">
        <f>IF($W159="","",M159*L159)</f>
        <v/>
      </c>
      <c r="O159">
        <f>IF($W159="","",Settings!$C$6)</f>
        <v/>
      </c>
      <c r="P159" s="7">
        <f>IF($W159="","",SUMIFS('Per Line'!$Y$2:$Y$501,'Per Line'!$C$2:$C$501,$B159,'Per Line'!$AD$2:$AD$501,1))</f>
        <v/>
      </c>
      <c r="Q159" s="7">
        <f>IF($W159="","",P159*O159)</f>
        <v/>
      </c>
      <c r="R159" s="7">
        <f>IF($W159="","",Q159+N159)</f>
        <v/>
      </c>
      <c r="S159" s="7">
        <f>IF($W159="","",T159-R159)</f>
        <v/>
      </c>
      <c r="T159" s="7">
        <f>IF($W159="","",M159+P159)</f>
        <v/>
      </c>
      <c r="U159" s="7">
        <f>IF($W159="","",T159-R159-J159)</f>
        <v/>
      </c>
      <c r="V159" s="12" t="n"/>
      <c r="W159" s="13">
        <f>IF(ROWS($W$2:$W159)&lt;=MAX('Per Line'!$AC$2:$AC$501),MATCH(ROWS($W$2:$W159),'Per Line'!$AC$2:$AC$501,0),"")</f>
        <v/>
      </c>
    </row>
    <row r="160">
      <c r="A160" s="12" t="n"/>
      <c r="B160">
        <f>IF($W160="","",INDEX('Per Line'!$C$2:$C$501,$W160)&amp;"")</f>
        <v/>
      </c>
      <c r="C160">
        <f>IF($W160="","",INDEX('Per Line'!$A$2:$A$501,$W160)&amp;"")</f>
        <v/>
      </c>
      <c r="D160">
        <f>IF($W160="","",INDEX('Per Line'!$E$2:$E$501,$W160)&amp;"")</f>
        <v/>
      </c>
      <c r="E160">
        <f>IF($W160="","",INDEX('Per Line'!$H$2:$H$501,$W160)&amp;"")</f>
        <v/>
      </c>
      <c r="F160">
        <f>IF($W160="","",INDEX('Per Line'!$K$2:$K$501,$W160)&amp;"")</f>
        <v/>
      </c>
      <c r="G160">
        <f>IF($W160="","",INDEX('Per Line'!$L$2:$L$501,$W160)&amp;"")</f>
        <v/>
      </c>
      <c r="H160" s="12" t="n"/>
      <c r="I160">
        <f>IF($W160="","",INDEX('Per Line'!$M$2:$M$501,$W160))</f>
        <v/>
      </c>
      <c r="J160" s="7">
        <f>IF($W160="","",I160*T160/100)</f>
        <v/>
      </c>
      <c r="K160" s="11">
        <f>IF($W160="","",INDEX('Per Line'!$O$2:$O$501,$W160))</f>
        <v/>
      </c>
      <c r="L160">
        <f>IF($W160="","",Settings!$C$7)</f>
        <v/>
      </c>
      <c r="M160" s="7">
        <f>IF($W160="","",SUMIFS('Per Line'!$Y$2:$Y$501,'Per Line'!$C$2:$C$501,$B160,'Per Line'!$AD$2:$AD$501,0))</f>
        <v/>
      </c>
      <c r="N160" s="7">
        <f>IF($W160="","",M160*L160)</f>
        <v/>
      </c>
      <c r="O160">
        <f>IF($W160="","",Settings!$C$6)</f>
        <v/>
      </c>
      <c r="P160" s="7">
        <f>IF($W160="","",SUMIFS('Per Line'!$Y$2:$Y$501,'Per Line'!$C$2:$C$501,$B160,'Per Line'!$AD$2:$AD$501,1))</f>
        <v/>
      </c>
      <c r="Q160" s="7">
        <f>IF($W160="","",P160*O160)</f>
        <v/>
      </c>
      <c r="R160" s="7">
        <f>IF($W160="","",Q160+N160)</f>
        <v/>
      </c>
      <c r="S160" s="7">
        <f>IF($W160="","",T160-R160)</f>
        <v/>
      </c>
      <c r="T160" s="7">
        <f>IF($W160="","",M160+P160)</f>
        <v/>
      </c>
      <c r="U160" s="7">
        <f>IF($W160="","",T160-R160-J160)</f>
        <v/>
      </c>
      <c r="V160" s="12" t="n"/>
      <c r="W160" s="13">
        <f>IF(ROWS($W$2:$W160)&lt;=MAX('Per Line'!$AC$2:$AC$501),MATCH(ROWS($W$2:$W160),'Per Line'!$AC$2:$AC$501,0),"")</f>
        <v/>
      </c>
    </row>
    <row r="161">
      <c r="A161" s="12" t="n"/>
      <c r="B161">
        <f>IF($W161="","",INDEX('Per Line'!$C$2:$C$501,$W161)&amp;"")</f>
        <v/>
      </c>
      <c r="C161">
        <f>IF($W161="","",INDEX('Per Line'!$A$2:$A$501,$W161)&amp;"")</f>
        <v/>
      </c>
      <c r="D161">
        <f>IF($W161="","",INDEX('Per Line'!$E$2:$E$501,$W161)&amp;"")</f>
        <v/>
      </c>
      <c r="E161">
        <f>IF($W161="","",INDEX('Per Line'!$H$2:$H$501,$W161)&amp;"")</f>
        <v/>
      </c>
      <c r="F161">
        <f>IF($W161="","",INDEX('Per Line'!$K$2:$K$501,$W161)&amp;"")</f>
        <v/>
      </c>
      <c r="G161">
        <f>IF($W161="","",INDEX('Per Line'!$L$2:$L$501,$W161)&amp;"")</f>
        <v/>
      </c>
      <c r="H161" s="12" t="n"/>
      <c r="I161">
        <f>IF($W161="","",INDEX('Per Line'!$M$2:$M$501,$W161))</f>
        <v/>
      </c>
      <c r="J161" s="7">
        <f>IF($W161="","",I161*T161/100)</f>
        <v/>
      </c>
      <c r="K161" s="11">
        <f>IF($W161="","",INDEX('Per Line'!$O$2:$O$501,$W161))</f>
        <v/>
      </c>
      <c r="L161">
        <f>IF($W161="","",Settings!$C$7)</f>
        <v/>
      </c>
      <c r="M161" s="7">
        <f>IF($W161="","",SUMIFS('Per Line'!$Y$2:$Y$501,'Per Line'!$C$2:$C$501,$B161,'Per Line'!$AD$2:$AD$501,0))</f>
        <v/>
      </c>
      <c r="N161" s="7">
        <f>IF($W161="","",M161*L161)</f>
        <v/>
      </c>
      <c r="O161">
        <f>IF($W161="","",Settings!$C$6)</f>
        <v/>
      </c>
      <c r="P161" s="7">
        <f>IF($W161="","",SUMIFS('Per Line'!$Y$2:$Y$501,'Per Line'!$C$2:$C$501,$B161,'Per Line'!$AD$2:$AD$501,1))</f>
        <v/>
      </c>
      <c r="Q161" s="7">
        <f>IF($W161="","",P161*O161)</f>
        <v/>
      </c>
      <c r="R161" s="7">
        <f>IF($W161="","",Q161+N161)</f>
        <v/>
      </c>
      <c r="S161" s="7">
        <f>IF($W161="","",T161-R161)</f>
        <v/>
      </c>
      <c r="T161" s="7">
        <f>IF($W161="","",M161+P161)</f>
        <v/>
      </c>
      <c r="U161" s="7">
        <f>IF($W161="","",T161-R161-J161)</f>
        <v/>
      </c>
      <c r="V161" s="12" t="n"/>
      <c r="W161" s="13">
        <f>IF(ROWS($W$2:$W161)&lt;=MAX('Per Line'!$AC$2:$AC$501),MATCH(ROWS($W$2:$W161),'Per Line'!$AC$2:$AC$501,0),"")</f>
        <v/>
      </c>
    </row>
    <row r="162">
      <c r="A162" s="12" t="n"/>
      <c r="B162">
        <f>IF($W162="","",INDEX('Per Line'!$C$2:$C$501,$W162)&amp;"")</f>
        <v/>
      </c>
      <c r="C162">
        <f>IF($W162="","",INDEX('Per Line'!$A$2:$A$501,$W162)&amp;"")</f>
        <v/>
      </c>
      <c r="D162">
        <f>IF($W162="","",INDEX('Per Line'!$E$2:$E$501,$W162)&amp;"")</f>
        <v/>
      </c>
      <c r="E162">
        <f>IF($W162="","",INDEX('Per Line'!$H$2:$H$501,$W162)&amp;"")</f>
        <v/>
      </c>
      <c r="F162">
        <f>IF($W162="","",INDEX('Per Line'!$K$2:$K$501,$W162)&amp;"")</f>
        <v/>
      </c>
      <c r="G162">
        <f>IF($W162="","",INDEX('Per Line'!$L$2:$L$501,$W162)&amp;"")</f>
        <v/>
      </c>
      <c r="H162" s="12" t="n"/>
      <c r="I162">
        <f>IF($W162="","",INDEX('Per Line'!$M$2:$M$501,$W162))</f>
        <v/>
      </c>
      <c r="J162" s="7">
        <f>IF($W162="","",I162*T162/100)</f>
        <v/>
      </c>
      <c r="K162" s="11">
        <f>IF($W162="","",INDEX('Per Line'!$O$2:$O$501,$W162))</f>
        <v/>
      </c>
      <c r="L162">
        <f>IF($W162="","",Settings!$C$7)</f>
        <v/>
      </c>
      <c r="M162" s="7">
        <f>IF($W162="","",SUMIFS('Per Line'!$Y$2:$Y$501,'Per Line'!$C$2:$C$501,$B162,'Per Line'!$AD$2:$AD$501,0))</f>
        <v/>
      </c>
      <c r="N162" s="7">
        <f>IF($W162="","",M162*L162)</f>
        <v/>
      </c>
      <c r="O162">
        <f>IF($W162="","",Settings!$C$6)</f>
        <v/>
      </c>
      <c r="P162" s="7">
        <f>IF($W162="","",SUMIFS('Per Line'!$Y$2:$Y$501,'Per Line'!$C$2:$C$501,$B162,'Per Line'!$AD$2:$AD$501,1))</f>
        <v/>
      </c>
      <c r="Q162" s="7">
        <f>IF($W162="","",P162*O162)</f>
        <v/>
      </c>
      <c r="R162" s="7">
        <f>IF($W162="","",Q162+N162)</f>
        <v/>
      </c>
      <c r="S162" s="7">
        <f>IF($W162="","",T162-R162)</f>
        <v/>
      </c>
      <c r="T162" s="7">
        <f>IF($W162="","",M162+P162)</f>
        <v/>
      </c>
      <c r="U162" s="7">
        <f>IF($W162="","",T162-R162-J162)</f>
        <v/>
      </c>
      <c r="V162" s="12" t="n"/>
      <c r="W162" s="13">
        <f>IF(ROWS($W$2:$W162)&lt;=MAX('Per Line'!$AC$2:$AC$501),MATCH(ROWS($W$2:$W162),'Per Line'!$AC$2:$AC$501,0),"")</f>
        <v/>
      </c>
    </row>
    <row r="163">
      <c r="A163" s="12" t="n"/>
      <c r="B163">
        <f>IF($W163="","",INDEX('Per Line'!$C$2:$C$501,$W163)&amp;"")</f>
        <v/>
      </c>
      <c r="C163">
        <f>IF($W163="","",INDEX('Per Line'!$A$2:$A$501,$W163)&amp;"")</f>
        <v/>
      </c>
      <c r="D163">
        <f>IF($W163="","",INDEX('Per Line'!$E$2:$E$501,$W163)&amp;"")</f>
        <v/>
      </c>
      <c r="E163">
        <f>IF($W163="","",INDEX('Per Line'!$H$2:$H$501,$W163)&amp;"")</f>
        <v/>
      </c>
      <c r="F163">
        <f>IF($W163="","",INDEX('Per Line'!$K$2:$K$501,$W163)&amp;"")</f>
        <v/>
      </c>
      <c r="G163">
        <f>IF($W163="","",INDEX('Per Line'!$L$2:$L$501,$W163)&amp;"")</f>
        <v/>
      </c>
      <c r="H163" s="12" t="n"/>
      <c r="I163">
        <f>IF($W163="","",INDEX('Per Line'!$M$2:$M$501,$W163))</f>
        <v/>
      </c>
      <c r="J163" s="7">
        <f>IF($W163="","",I163*T163/100)</f>
        <v/>
      </c>
      <c r="K163" s="11">
        <f>IF($W163="","",INDEX('Per Line'!$O$2:$O$501,$W163))</f>
        <v/>
      </c>
      <c r="L163">
        <f>IF($W163="","",Settings!$C$7)</f>
        <v/>
      </c>
      <c r="M163" s="7">
        <f>IF($W163="","",SUMIFS('Per Line'!$Y$2:$Y$501,'Per Line'!$C$2:$C$501,$B163,'Per Line'!$AD$2:$AD$501,0))</f>
        <v/>
      </c>
      <c r="N163" s="7">
        <f>IF($W163="","",M163*L163)</f>
        <v/>
      </c>
      <c r="O163">
        <f>IF($W163="","",Settings!$C$6)</f>
        <v/>
      </c>
      <c r="P163" s="7">
        <f>IF($W163="","",SUMIFS('Per Line'!$Y$2:$Y$501,'Per Line'!$C$2:$C$501,$B163,'Per Line'!$AD$2:$AD$501,1))</f>
        <v/>
      </c>
      <c r="Q163" s="7">
        <f>IF($W163="","",P163*O163)</f>
        <v/>
      </c>
      <c r="R163" s="7">
        <f>IF($W163="","",Q163+N163)</f>
        <v/>
      </c>
      <c r="S163" s="7">
        <f>IF($W163="","",T163-R163)</f>
        <v/>
      </c>
      <c r="T163" s="7">
        <f>IF($W163="","",M163+P163)</f>
        <v/>
      </c>
      <c r="U163" s="7">
        <f>IF($W163="","",T163-R163-J163)</f>
        <v/>
      </c>
      <c r="V163" s="12" t="n"/>
      <c r="W163" s="13">
        <f>IF(ROWS($W$2:$W163)&lt;=MAX('Per Line'!$AC$2:$AC$501),MATCH(ROWS($W$2:$W163),'Per Line'!$AC$2:$AC$501,0),"")</f>
        <v/>
      </c>
    </row>
    <row r="164">
      <c r="A164" s="12" t="n"/>
      <c r="B164">
        <f>IF($W164="","",INDEX('Per Line'!$C$2:$C$501,$W164)&amp;"")</f>
        <v/>
      </c>
      <c r="C164">
        <f>IF($W164="","",INDEX('Per Line'!$A$2:$A$501,$W164)&amp;"")</f>
        <v/>
      </c>
      <c r="D164">
        <f>IF($W164="","",INDEX('Per Line'!$E$2:$E$501,$W164)&amp;"")</f>
        <v/>
      </c>
      <c r="E164">
        <f>IF($W164="","",INDEX('Per Line'!$H$2:$H$501,$W164)&amp;"")</f>
        <v/>
      </c>
      <c r="F164">
        <f>IF($W164="","",INDEX('Per Line'!$K$2:$K$501,$W164)&amp;"")</f>
        <v/>
      </c>
      <c r="G164">
        <f>IF($W164="","",INDEX('Per Line'!$L$2:$L$501,$W164)&amp;"")</f>
        <v/>
      </c>
      <c r="H164" s="12" t="n"/>
      <c r="I164">
        <f>IF($W164="","",INDEX('Per Line'!$M$2:$M$501,$W164))</f>
        <v/>
      </c>
      <c r="J164" s="7">
        <f>IF($W164="","",I164*T164/100)</f>
        <v/>
      </c>
      <c r="K164" s="11">
        <f>IF($W164="","",INDEX('Per Line'!$O$2:$O$501,$W164))</f>
        <v/>
      </c>
      <c r="L164">
        <f>IF($W164="","",Settings!$C$7)</f>
        <v/>
      </c>
      <c r="M164" s="7">
        <f>IF($W164="","",SUMIFS('Per Line'!$Y$2:$Y$501,'Per Line'!$C$2:$C$501,$B164,'Per Line'!$AD$2:$AD$501,0))</f>
        <v/>
      </c>
      <c r="N164" s="7">
        <f>IF($W164="","",M164*L164)</f>
        <v/>
      </c>
      <c r="O164">
        <f>IF($W164="","",Settings!$C$6)</f>
        <v/>
      </c>
      <c r="P164" s="7">
        <f>IF($W164="","",SUMIFS('Per Line'!$Y$2:$Y$501,'Per Line'!$C$2:$C$501,$B164,'Per Line'!$AD$2:$AD$501,1))</f>
        <v/>
      </c>
      <c r="Q164" s="7">
        <f>IF($W164="","",P164*O164)</f>
        <v/>
      </c>
      <c r="R164" s="7">
        <f>IF($W164="","",Q164+N164)</f>
        <v/>
      </c>
      <c r="S164" s="7">
        <f>IF($W164="","",T164-R164)</f>
        <v/>
      </c>
      <c r="T164" s="7">
        <f>IF($W164="","",M164+P164)</f>
        <v/>
      </c>
      <c r="U164" s="7">
        <f>IF($W164="","",T164-R164-J164)</f>
        <v/>
      </c>
      <c r="V164" s="12" t="n"/>
      <c r="W164" s="13">
        <f>IF(ROWS($W$2:$W164)&lt;=MAX('Per Line'!$AC$2:$AC$501),MATCH(ROWS($W$2:$W164),'Per Line'!$AC$2:$AC$501,0),"")</f>
        <v/>
      </c>
    </row>
    <row r="165">
      <c r="A165" s="12" t="n"/>
      <c r="B165">
        <f>IF($W165="","",INDEX('Per Line'!$C$2:$C$501,$W165)&amp;"")</f>
        <v/>
      </c>
      <c r="C165">
        <f>IF($W165="","",INDEX('Per Line'!$A$2:$A$501,$W165)&amp;"")</f>
        <v/>
      </c>
      <c r="D165">
        <f>IF($W165="","",INDEX('Per Line'!$E$2:$E$501,$W165)&amp;"")</f>
        <v/>
      </c>
      <c r="E165">
        <f>IF($W165="","",INDEX('Per Line'!$H$2:$H$501,$W165)&amp;"")</f>
        <v/>
      </c>
      <c r="F165">
        <f>IF($W165="","",INDEX('Per Line'!$K$2:$K$501,$W165)&amp;"")</f>
        <v/>
      </c>
      <c r="G165">
        <f>IF($W165="","",INDEX('Per Line'!$L$2:$L$501,$W165)&amp;"")</f>
        <v/>
      </c>
      <c r="H165" s="12" t="n"/>
      <c r="I165">
        <f>IF($W165="","",INDEX('Per Line'!$M$2:$M$501,$W165))</f>
        <v/>
      </c>
      <c r="J165" s="7">
        <f>IF($W165="","",I165*T165/100)</f>
        <v/>
      </c>
      <c r="K165" s="11">
        <f>IF($W165="","",INDEX('Per Line'!$O$2:$O$501,$W165))</f>
        <v/>
      </c>
      <c r="L165">
        <f>IF($W165="","",Settings!$C$7)</f>
        <v/>
      </c>
      <c r="M165" s="7">
        <f>IF($W165="","",SUMIFS('Per Line'!$Y$2:$Y$501,'Per Line'!$C$2:$C$501,$B165,'Per Line'!$AD$2:$AD$501,0))</f>
        <v/>
      </c>
      <c r="N165" s="7">
        <f>IF($W165="","",M165*L165)</f>
        <v/>
      </c>
      <c r="O165">
        <f>IF($W165="","",Settings!$C$6)</f>
        <v/>
      </c>
      <c r="P165" s="7">
        <f>IF($W165="","",SUMIFS('Per Line'!$Y$2:$Y$501,'Per Line'!$C$2:$C$501,$B165,'Per Line'!$AD$2:$AD$501,1))</f>
        <v/>
      </c>
      <c r="Q165" s="7">
        <f>IF($W165="","",P165*O165)</f>
        <v/>
      </c>
      <c r="R165" s="7">
        <f>IF($W165="","",Q165+N165)</f>
        <v/>
      </c>
      <c r="S165" s="7">
        <f>IF($W165="","",T165-R165)</f>
        <v/>
      </c>
      <c r="T165" s="7">
        <f>IF($W165="","",M165+P165)</f>
        <v/>
      </c>
      <c r="U165" s="7">
        <f>IF($W165="","",T165-R165-J165)</f>
        <v/>
      </c>
      <c r="V165" s="12" t="n"/>
      <c r="W165" s="13">
        <f>IF(ROWS($W$2:$W165)&lt;=MAX('Per Line'!$AC$2:$AC$501),MATCH(ROWS($W$2:$W165),'Per Line'!$AC$2:$AC$501,0),"")</f>
        <v/>
      </c>
    </row>
    <row r="166">
      <c r="A166" s="12" t="n"/>
      <c r="B166">
        <f>IF($W166="","",INDEX('Per Line'!$C$2:$C$501,$W166)&amp;"")</f>
        <v/>
      </c>
      <c r="C166">
        <f>IF($W166="","",INDEX('Per Line'!$A$2:$A$501,$W166)&amp;"")</f>
        <v/>
      </c>
      <c r="D166">
        <f>IF($W166="","",INDEX('Per Line'!$E$2:$E$501,$W166)&amp;"")</f>
        <v/>
      </c>
      <c r="E166">
        <f>IF($W166="","",INDEX('Per Line'!$H$2:$H$501,$W166)&amp;"")</f>
        <v/>
      </c>
      <c r="F166">
        <f>IF($W166="","",INDEX('Per Line'!$K$2:$K$501,$W166)&amp;"")</f>
        <v/>
      </c>
      <c r="G166">
        <f>IF($W166="","",INDEX('Per Line'!$L$2:$L$501,$W166)&amp;"")</f>
        <v/>
      </c>
      <c r="H166" s="12" t="n"/>
      <c r="I166">
        <f>IF($W166="","",INDEX('Per Line'!$M$2:$M$501,$W166))</f>
        <v/>
      </c>
      <c r="J166" s="7">
        <f>IF($W166="","",I166*T166/100)</f>
        <v/>
      </c>
      <c r="K166" s="11">
        <f>IF($W166="","",INDEX('Per Line'!$O$2:$O$501,$W166))</f>
        <v/>
      </c>
      <c r="L166">
        <f>IF($W166="","",Settings!$C$7)</f>
        <v/>
      </c>
      <c r="M166" s="7">
        <f>IF($W166="","",SUMIFS('Per Line'!$Y$2:$Y$501,'Per Line'!$C$2:$C$501,$B166,'Per Line'!$AD$2:$AD$501,0))</f>
        <v/>
      </c>
      <c r="N166" s="7">
        <f>IF($W166="","",M166*L166)</f>
        <v/>
      </c>
      <c r="O166">
        <f>IF($W166="","",Settings!$C$6)</f>
        <v/>
      </c>
      <c r="P166" s="7">
        <f>IF($W166="","",SUMIFS('Per Line'!$Y$2:$Y$501,'Per Line'!$C$2:$C$501,$B166,'Per Line'!$AD$2:$AD$501,1))</f>
        <v/>
      </c>
      <c r="Q166" s="7">
        <f>IF($W166="","",P166*O166)</f>
        <v/>
      </c>
      <c r="R166" s="7">
        <f>IF($W166="","",Q166+N166)</f>
        <v/>
      </c>
      <c r="S166" s="7">
        <f>IF($W166="","",T166-R166)</f>
        <v/>
      </c>
      <c r="T166" s="7">
        <f>IF($W166="","",M166+P166)</f>
        <v/>
      </c>
      <c r="U166" s="7">
        <f>IF($W166="","",T166-R166-J166)</f>
        <v/>
      </c>
      <c r="V166" s="12" t="n"/>
      <c r="W166" s="13">
        <f>IF(ROWS($W$2:$W166)&lt;=MAX('Per Line'!$AC$2:$AC$501),MATCH(ROWS($W$2:$W166),'Per Line'!$AC$2:$AC$501,0),"")</f>
        <v/>
      </c>
    </row>
    <row r="167">
      <c r="A167" s="12" t="n"/>
      <c r="B167">
        <f>IF($W167="","",INDEX('Per Line'!$C$2:$C$501,$W167)&amp;"")</f>
        <v/>
      </c>
      <c r="C167">
        <f>IF($W167="","",INDEX('Per Line'!$A$2:$A$501,$W167)&amp;"")</f>
        <v/>
      </c>
      <c r="D167">
        <f>IF($W167="","",INDEX('Per Line'!$E$2:$E$501,$W167)&amp;"")</f>
        <v/>
      </c>
      <c r="E167">
        <f>IF($W167="","",INDEX('Per Line'!$H$2:$H$501,$W167)&amp;"")</f>
        <v/>
      </c>
      <c r="F167">
        <f>IF($W167="","",INDEX('Per Line'!$K$2:$K$501,$W167)&amp;"")</f>
        <v/>
      </c>
      <c r="G167">
        <f>IF($W167="","",INDEX('Per Line'!$L$2:$L$501,$W167)&amp;"")</f>
        <v/>
      </c>
      <c r="H167" s="12" t="n"/>
      <c r="I167">
        <f>IF($W167="","",INDEX('Per Line'!$M$2:$M$501,$W167))</f>
        <v/>
      </c>
      <c r="J167" s="7">
        <f>IF($W167="","",I167*T167/100)</f>
        <v/>
      </c>
      <c r="K167" s="11">
        <f>IF($W167="","",INDEX('Per Line'!$O$2:$O$501,$W167))</f>
        <v/>
      </c>
      <c r="L167">
        <f>IF($W167="","",Settings!$C$7)</f>
        <v/>
      </c>
      <c r="M167" s="7">
        <f>IF($W167="","",SUMIFS('Per Line'!$Y$2:$Y$501,'Per Line'!$C$2:$C$501,$B167,'Per Line'!$AD$2:$AD$501,0))</f>
        <v/>
      </c>
      <c r="N167" s="7">
        <f>IF($W167="","",M167*L167)</f>
        <v/>
      </c>
      <c r="O167">
        <f>IF($W167="","",Settings!$C$6)</f>
        <v/>
      </c>
      <c r="P167" s="7">
        <f>IF($W167="","",SUMIFS('Per Line'!$Y$2:$Y$501,'Per Line'!$C$2:$C$501,$B167,'Per Line'!$AD$2:$AD$501,1))</f>
        <v/>
      </c>
      <c r="Q167" s="7">
        <f>IF($W167="","",P167*O167)</f>
        <v/>
      </c>
      <c r="R167" s="7">
        <f>IF($W167="","",Q167+N167)</f>
        <v/>
      </c>
      <c r="S167" s="7">
        <f>IF($W167="","",T167-R167)</f>
        <v/>
      </c>
      <c r="T167" s="7">
        <f>IF($W167="","",M167+P167)</f>
        <v/>
      </c>
      <c r="U167" s="7">
        <f>IF($W167="","",T167-R167-J167)</f>
        <v/>
      </c>
      <c r="V167" s="12" t="n"/>
      <c r="W167" s="13">
        <f>IF(ROWS($W$2:$W167)&lt;=MAX('Per Line'!$AC$2:$AC$501),MATCH(ROWS($W$2:$W167),'Per Line'!$AC$2:$AC$501,0),"")</f>
        <v/>
      </c>
    </row>
    <row r="168">
      <c r="A168" s="12" t="n"/>
      <c r="B168">
        <f>IF($W168="","",INDEX('Per Line'!$C$2:$C$501,$W168)&amp;"")</f>
        <v/>
      </c>
      <c r="C168">
        <f>IF($W168="","",INDEX('Per Line'!$A$2:$A$501,$W168)&amp;"")</f>
        <v/>
      </c>
      <c r="D168">
        <f>IF($W168="","",INDEX('Per Line'!$E$2:$E$501,$W168)&amp;"")</f>
        <v/>
      </c>
      <c r="E168">
        <f>IF($W168="","",INDEX('Per Line'!$H$2:$H$501,$W168)&amp;"")</f>
        <v/>
      </c>
      <c r="F168">
        <f>IF($W168="","",INDEX('Per Line'!$K$2:$K$501,$W168)&amp;"")</f>
        <v/>
      </c>
      <c r="G168">
        <f>IF($W168="","",INDEX('Per Line'!$L$2:$L$501,$W168)&amp;"")</f>
        <v/>
      </c>
      <c r="H168" s="12" t="n"/>
      <c r="I168">
        <f>IF($W168="","",INDEX('Per Line'!$M$2:$M$501,$W168))</f>
        <v/>
      </c>
      <c r="J168" s="7">
        <f>IF($W168="","",I168*T168/100)</f>
        <v/>
      </c>
      <c r="K168" s="11">
        <f>IF($W168="","",INDEX('Per Line'!$O$2:$O$501,$W168))</f>
        <v/>
      </c>
      <c r="L168">
        <f>IF($W168="","",Settings!$C$7)</f>
        <v/>
      </c>
      <c r="M168" s="7">
        <f>IF($W168="","",SUMIFS('Per Line'!$Y$2:$Y$501,'Per Line'!$C$2:$C$501,$B168,'Per Line'!$AD$2:$AD$501,0))</f>
        <v/>
      </c>
      <c r="N168" s="7">
        <f>IF($W168="","",M168*L168)</f>
        <v/>
      </c>
      <c r="O168">
        <f>IF($W168="","",Settings!$C$6)</f>
        <v/>
      </c>
      <c r="P168" s="7">
        <f>IF($W168="","",SUMIFS('Per Line'!$Y$2:$Y$501,'Per Line'!$C$2:$C$501,$B168,'Per Line'!$AD$2:$AD$501,1))</f>
        <v/>
      </c>
      <c r="Q168" s="7">
        <f>IF($W168="","",P168*O168)</f>
        <v/>
      </c>
      <c r="R168" s="7">
        <f>IF($W168="","",Q168+N168)</f>
        <v/>
      </c>
      <c r="S168" s="7">
        <f>IF($W168="","",T168-R168)</f>
        <v/>
      </c>
      <c r="T168" s="7">
        <f>IF($W168="","",M168+P168)</f>
        <v/>
      </c>
      <c r="U168" s="7">
        <f>IF($W168="","",T168-R168-J168)</f>
        <v/>
      </c>
      <c r="V168" s="12" t="n"/>
      <c r="W168" s="13">
        <f>IF(ROWS($W$2:$W168)&lt;=MAX('Per Line'!$AC$2:$AC$501),MATCH(ROWS($W$2:$W168),'Per Line'!$AC$2:$AC$501,0),"")</f>
        <v/>
      </c>
    </row>
    <row r="169">
      <c r="A169" s="12" t="n"/>
      <c r="B169">
        <f>IF($W169="","",INDEX('Per Line'!$C$2:$C$501,$W169)&amp;"")</f>
        <v/>
      </c>
      <c r="C169">
        <f>IF($W169="","",INDEX('Per Line'!$A$2:$A$501,$W169)&amp;"")</f>
        <v/>
      </c>
      <c r="D169">
        <f>IF($W169="","",INDEX('Per Line'!$E$2:$E$501,$W169)&amp;"")</f>
        <v/>
      </c>
      <c r="E169">
        <f>IF($W169="","",INDEX('Per Line'!$H$2:$H$501,$W169)&amp;"")</f>
        <v/>
      </c>
      <c r="F169">
        <f>IF($W169="","",INDEX('Per Line'!$K$2:$K$501,$W169)&amp;"")</f>
        <v/>
      </c>
      <c r="G169">
        <f>IF($W169="","",INDEX('Per Line'!$L$2:$L$501,$W169)&amp;"")</f>
        <v/>
      </c>
      <c r="H169" s="12" t="n"/>
      <c r="I169">
        <f>IF($W169="","",INDEX('Per Line'!$M$2:$M$501,$W169))</f>
        <v/>
      </c>
      <c r="J169" s="7">
        <f>IF($W169="","",I169*T169/100)</f>
        <v/>
      </c>
      <c r="K169" s="11">
        <f>IF($W169="","",INDEX('Per Line'!$O$2:$O$501,$W169))</f>
        <v/>
      </c>
      <c r="L169">
        <f>IF($W169="","",Settings!$C$7)</f>
        <v/>
      </c>
      <c r="M169" s="7">
        <f>IF($W169="","",SUMIFS('Per Line'!$Y$2:$Y$501,'Per Line'!$C$2:$C$501,$B169,'Per Line'!$AD$2:$AD$501,0))</f>
        <v/>
      </c>
      <c r="N169" s="7">
        <f>IF($W169="","",M169*L169)</f>
        <v/>
      </c>
      <c r="O169">
        <f>IF($W169="","",Settings!$C$6)</f>
        <v/>
      </c>
      <c r="P169" s="7">
        <f>IF($W169="","",SUMIFS('Per Line'!$Y$2:$Y$501,'Per Line'!$C$2:$C$501,$B169,'Per Line'!$AD$2:$AD$501,1))</f>
        <v/>
      </c>
      <c r="Q169" s="7">
        <f>IF($W169="","",P169*O169)</f>
        <v/>
      </c>
      <c r="R169" s="7">
        <f>IF($W169="","",Q169+N169)</f>
        <v/>
      </c>
      <c r="S169" s="7">
        <f>IF($W169="","",T169-R169)</f>
        <v/>
      </c>
      <c r="T169" s="7">
        <f>IF($W169="","",M169+P169)</f>
        <v/>
      </c>
      <c r="U169" s="7">
        <f>IF($W169="","",T169-R169-J169)</f>
        <v/>
      </c>
      <c r="V169" s="12" t="n"/>
      <c r="W169" s="13">
        <f>IF(ROWS($W$2:$W169)&lt;=MAX('Per Line'!$AC$2:$AC$501),MATCH(ROWS($W$2:$W169),'Per Line'!$AC$2:$AC$501,0),"")</f>
        <v/>
      </c>
    </row>
    <row r="170">
      <c r="A170" s="12" t="n"/>
      <c r="B170">
        <f>IF($W170="","",INDEX('Per Line'!$C$2:$C$501,$W170)&amp;"")</f>
        <v/>
      </c>
      <c r="C170">
        <f>IF($W170="","",INDEX('Per Line'!$A$2:$A$501,$W170)&amp;"")</f>
        <v/>
      </c>
      <c r="D170">
        <f>IF($W170="","",INDEX('Per Line'!$E$2:$E$501,$W170)&amp;"")</f>
        <v/>
      </c>
      <c r="E170">
        <f>IF($W170="","",INDEX('Per Line'!$H$2:$H$501,$W170)&amp;"")</f>
        <v/>
      </c>
      <c r="F170">
        <f>IF($W170="","",INDEX('Per Line'!$K$2:$K$501,$W170)&amp;"")</f>
        <v/>
      </c>
      <c r="G170">
        <f>IF($W170="","",INDEX('Per Line'!$L$2:$L$501,$W170)&amp;"")</f>
        <v/>
      </c>
      <c r="H170" s="12" t="n"/>
      <c r="I170">
        <f>IF($W170="","",INDEX('Per Line'!$M$2:$M$501,$W170))</f>
        <v/>
      </c>
      <c r="J170" s="7">
        <f>IF($W170="","",I170*T170/100)</f>
        <v/>
      </c>
      <c r="K170" s="11">
        <f>IF($W170="","",INDEX('Per Line'!$O$2:$O$501,$W170))</f>
        <v/>
      </c>
      <c r="L170">
        <f>IF($W170="","",Settings!$C$7)</f>
        <v/>
      </c>
      <c r="M170" s="7">
        <f>IF($W170="","",SUMIFS('Per Line'!$Y$2:$Y$501,'Per Line'!$C$2:$C$501,$B170,'Per Line'!$AD$2:$AD$501,0))</f>
        <v/>
      </c>
      <c r="N170" s="7">
        <f>IF($W170="","",M170*L170)</f>
        <v/>
      </c>
      <c r="O170">
        <f>IF($W170="","",Settings!$C$6)</f>
        <v/>
      </c>
      <c r="P170" s="7">
        <f>IF($W170="","",SUMIFS('Per Line'!$Y$2:$Y$501,'Per Line'!$C$2:$C$501,$B170,'Per Line'!$AD$2:$AD$501,1))</f>
        <v/>
      </c>
      <c r="Q170" s="7">
        <f>IF($W170="","",P170*O170)</f>
        <v/>
      </c>
      <c r="R170" s="7">
        <f>IF($W170="","",Q170+N170)</f>
        <v/>
      </c>
      <c r="S170" s="7">
        <f>IF($W170="","",T170-R170)</f>
        <v/>
      </c>
      <c r="T170" s="7">
        <f>IF($W170="","",M170+P170)</f>
        <v/>
      </c>
      <c r="U170" s="7">
        <f>IF($W170="","",T170-R170-J170)</f>
        <v/>
      </c>
      <c r="V170" s="12" t="n"/>
      <c r="W170" s="13">
        <f>IF(ROWS($W$2:$W170)&lt;=MAX('Per Line'!$AC$2:$AC$501),MATCH(ROWS($W$2:$W170),'Per Line'!$AC$2:$AC$501,0),"")</f>
        <v/>
      </c>
    </row>
    <row r="171">
      <c r="A171" s="12" t="n"/>
      <c r="B171">
        <f>IF($W171="","",INDEX('Per Line'!$C$2:$C$501,$W171)&amp;"")</f>
        <v/>
      </c>
      <c r="C171">
        <f>IF($W171="","",INDEX('Per Line'!$A$2:$A$501,$W171)&amp;"")</f>
        <v/>
      </c>
      <c r="D171">
        <f>IF($W171="","",INDEX('Per Line'!$E$2:$E$501,$W171)&amp;"")</f>
        <v/>
      </c>
      <c r="E171">
        <f>IF($W171="","",INDEX('Per Line'!$H$2:$H$501,$W171)&amp;"")</f>
        <v/>
      </c>
      <c r="F171">
        <f>IF($W171="","",INDEX('Per Line'!$K$2:$K$501,$W171)&amp;"")</f>
        <v/>
      </c>
      <c r="G171">
        <f>IF($W171="","",INDEX('Per Line'!$L$2:$L$501,$W171)&amp;"")</f>
        <v/>
      </c>
      <c r="H171" s="12" t="n"/>
      <c r="I171">
        <f>IF($W171="","",INDEX('Per Line'!$M$2:$M$501,$W171))</f>
        <v/>
      </c>
      <c r="J171" s="7">
        <f>IF($W171="","",I171*T171/100)</f>
        <v/>
      </c>
      <c r="K171" s="11">
        <f>IF($W171="","",INDEX('Per Line'!$O$2:$O$501,$W171))</f>
        <v/>
      </c>
      <c r="L171">
        <f>IF($W171="","",Settings!$C$7)</f>
        <v/>
      </c>
      <c r="M171" s="7">
        <f>IF($W171="","",SUMIFS('Per Line'!$Y$2:$Y$501,'Per Line'!$C$2:$C$501,$B171,'Per Line'!$AD$2:$AD$501,0))</f>
        <v/>
      </c>
      <c r="N171" s="7">
        <f>IF($W171="","",M171*L171)</f>
        <v/>
      </c>
      <c r="O171">
        <f>IF($W171="","",Settings!$C$6)</f>
        <v/>
      </c>
      <c r="P171" s="7">
        <f>IF($W171="","",SUMIFS('Per Line'!$Y$2:$Y$501,'Per Line'!$C$2:$C$501,$B171,'Per Line'!$AD$2:$AD$501,1))</f>
        <v/>
      </c>
      <c r="Q171" s="7">
        <f>IF($W171="","",P171*O171)</f>
        <v/>
      </c>
      <c r="R171" s="7">
        <f>IF($W171="","",Q171+N171)</f>
        <v/>
      </c>
      <c r="S171" s="7">
        <f>IF($W171="","",T171-R171)</f>
        <v/>
      </c>
      <c r="T171" s="7">
        <f>IF($W171="","",M171+P171)</f>
        <v/>
      </c>
      <c r="U171" s="7">
        <f>IF($W171="","",T171-R171-J171)</f>
        <v/>
      </c>
      <c r="V171" s="12" t="n"/>
      <c r="W171" s="13">
        <f>IF(ROWS($W$2:$W171)&lt;=MAX('Per Line'!$AC$2:$AC$501),MATCH(ROWS($W$2:$W171),'Per Line'!$AC$2:$AC$501,0),"")</f>
        <v/>
      </c>
    </row>
    <row r="172">
      <c r="A172" s="12" t="n"/>
      <c r="B172">
        <f>IF($W172="","",INDEX('Per Line'!$C$2:$C$501,$W172)&amp;"")</f>
        <v/>
      </c>
      <c r="C172">
        <f>IF($W172="","",INDEX('Per Line'!$A$2:$A$501,$W172)&amp;"")</f>
        <v/>
      </c>
      <c r="D172">
        <f>IF($W172="","",INDEX('Per Line'!$E$2:$E$501,$W172)&amp;"")</f>
        <v/>
      </c>
      <c r="E172">
        <f>IF($W172="","",INDEX('Per Line'!$H$2:$H$501,$W172)&amp;"")</f>
        <v/>
      </c>
      <c r="F172">
        <f>IF($W172="","",INDEX('Per Line'!$K$2:$K$501,$W172)&amp;"")</f>
        <v/>
      </c>
      <c r="G172">
        <f>IF($W172="","",INDEX('Per Line'!$L$2:$L$501,$W172)&amp;"")</f>
        <v/>
      </c>
      <c r="H172" s="12" t="n"/>
      <c r="I172">
        <f>IF($W172="","",INDEX('Per Line'!$M$2:$M$501,$W172))</f>
        <v/>
      </c>
      <c r="J172" s="7">
        <f>IF($W172="","",I172*T172/100)</f>
        <v/>
      </c>
      <c r="K172" s="11">
        <f>IF($W172="","",INDEX('Per Line'!$O$2:$O$501,$W172))</f>
        <v/>
      </c>
      <c r="L172">
        <f>IF($W172="","",Settings!$C$7)</f>
        <v/>
      </c>
      <c r="M172" s="7">
        <f>IF($W172="","",SUMIFS('Per Line'!$Y$2:$Y$501,'Per Line'!$C$2:$C$501,$B172,'Per Line'!$AD$2:$AD$501,0))</f>
        <v/>
      </c>
      <c r="N172" s="7">
        <f>IF($W172="","",M172*L172)</f>
        <v/>
      </c>
      <c r="O172">
        <f>IF($W172="","",Settings!$C$6)</f>
        <v/>
      </c>
      <c r="P172" s="7">
        <f>IF($W172="","",SUMIFS('Per Line'!$Y$2:$Y$501,'Per Line'!$C$2:$C$501,$B172,'Per Line'!$AD$2:$AD$501,1))</f>
        <v/>
      </c>
      <c r="Q172" s="7">
        <f>IF($W172="","",P172*O172)</f>
        <v/>
      </c>
      <c r="R172" s="7">
        <f>IF($W172="","",Q172+N172)</f>
        <v/>
      </c>
      <c r="S172" s="7">
        <f>IF($W172="","",T172-R172)</f>
        <v/>
      </c>
      <c r="T172" s="7">
        <f>IF($W172="","",M172+P172)</f>
        <v/>
      </c>
      <c r="U172" s="7">
        <f>IF($W172="","",T172-R172-J172)</f>
        <v/>
      </c>
      <c r="V172" s="12" t="n"/>
      <c r="W172" s="13">
        <f>IF(ROWS($W$2:$W172)&lt;=MAX('Per Line'!$AC$2:$AC$501),MATCH(ROWS($W$2:$W172),'Per Line'!$AC$2:$AC$501,0),"")</f>
        <v/>
      </c>
    </row>
    <row r="173">
      <c r="A173" s="12" t="n"/>
      <c r="B173">
        <f>IF($W173="","",INDEX('Per Line'!$C$2:$C$501,$W173)&amp;"")</f>
        <v/>
      </c>
      <c r="C173">
        <f>IF($W173="","",INDEX('Per Line'!$A$2:$A$501,$W173)&amp;"")</f>
        <v/>
      </c>
      <c r="D173">
        <f>IF($W173="","",INDEX('Per Line'!$E$2:$E$501,$W173)&amp;"")</f>
        <v/>
      </c>
      <c r="E173">
        <f>IF($W173="","",INDEX('Per Line'!$H$2:$H$501,$W173)&amp;"")</f>
        <v/>
      </c>
      <c r="F173">
        <f>IF($W173="","",INDEX('Per Line'!$K$2:$K$501,$W173)&amp;"")</f>
        <v/>
      </c>
      <c r="G173">
        <f>IF($W173="","",INDEX('Per Line'!$L$2:$L$501,$W173)&amp;"")</f>
        <v/>
      </c>
      <c r="H173" s="12" t="n"/>
      <c r="I173">
        <f>IF($W173="","",INDEX('Per Line'!$M$2:$M$501,$W173))</f>
        <v/>
      </c>
      <c r="J173" s="7">
        <f>IF($W173="","",I173*T173/100)</f>
        <v/>
      </c>
      <c r="K173" s="11">
        <f>IF($W173="","",INDEX('Per Line'!$O$2:$O$501,$W173))</f>
        <v/>
      </c>
      <c r="L173">
        <f>IF($W173="","",Settings!$C$7)</f>
        <v/>
      </c>
      <c r="M173" s="7">
        <f>IF($W173="","",SUMIFS('Per Line'!$Y$2:$Y$501,'Per Line'!$C$2:$C$501,$B173,'Per Line'!$AD$2:$AD$501,0))</f>
        <v/>
      </c>
      <c r="N173" s="7">
        <f>IF($W173="","",M173*L173)</f>
        <v/>
      </c>
      <c r="O173">
        <f>IF($W173="","",Settings!$C$6)</f>
        <v/>
      </c>
      <c r="P173" s="7">
        <f>IF($W173="","",SUMIFS('Per Line'!$Y$2:$Y$501,'Per Line'!$C$2:$C$501,$B173,'Per Line'!$AD$2:$AD$501,1))</f>
        <v/>
      </c>
      <c r="Q173" s="7">
        <f>IF($W173="","",P173*O173)</f>
        <v/>
      </c>
      <c r="R173" s="7">
        <f>IF($W173="","",Q173+N173)</f>
        <v/>
      </c>
      <c r="S173" s="7">
        <f>IF($W173="","",T173-R173)</f>
        <v/>
      </c>
      <c r="T173" s="7">
        <f>IF($W173="","",M173+P173)</f>
        <v/>
      </c>
      <c r="U173" s="7">
        <f>IF($W173="","",T173-R173-J173)</f>
        <v/>
      </c>
      <c r="V173" s="12" t="n"/>
      <c r="W173" s="13">
        <f>IF(ROWS($W$2:$W173)&lt;=MAX('Per Line'!$AC$2:$AC$501),MATCH(ROWS($W$2:$W173),'Per Line'!$AC$2:$AC$501,0),"")</f>
        <v/>
      </c>
    </row>
    <row r="174">
      <c r="A174" s="12" t="n"/>
      <c r="B174">
        <f>IF($W174="","",INDEX('Per Line'!$C$2:$C$501,$W174)&amp;"")</f>
        <v/>
      </c>
      <c r="C174">
        <f>IF($W174="","",INDEX('Per Line'!$A$2:$A$501,$W174)&amp;"")</f>
        <v/>
      </c>
      <c r="D174">
        <f>IF($W174="","",INDEX('Per Line'!$E$2:$E$501,$W174)&amp;"")</f>
        <v/>
      </c>
      <c r="E174">
        <f>IF($W174="","",INDEX('Per Line'!$H$2:$H$501,$W174)&amp;"")</f>
        <v/>
      </c>
      <c r="F174">
        <f>IF($W174="","",INDEX('Per Line'!$K$2:$K$501,$W174)&amp;"")</f>
        <v/>
      </c>
      <c r="G174">
        <f>IF($W174="","",INDEX('Per Line'!$L$2:$L$501,$W174)&amp;"")</f>
        <v/>
      </c>
      <c r="H174" s="12" t="n"/>
      <c r="I174">
        <f>IF($W174="","",INDEX('Per Line'!$M$2:$M$501,$W174))</f>
        <v/>
      </c>
      <c r="J174" s="7">
        <f>IF($W174="","",I174*T174/100)</f>
        <v/>
      </c>
      <c r="K174" s="11">
        <f>IF($W174="","",INDEX('Per Line'!$O$2:$O$501,$W174))</f>
        <v/>
      </c>
      <c r="L174">
        <f>IF($W174="","",Settings!$C$7)</f>
        <v/>
      </c>
      <c r="M174" s="7">
        <f>IF($W174="","",SUMIFS('Per Line'!$Y$2:$Y$501,'Per Line'!$C$2:$C$501,$B174,'Per Line'!$AD$2:$AD$501,0))</f>
        <v/>
      </c>
      <c r="N174" s="7">
        <f>IF($W174="","",M174*L174)</f>
        <v/>
      </c>
      <c r="O174">
        <f>IF($W174="","",Settings!$C$6)</f>
        <v/>
      </c>
      <c r="P174" s="7">
        <f>IF($W174="","",SUMIFS('Per Line'!$Y$2:$Y$501,'Per Line'!$C$2:$C$501,$B174,'Per Line'!$AD$2:$AD$501,1))</f>
        <v/>
      </c>
      <c r="Q174" s="7">
        <f>IF($W174="","",P174*O174)</f>
        <v/>
      </c>
      <c r="R174" s="7">
        <f>IF($W174="","",Q174+N174)</f>
        <v/>
      </c>
      <c r="S174" s="7">
        <f>IF($W174="","",T174-R174)</f>
        <v/>
      </c>
      <c r="T174" s="7">
        <f>IF($W174="","",M174+P174)</f>
        <v/>
      </c>
      <c r="U174" s="7">
        <f>IF($W174="","",T174-R174-J174)</f>
        <v/>
      </c>
      <c r="V174" s="12" t="n"/>
      <c r="W174" s="13">
        <f>IF(ROWS($W$2:$W174)&lt;=MAX('Per Line'!$AC$2:$AC$501),MATCH(ROWS($W$2:$W174),'Per Line'!$AC$2:$AC$501,0),"")</f>
        <v/>
      </c>
    </row>
    <row r="175">
      <c r="A175" s="12" t="n"/>
      <c r="B175">
        <f>IF($W175="","",INDEX('Per Line'!$C$2:$C$501,$W175)&amp;"")</f>
        <v/>
      </c>
      <c r="C175">
        <f>IF($W175="","",INDEX('Per Line'!$A$2:$A$501,$W175)&amp;"")</f>
        <v/>
      </c>
      <c r="D175">
        <f>IF($W175="","",INDEX('Per Line'!$E$2:$E$501,$W175)&amp;"")</f>
        <v/>
      </c>
      <c r="E175">
        <f>IF($W175="","",INDEX('Per Line'!$H$2:$H$501,$W175)&amp;"")</f>
        <v/>
      </c>
      <c r="F175">
        <f>IF($W175="","",INDEX('Per Line'!$K$2:$K$501,$W175)&amp;"")</f>
        <v/>
      </c>
      <c r="G175">
        <f>IF($W175="","",INDEX('Per Line'!$L$2:$L$501,$W175)&amp;"")</f>
        <v/>
      </c>
      <c r="H175" s="12" t="n"/>
      <c r="I175">
        <f>IF($W175="","",INDEX('Per Line'!$M$2:$M$501,$W175))</f>
        <v/>
      </c>
      <c r="J175" s="7">
        <f>IF($W175="","",I175*T175/100)</f>
        <v/>
      </c>
      <c r="K175" s="11">
        <f>IF($W175="","",INDEX('Per Line'!$O$2:$O$501,$W175))</f>
        <v/>
      </c>
      <c r="L175">
        <f>IF($W175="","",Settings!$C$7)</f>
        <v/>
      </c>
      <c r="M175" s="7">
        <f>IF($W175="","",SUMIFS('Per Line'!$Y$2:$Y$501,'Per Line'!$C$2:$C$501,$B175,'Per Line'!$AD$2:$AD$501,0))</f>
        <v/>
      </c>
      <c r="N175" s="7">
        <f>IF($W175="","",M175*L175)</f>
        <v/>
      </c>
      <c r="O175">
        <f>IF($W175="","",Settings!$C$6)</f>
        <v/>
      </c>
      <c r="P175" s="7">
        <f>IF($W175="","",SUMIFS('Per Line'!$Y$2:$Y$501,'Per Line'!$C$2:$C$501,$B175,'Per Line'!$AD$2:$AD$501,1))</f>
        <v/>
      </c>
      <c r="Q175" s="7">
        <f>IF($W175="","",P175*O175)</f>
        <v/>
      </c>
      <c r="R175" s="7">
        <f>IF($W175="","",Q175+N175)</f>
        <v/>
      </c>
      <c r="S175" s="7">
        <f>IF($W175="","",T175-R175)</f>
        <v/>
      </c>
      <c r="T175" s="7">
        <f>IF($W175="","",M175+P175)</f>
        <v/>
      </c>
      <c r="U175" s="7">
        <f>IF($W175="","",T175-R175-J175)</f>
        <v/>
      </c>
      <c r="V175" s="12" t="n"/>
      <c r="W175" s="13">
        <f>IF(ROWS($W$2:$W175)&lt;=MAX('Per Line'!$AC$2:$AC$501),MATCH(ROWS($W$2:$W175),'Per Line'!$AC$2:$AC$501,0),"")</f>
        <v/>
      </c>
    </row>
    <row r="176">
      <c r="A176" s="12" t="n"/>
      <c r="B176">
        <f>IF($W176="","",INDEX('Per Line'!$C$2:$C$501,$W176)&amp;"")</f>
        <v/>
      </c>
      <c r="C176">
        <f>IF($W176="","",INDEX('Per Line'!$A$2:$A$501,$W176)&amp;"")</f>
        <v/>
      </c>
      <c r="D176">
        <f>IF($W176="","",INDEX('Per Line'!$E$2:$E$501,$W176)&amp;"")</f>
        <v/>
      </c>
      <c r="E176">
        <f>IF($W176="","",INDEX('Per Line'!$H$2:$H$501,$W176)&amp;"")</f>
        <v/>
      </c>
      <c r="F176">
        <f>IF($W176="","",INDEX('Per Line'!$K$2:$K$501,$W176)&amp;"")</f>
        <v/>
      </c>
      <c r="G176">
        <f>IF($W176="","",INDEX('Per Line'!$L$2:$L$501,$W176)&amp;"")</f>
        <v/>
      </c>
      <c r="H176" s="12" t="n"/>
      <c r="I176">
        <f>IF($W176="","",INDEX('Per Line'!$M$2:$M$501,$W176))</f>
        <v/>
      </c>
      <c r="J176" s="7">
        <f>IF($W176="","",I176*T176/100)</f>
        <v/>
      </c>
      <c r="K176" s="11">
        <f>IF($W176="","",INDEX('Per Line'!$O$2:$O$501,$W176))</f>
        <v/>
      </c>
      <c r="L176">
        <f>IF($W176="","",Settings!$C$7)</f>
        <v/>
      </c>
      <c r="M176" s="7">
        <f>IF($W176="","",SUMIFS('Per Line'!$Y$2:$Y$501,'Per Line'!$C$2:$C$501,$B176,'Per Line'!$AD$2:$AD$501,0))</f>
        <v/>
      </c>
      <c r="N176" s="7">
        <f>IF($W176="","",M176*L176)</f>
        <v/>
      </c>
      <c r="O176">
        <f>IF($W176="","",Settings!$C$6)</f>
        <v/>
      </c>
      <c r="P176" s="7">
        <f>IF($W176="","",SUMIFS('Per Line'!$Y$2:$Y$501,'Per Line'!$C$2:$C$501,$B176,'Per Line'!$AD$2:$AD$501,1))</f>
        <v/>
      </c>
      <c r="Q176" s="7">
        <f>IF($W176="","",P176*O176)</f>
        <v/>
      </c>
      <c r="R176" s="7">
        <f>IF($W176="","",Q176+N176)</f>
        <v/>
      </c>
      <c r="S176" s="7">
        <f>IF($W176="","",T176-R176)</f>
        <v/>
      </c>
      <c r="T176" s="7">
        <f>IF($W176="","",M176+P176)</f>
        <v/>
      </c>
      <c r="U176" s="7">
        <f>IF($W176="","",T176-R176-J176)</f>
        <v/>
      </c>
      <c r="V176" s="12" t="n"/>
      <c r="W176" s="13">
        <f>IF(ROWS($W$2:$W176)&lt;=MAX('Per Line'!$AC$2:$AC$501),MATCH(ROWS($W$2:$W176),'Per Line'!$AC$2:$AC$501,0),"")</f>
        <v/>
      </c>
    </row>
    <row r="177">
      <c r="A177" s="12" t="n"/>
      <c r="B177">
        <f>IF($W177="","",INDEX('Per Line'!$C$2:$C$501,$W177)&amp;"")</f>
        <v/>
      </c>
      <c r="C177">
        <f>IF($W177="","",INDEX('Per Line'!$A$2:$A$501,$W177)&amp;"")</f>
        <v/>
      </c>
      <c r="D177">
        <f>IF($W177="","",INDEX('Per Line'!$E$2:$E$501,$W177)&amp;"")</f>
        <v/>
      </c>
      <c r="E177">
        <f>IF($W177="","",INDEX('Per Line'!$H$2:$H$501,$W177)&amp;"")</f>
        <v/>
      </c>
      <c r="F177">
        <f>IF($W177="","",INDEX('Per Line'!$K$2:$K$501,$W177)&amp;"")</f>
        <v/>
      </c>
      <c r="G177">
        <f>IF($W177="","",INDEX('Per Line'!$L$2:$L$501,$W177)&amp;"")</f>
        <v/>
      </c>
      <c r="H177" s="12" t="n"/>
      <c r="I177">
        <f>IF($W177="","",INDEX('Per Line'!$M$2:$M$501,$W177))</f>
        <v/>
      </c>
      <c r="J177" s="7">
        <f>IF($W177="","",I177*T177/100)</f>
        <v/>
      </c>
      <c r="K177" s="11">
        <f>IF($W177="","",INDEX('Per Line'!$O$2:$O$501,$W177))</f>
        <v/>
      </c>
      <c r="L177">
        <f>IF($W177="","",Settings!$C$7)</f>
        <v/>
      </c>
      <c r="M177" s="7">
        <f>IF($W177="","",SUMIFS('Per Line'!$Y$2:$Y$501,'Per Line'!$C$2:$C$501,$B177,'Per Line'!$AD$2:$AD$501,0))</f>
        <v/>
      </c>
      <c r="N177" s="7">
        <f>IF($W177="","",M177*L177)</f>
        <v/>
      </c>
      <c r="O177">
        <f>IF($W177="","",Settings!$C$6)</f>
        <v/>
      </c>
      <c r="P177" s="7">
        <f>IF($W177="","",SUMIFS('Per Line'!$Y$2:$Y$501,'Per Line'!$C$2:$C$501,$B177,'Per Line'!$AD$2:$AD$501,1))</f>
        <v/>
      </c>
      <c r="Q177" s="7">
        <f>IF($W177="","",P177*O177)</f>
        <v/>
      </c>
      <c r="R177" s="7">
        <f>IF($W177="","",Q177+N177)</f>
        <v/>
      </c>
      <c r="S177" s="7">
        <f>IF($W177="","",T177-R177)</f>
        <v/>
      </c>
      <c r="T177" s="7">
        <f>IF($W177="","",M177+P177)</f>
        <v/>
      </c>
      <c r="U177" s="7">
        <f>IF($W177="","",T177-R177-J177)</f>
        <v/>
      </c>
      <c r="V177" s="12" t="n"/>
      <c r="W177" s="13">
        <f>IF(ROWS($W$2:$W177)&lt;=MAX('Per Line'!$AC$2:$AC$501),MATCH(ROWS($W$2:$W177),'Per Line'!$AC$2:$AC$501,0),"")</f>
        <v/>
      </c>
    </row>
    <row r="178">
      <c r="A178" s="12" t="n"/>
      <c r="B178">
        <f>IF($W178="","",INDEX('Per Line'!$C$2:$C$501,$W178)&amp;"")</f>
        <v/>
      </c>
      <c r="C178">
        <f>IF($W178="","",INDEX('Per Line'!$A$2:$A$501,$W178)&amp;"")</f>
        <v/>
      </c>
      <c r="D178">
        <f>IF($W178="","",INDEX('Per Line'!$E$2:$E$501,$W178)&amp;"")</f>
        <v/>
      </c>
      <c r="E178">
        <f>IF($W178="","",INDEX('Per Line'!$H$2:$H$501,$W178)&amp;"")</f>
        <v/>
      </c>
      <c r="F178">
        <f>IF($W178="","",INDEX('Per Line'!$K$2:$K$501,$W178)&amp;"")</f>
        <v/>
      </c>
      <c r="G178">
        <f>IF($W178="","",INDEX('Per Line'!$L$2:$L$501,$W178)&amp;"")</f>
        <v/>
      </c>
      <c r="H178" s="12" t="n"/>
      <c r="I178">
        <f>IF($W178="","",INDEX('Per Line'!$M$2:$M$501,$W178))</f>
        <v/>
      </c>
      <c r="J178" s="7">
        <f>IF($W178="","",I178*T178/100)</f>
        <v/>
      </c>
      <c r="K178" s="11">
        <f>IF($W178="","",INDEX('Per Line'!$O$2:$O$501,$W178))</f>
        <v/>
      </c>
      <c r="L178">
        <f>IF($W178="","",Settings!$C$7)</f>
        <v/>
      </c>
      <c r="M178" s="7">
        <f>IF($W178="","",SUMIFS('Per Line'!$Y$2:$Y$501,'Per Line'!$C$2:$C$501,$B178,'Per Line'!$AD$2:$AD$501,0))</f>
        <v/>
      </c>
      <c r="N178" s="7">
        <f>IF($W178="","",M178*L178)</f>
        <v/>
      </c>
      <c r="O178">
        <f>IF($W178="","",Settings!$C$6)</f>
        <v/>
      </c>
      <c r="P178" s="7">
        <f>IF($W178="","",SUMIFS('Per Line'!$Y$2:$Y$501,'Per Line'!$C$2:$C$501,$B178,'Per Line'!$AD$2:$AD$501,1))</f>
        <v/>
      </c>
      <c r="Q178" s="7">
        <f>IF($W178="","",P178*O178)</f>
        <v/>
      </c>
      <c r="R178" s="7">
        <f>IF($W178="","",Q178+N178)</f>
        <v/>
      </c>
      <c r="S178" s="7">
        <f>IF($W178="","",T178-R178)</f>
        <v/>
      </c>
      <c r="T178" s="7">
        <f>IF($W178="","",M178+P178)</f>
        <v/>
      </c>
      <c r="U178" s="7">
        <f>IF($W178="","",T178-R178-J178)</f>
        <v/>
      </c>
      <c r="V178" s="12" t="n"/>
      <c r="W178" s="13">
        <f>IF(ROWS($W$2:$W178)&lt;=MAX('Per Line'!$AC$2:$AC$501),MATCH(ROWS($W$2:$W178),'Per Line'!$AC$2:$AC$501,0),"")</f>
        <v/>
      </c>
    </row>
    <row r="179">
      <c r="A179" s="12" t="n"/>
      <c r="B179">
        <f>IF($W179="","",INDEX('Per Line'!$C$2:$C$501,$W179)&amp;"")</f>
        <v/>
      </c>
      <c r="C179">
        <f>IF($W179="","",INDEX('Per Line'!$A$2:$A$501,$W179)&amp;"")</f>
        <v/>
      </c>
      <c r="D179">
        <f>IF($W179="","",INDEX('Per Line'!$E$2:$E$501,$W179)&amp;"")</f>
        <v/>
      </c>
      <c r="E179">
        <f>IF($W179="","",INDEX('Per Line'!$H$2:$H$501,$W179)&amp;"")</f>
        <v/>
      </c>
      <c r="F179">
        <f>IF($W179="","",INDEX('Per Line'!$K$2:$K$501,$W179)&amp;"")</f>
        <v/>
      </c>
      <c r="G179">
        <f>IF($W179="","",INDEX('Per Line'!$L$2:$L$501,$W179)&amp;"")</f>
        <v/>
      </c>
      <c r="H179" s="12" t="n"/>
      <c r="I179">
        <f>IF($W179="","",INDEX('Per Line'!$M$2:$M$501,$W179))</f>
        <v/>
      </c>
      <c r="J179" s="7">
        <f>IF($W179="","",I179*T179/100)</f>
        <v/>
      </c>
      <c r="K179" s="11">
        <f>IF($W179="","",INDEX('Per Line'!$O$2:$O$501,$W179))</f>
        <v/>
      </c>
      <c r="L179">
        <f>IF($W179="","",Settings!$C$7)</f>
        <v/>
      </c>
      <c r="M179" s="7">
        <f>IF($W179="","",SUMIFS('Per Line'!$Y$2:$Y$501,'Per Line'!$C$2:$C$501,$B179,'Per Line'!$AD$2:$AD$501,0))</f>
        <v/>
      </c>
      <c r="N179" s="7">
        <f>IF($W179="","",M179*L179)</f>
        <v/>
      </c>
      <c r="O179">
        <f>IF($W179="","",Settings!$C$6)</f>
        <v/>
      </c>
      <c r="P179" s="7">
        <f>IF($W179="","",SUMIFS('Per Line'!$Y$2:$Y$501,'Per Line'!$C$2:$C$501,$B179,'Per Line'!$AD$2:$AD$501,1))</f>
        <v/>
      </c>
      <c r="Q179" s="7">
        <f>IF($W179="","",P179*O179)</f>
        <v/>
      </c>
      <c r="R179" s="7">
        <f>IF($W179="","",Q179+N179)</f>
        <v/>
      </c>
      <c r="S179" s="7">
        <f>IF($W179="","",T179-R179)</f>
        <v/>
      </c>
      <c r="T179" s="7">
        <f>IF($W179="","",M179+P179)</f>
        <v/>
      </c>
      <c r="U179" s="7">
        <f>IF($W179="","",T179-R179-J179)</f>
        <v/>
      </c>
      <c r="V179" s="12" t="n"/>
      <c r="W179" s="13">
        <f>IF(ROWS($W$2:$W179)&lt;=MAX('Per Line'!$AC$2:$AC$501),MATCH(ROWS($W$2:$W179),'Per Line'!$AC$2:$AC$501,0),"")</f>
        <v/>
      </c>
    </row>
    <row r="180">
      <c r="A180" s="12" t="n"/>
      <c r="B180">
        <f>IF($W180="","",INDEX('Per Line'!$C$2:$C$501,$W180)&amp;"")</f>
        <v/>
      </c>
      <c r="C180">
        <f>IF($W180="","",INDEX('Per Line'!$A$2:$A$501,$W180)&amp;"")</f>
        <v/>
      </c>
      <c r="D180">
        <f>IF($W180="","",INDEX('Per Line'!$E$2:$E$501,$W180)&amp;"")</f>
        <v/>
      </c>
      <c r="E180">
        <f>IF($W180="","",INDEX('Per Line'!$H$2:$H$501,$W180)&amp;"")</f>
        <v/>
      </c>
      <c r="F180">
        <f>IF($W180="","",INDEX('Per Line'!$K$2:$K$501,$W180)&amp;"")</f>
        <v/>
      </c>
      <c r="G180">
        <f>IF($W180="","",INDEX('Per Line'!$L$2:$L$501,$W180)&amp;"")</f>
        <v/>
      </c>
      <c r="H180" s="12" t="n"/>
      <c r="I180">
        <f>IF($W180="","",INDEX('Per Line'!$M$2:$M$501,$W180))</f>
        <v/>
      </c>
      <c r="J180" s="7">
        <f>IF($W180="","",I180*T180/100)</f>
        <v/>
      </c>
      <c r="K180" s="11">
        <f>IF($W180="","",INDEX('Per Line'!$O$2:$O$501,$W180))</f>
        <v/>
      </c>
      <c r="L180">
        <f>IF($W180="","",Settings!$C$7)</f>
        <v/>
      </c>
      <c r="M180" s="7">
        <f>IF($W180="","",SUMIFS('Per Line'!$Y$2:$Y$501,'Per Line'!$C$2:$C$501,$B180,'Per Line'!$AD$2:$AD$501,0))</f>
        <v/>
      </c>
      <c r="N180" s="7">
        <f>IF($W180="","",M180*L180)</f>
        <v/>
      </c>
      <c r="O180">
        <f>IF($W180="","",Settings!$C$6)</f>
        <v/>
      </c>
      <c r="P180" s="7">
        <f>IF($W180="","",SUMIFS('Per Line'!$Y$2:$Y$501,'Per Line'!$C$2:$C$501,$B180,'Per Line'!$AD$2:$AD$501,1))</f>
        <v/>
      </c>
      <c r="Q180" s="7">
        <f>IF($W180="","",P180*O180)</f>
        <v/>
      </c>
      <c r="R180" s="7">
        <f>IF($W180="","",Q180+N180)</f>
        <v/>
      </c>
      <c r="S180" s="7">
        <f>IF($W180="","",T180-R180)</f>
        <v/>
      </c>
      <c r="T180" s="7">
        <f>IF($W180="","",M180+P180)</f>
        <v/>
      </c>
      <c r="U180" s="7">
        <f>IF($W180="","",T180-R180-J180)</f>
        <v/>
      </c>
      <c r="V180" s="12" t="n"/>
      <c r="W180" s="13">
        <f>IF(ROWS($W$2:$W180)&lt;=MAX('Per Line'!$AC$2:$AC$501),MATCH(ROWS($W$2:$W180),'Per Line'!$AC$2:$AC$501,0),"")</f>
        <v/>
      </c>
    </row>
    <row r="181">
      <c r="A181" s="12" t="n"/>
      <c r="B181">
        <f>IF($W181="","",INDEX('Per Line'!$C$2:$C$501,$W181)&amp;"")</f>
        <v/>
      </c>
      <c r="C181">
        <f>IF($W181="","",INDEX('Per Line'!$A$2:$A$501,$W181)&amp;"")</f>
        <v/>
      </c>
      <c r="D181">
        <f>IF($W181="","",INDEX('Per Line'!$E$2:$E$501,$W181)&amp;"")</f>
        <v/>
      </c>
      <c r="E181">
        <f>IF($W181="","",INDEX('Per Line'!$H$2:$H$501,$W181)&amp;"")</f>
        <v/>
      </c>
      <c r="F181">
        <f>IF($W181="","",INDEX('Per Line'!$K$2:$K$501,$W181)&amp;"")</f>
        <v/>
      </c>
      <c r="G181">
        <f>IF($W181="","",INDEX('Per Line'!$L$2:$L$501,$W181)&amp;"")</f>
        <v/>
      </c>
      <c r="H181" s="12" t="n"/>
      <c r="I181">
        <f>IF($W181="","",INDEX('Per Line'!$M$2:$M$501,$W181))</f>
        <v/>
      </c>
      <c r="J181" s="7">
        <f>IF($W181="","",I181*T181/100)</f>
        <v/>
      </c>
      <c r="K181" s="11">
        <f>IF($W181="","",INDEX('Per Line'!$O$2:$O$501,$W181))</f>
        <v/>
      </c>
      <c r="L181">
        <f>IF($W181="","",Settings!$C$7)</f>
        <v/>
      </c>
      <c r="M181" s="7">
        <f>IF($W181="","",SUMIFS('Per Line'!$Y$2:$Y$501,'Per Line'!$C$2:$C$501,$B181,'Per Line'!$AD$2:$AD$501,0))</f>
        <v/>
      </c>
      <c r="N181" s="7">
        <f>IF($W181="","",M181*L181)</f>
        <v/>
      </c>
      <c r="O181">
        <f>IF($W181="","",Settings!$C$6)</f>
        <v/>
      </c>
      <c r="P181" s="7">
        <f>IF($W181="","",SUMIFS('Per Line'!$Y$2:$Y$501,'Per Line'!$C$2:$C$501,$B181,'Per Line'!$AD$2:$AD$501,1))</f>
        <v/>
      </c>
      <c r="Q181" s="7">
        <f>IF($W181="","",P181*O181)</f>
        <v/>
      </c>
      <c r="R181" s="7">
        <f>IF($W181="","",Q181+N181)</f>
        <v/>
      </c>
      <c r="S181" s="7">
        <f>IF($W181="","",T181-R181)</f>
        <v/>
      </c>
      <c r="T181" s="7">
        <f>IF($W181="","",M181+P181)</f>
        <v/>
      </c>
      <c r="U181" s="7">
        <f>IF($W181="","",T181-R181-J181)</f>
        <v/>
      </c>
      <c r="V181" s="12" t="n"/>
      <c r="W181" s="13">
        <f>IF(ROWS($W$2:$W181)&lt;=MAX('Per Line'!$AC$2:$AC$501),MATCH(ROWS($W$2:$W181),'Per Line'!$AC$2:$AC$501,0),"")</f>
        <v/>
      </c>
    </row>
    <row r="182">
      <c r="A182" s="12" t="n"/>
      <c r="B182">
        <f>IF($W182="","",INDEX('Per Line'!$C$2:$C$501,$W182)&amp;"")</f>
        <v/>
      </c>
      <c r="C182">
        <f>IF($W182="","",INDEX('Per Line'!$A$2:$A$501,$W182)&amp;"")</f>
        <v/>
      </c>
      <c r="D182">
        <f>IF($W182="","",INDEX('Per Line'!$E$2:$E$501,$W182)&amp;"")</f>
        <v/>
      </c>
      <c r="E182">
        <f>IF($W182="","",INDEX('Per Line'!$H$2:$H$501,$W182)&amp;"")</f>
        <v/>
      </c>
      <c r="F182">
        <f>IF($W182="","",INDEX('Per Line'!$K$2:$K$501,$W182)&amp;"")</f>
        <v/>
      </c>
      <c r="G182">
        <f>IF($W182="","",INDEX('Per Line'!$L$2:$L$501,$W182)&amp;"")</f>
        <v/>
      </c>
      <c r="H182" s="12" t="n"/>
      <c r="I182">
        <f>IF($W182="","",INDEX('Per Line'!$M$2:$M$501,$W182))</f>
        <v/>
      </c>
      <c r="J182" s="7">
        <f>IF($W182="","",I182*T182/100)</f>
        <v/>
      </c>
      <c r="K182" s="11">
        <f>IF($W182="","",INDEX('Per Line'!$O$2:$O$501,$W182))</f>
        <v/>
      </c>
      <c r="L182">
        <f>IF($W182="","",Settings!$C$7)</f>
        <v/>
      </c>
      <c r="M182" s="7">
        <f>IF($W182="","",SUMIFS('Per Line'!$Y$2:$Y$501,'Per Line'!$C$2:$C$501,$B182,'Per Line'!$AD$2:$AD$501,0))</f>
        <v/>
      </c>
      <c r="N182" s="7">
        <f>IF($W182="","",M182*L182)</f>
        <v/>
      </c>
      <c r="O182">
        <f>IF($W182="","",Settings!$C$6)</f>
        <v/>
      </c>
      <c r="P182" s="7">
        <f>IF($W182="","",SUMIFS('Per Line'!$Y$2:$Y$501,'Per Line'!$C$2:$C$501,$B182,'Per Line'!$AD$2:$AD$501,1))</f>
        <v/>
      </c>
      <c r="Q182" s="7">
        <f>IF($W182="","",P182*O182)</f>
        <v/>
      </c>
      <c r="R182" s="7">
        <f>IF($W182="","",Q182+N182)</f>
        <v/>
      </c>
      <c r="S182" s="7">
        <f>IF($W182="","",T182-R182)</f>
        <v/>
      </c>
      <c r="T182" s="7">
        <f>IF($W182="","",M182+P182)</f>
        <v/>
      </c>
      <c r="U182" s="7">
        <f>IF($W182="","",T182-R182-J182)</f>
        <v/>
      </c>
      <c r="V182" s="12" t="n"/>
      <c r="W182" s="13">
        <f>IF(ROWS($W$2:$W182)&lt;=MAX('Per Line'!$AC$2:$AC$501),MATCH(ROWS($W$2:$W182),'Per Line'!$AC$2:$AC$501,0),"")</f>
        <v/>
      </c>
    </row>
    <row r="183">
      <c r="A183" s="12" t="n"/>
      <c r="B183">
        <f>IF($W183="","",INDEX('Per Line'!$C$2:$C$501,$W183)&amp;"")</f>
        <v/>
      </c>
      <c r="C183">
        <f>IF($W183="","",INDEX('Per Line'!$A$2:$A$501,$W183)&amp;"")</f>
        <v/>
      </c>
      <c r="D183">
        <f>IF($W183="","",INDEX('Per Line'!$E$2:$E$501,$W183)&amp;"")</f>
        <v/>
      </c>
      <c r="E183">
        <f>IF($W183="","",INDEX('Per Line'!$H$2:$H$501,$W183)&amp;"")</f>
        <v/>
      </c>
      <c r="F183">
        <f>IF($W183="","",INDEX('Per Line'!$K$2:$K$501,$W183)&amp;"")</f>
        <v/>
      </c>
      <c r="G183">
        <f>IF($W183="","",INDEX('Per Line'!$L$2:$L$501,$W183)&amp;"")</f>
        <v/>
      </c>
      <c r="H183" s="12" t="n"/>
      <c r="I183">
        <f>IF($W183="","",INDEX('Per Line'!$M$2:$M$501,$W183))</f>
        <v/>
      </c>
      <c r="J183" s="7">
        <f>IF($W183="","",I183*T183/100)</f>
        <v/>
      </c>
      <c r="K183" s="11">
        <f>IF($W183="","",INDEX('Per Line'!$O$2:$O$501,$W183))</f>
        <v/>
      </c>
      <c r="L183">
        <f>IF($W183="","",Settings!$C$7)</f>
        <v/>
      </c>
      <c r="M183" s="7">
        <f>IF($W183="","",SUMIFS('Per Line'!$Y$2:$Y$501,'Per Line'!$C$2:$C$501,$B183,'Per Line'!$AD$2:$AD$501,0))</f>
        <v/>
      </c>
      <c r="N183" s="7">
        <f>IF($W183="","",M183*L183)</f>
        <v/>
      </c>
      <c r="O183">
        <f>IF($W183="","",Settings!$C$6)</f>
        <v/>
      </c>
      <c r="P183" s="7">
        <f>IF($W183="","",SUMIFS('Per Line'!$Y$2:$Y$501,'Per Line'!$C$2:$C$501,$B183,'Per Line'!$AD$2:$AD$501,1))</f>
        <v/>
      </c>
      <c r="Q183" s="7">
        <f>IF($W183="","",P183*O183)</f>
        <v/>
      </c>
      <c r="R183" s="7">
        <f>IF($W183="","",Q183+N183)</f>
        <v/>
      </c>
      <c r="S183" s="7">
        <f>IF($W183="","",T183-R183)</f>
        <v/>
      </c>
      <c r="T183" s="7">
        <f>IF($W183="","",M183+P183)</f>
        <v/>
      </c>
      <c r="U183" s="7">
        <f>IF($W183="","",T183-R183-J183)</f>
        <v/>
      </c>
      <c r="V183" s="12" t="n"/>
      <c r="W183" s="13">
        <f>IF(ROWS($W$2:$W183)&lt;=MAX('Per Line'!$AC$2:$AC$501),MATCH(ROWS($W$2:$W183),'Per Line'!$AC$2:$AC$501,0),"")</f>
        <v/>
      </c>
    </row>
    <row r="184">
      <c r="A184" s="12" t="n"/>
      <c r="B184">
        <f>IF($W184="","",INDEX('Per Line'!$C$2:$C$501,$W184)&amp;"")</f>
        <v/>
      </c>
      <c r="C184">
        <f>IF($W184="","",INDEX('Per Line'!$A$2:$A$501,$W184)&amp;"")</f>
        <v/>
      </c>
      <c r="D184">
        <f>IF($W184="","",INDEX('Per Line'!$E$2:$E$501,$W184)&amp;"")</f>
        <v/>
      </c>
      <c r="E184">
        <f>IF($W184="","",INDEX('Per Line'!$H$2:$H$501,$W184)&amp;"")</f>
        <v/>
      </c>
      <c r="F184">
        <f>IF($W184="","",INDEX('Per Line'!$K$2:$K$501,$W184)&amp;"")</f>
        <v/>
      </c>
      <c r="G184">
        <f>IF($W184="","",INDEX('Per Line'!$L$2:$L$501,$W184)&amp;"")</f>
        <v/>
      </c>
      <c r="H184" s="12" t="n"/>
      <c r="I184">
        <f>IF($W184="","",INDEX('Per Line'!$M$2:$M$501,$W184))</f>
        <v/>
      </c>
      <c r="J184" s="7">
        <f>IF($W184="","",I184*T184/100)</f>
        <v/>
      </c>
      <c r="K184" s="11">
        <f>IF($W184="","",INDEX('Per Line'!$O$2:$O$501,$W184))</f>
        <v/>
      </c>
      <c r="L184">
        <f>IF($W184="","",Settings!$C$7)</f>
        <v/>
      </c>
      <c r="M184" s="7">
        <f>IF($W184="","",SUMIFS('Per Line'!$Y$2:$Y$501,'Per Line'!$C$2:$C$501,$B184,'Per Line'!$AD$2:$AD$501,0))</f>
        <v/>
      </c>
      <c r="N184" s="7">
        <f>IF($W184="","",M184*L184)</f>
        <v/>
      </c>
      <c r="O184">
        <f>IF($W184="","",Settings!$C$6)</f>
        <v/>
      </c>
      <c r="P184" s="7">
        <f>IF($W184="","",SUMIFS('Per Line'!$Y$2:$Y$501,'Per Line'!$C$2:$C$501,$B184,'Per Line'!$AD$2:$AD$501,1))</f>
        <v/>
      </c>
      <c r="Q184" s="7">
        <f>IF($W184="","",P184*O184)</f>
        <v/>
      </c>
      <c r="R184" s="7">
        <f>IF($W184="","",Q184+N184)</f>
        <v/>
      </c>
      <c r="S184" s="7">
        <f>IF($W184="","",T184-R184)</f>
        <v/>
      </c>
      <c r="T184" s="7">
        <f>IF($W184="","",M184+P184)</f>
        <v/>
      </c>
      <c r="U184" s="7">
        <f>IF($W184="","",T184-R184-J184)</f>
        <v/>
      </c>
      <c r="V184" s="12" t="n"/>
      <c r="W184" s="13">
        <f>IF(ROWS($W$2:$W184)&lt;=MAX('Per Line'!$AC$2:$AC$501),MATCH(ROWS($W$2:$W184),'Per Line'!$AC$2:$AC$501,0),"")</f>
        <v/>
      </c>
    </row>
    <row r="185">
      <c r="A185" s="12" t="n"/>
      <c r="B185">
        <f>IF($W185="","",INDEX('Per Line'!$C$2:$C$501,$W185)&amp;"")</f>
        <v/>
      </c>
      <c r="C185">
        <f>IF($W185="","",INDEX('Per Line'!$A$2:$A$501,$W185)&amp;"")</f>
        <v/>
      </c>
      <c r="D185">
        <f>IF($W185="","",INDEX('Per Line'!$E$2:$E$501,$W185)&amp;"")</f>
        <v/>
      </c>
      <c r="E185">
        <f>IF($W185="","",INDEX('Per Line'!$H$2:$H$501,$W185)&amp;"")</f>
        <v/>
      </c>
      <c r="F185">
        <f>IF($W185="","",INDEX('Per Line'!$K$2:$K$501,$W185)&amp;"")</f>
        <v/>
      </c>
      <c r="G185">
        <f>IF($W185="","",INDEX('Per Line'!$L$2:$L$501,$W185)&amp;"")</f>
        <v/>
      </c>
      <c r="H185" s="12" t="n"/>
      <c r="I185">
        <f>IF($W185="","",INDEX('Per Line'!$M$2:$M$501,$W185))</f>
        <v/>
      </c>
      <c r="J185" s="7">
        <f>IF($W185="","",I185*T185/100)</f>
        <v/>
      </c>
      <c r="K185" s="11">
        <f>IF($W185="","",INDEX('Per Line'!$O$2:$O$501,$W185))</f>
        <v/>
      </c>
      <c r="L185">
        <f>IF($W185="","",Settings!$C$7)</f>
        <v/>
      </c>
      <c r="M185" s="7">
        <f>IF($W185="","",SUMIFS('Per Line'!$Y$2:$Y$501,'Per Line'!$C$2:$C$501,$B185,'Per Line'!$AD$2:$AD$501,0))</f>
        <v/>
      </c>
      <c r="N185" s="7">
        <f>IF($W185="","",M185*L185)</f>
        <v/>
      </c>
      <c r="O185">
        <f>IF($W185="","",Settings!$C$6)</f>
        <v/>
      </c>
      <c r="P185" s="7">
        <f>IF($W185="","",SUMIFS('Per Line'!$Y$2:$Y$501,'Per Line'!$C$2:$C$501,$B185,'Per Line'!$AD$2:$AD$501,1))</f>
        <v/>
      </c>
      <c r="Q185" s="7">
        <f>IF($W185="","",P185*O185)</f>
        <v/>
      </c>
      <c r="R185" s="7">
        <f>IF($W185="","",Q185+N185)</f>
        <v/>
      </c>
      <c r="S185" s="7">
        <f>IF($W185="","",T185-R185)</f>
        <v/>
      </c>
      <c r="T185" s="7">
        <f>IF($W185="","",M185+P185)</f>
        <v/>
      </c>
      <c r="U185" s="7">
        <f>IF($W185="","",T185-R185-J185)</f>
        <v/>
      </c>
      <c r="V185" s="12" t="n"/>
      <c r="W185" s="13">
        <f>IF(ROWS($W$2:$W185)&lt;=MAX('Per Line'!$AC$2:$AC$501),MATCH(ROWS($W$2:$W185),'Per Line'!$AC$2:$AC$501,0),"")</f>
        <v/>
      </c>
    </row>
    <row r="186">
      <c r="A186" s="12" t="n"/>
      <c r="B186">
        <f>IF($W186="","",INDEX('Per Line'!$C$2:$C$501,$W186)&amp;"")</f>
        <v/>
      </c>
      <c r="C186">
        <f>IF($W186="","",INDEX('Per Line'!$A$2:$A$501,$W186)&amp;"")</f>
        <v/>
      </c>
      <c r="D186">
        <f>IF($W186="","",INDEX('Per Line'!$E$2:$E$501,$W186)&amp;"")</f>
        <v/>
      </c>
      <c r="E186">
        <f>IF($W186="","",INDEX('Per Line'!$H$2:$H$501,$W186)&amp;"")</f>
        <v/>
      </c>
      <c r="F186">
        <f>IF($W186="","",INDEX('Per Line'!$K$2:$K$501,$W186)&amp;"")</f>
        <v/>
      </c>
      <c r="G186">
        <f>IF($W186="","",INDEX('Per Line'!$L$2:$L$501,$W186)&amp;"")</f>
        <v/>
      </c>
      <c r="H186" s="12" t="n"/>
      <c r="I186">
        <f>IF($W186="","",INDEX('Per Line'!$M$2:$M$501,$W186))</f>
        <v/>
      </c>
      <c r="J186" s="7">
        <f>IF($W186="","",I186*T186/100)</f>
        <v/>
      </c>
      <c r="K186" s="11">
        <f>IF($W186="","",INDEX('Per Line'!$O$2:$O$501,$W186))</f>
        <v/>
      </c>
      <c r="L186">
        <f>IF($W186="","",Settings!$C$7)</f>
        <v/>
      </c>
      <c r="M186" s="7">
        <f>IF($W186="","",SUMIFS('Per Line'!$Y$2:$Y$501,'Per Line'!$C$2:$C$501,$B186,'Per Line'!$AD$2:$AD$501,0))</f>
        <v/>
      </c>
      <c r="N186" s="7">
        <f>IF($W186="","",M186*L186)</f>
        <v/>
      </c>
      <c r="O186">
        <f>IF($W186="","",Settings!$C$6)</f>
        <v/>
      </c>
      <c r="P186" s="7">
        <f>IF($W186="","",SUMIFS('Per Line'!$Y$2:$Y$501,'Per Line'!$C$2:$C$501,$B186,'Per Line'!$AD$2:$AD$501,1))</f>
        <v/>
      </c>
      <c r="Q186" s="7">
        <f>IF($W186="","",P186*O186)</f>
        <v/>
      </c>
      <c r="R186" s="7">
        <f>IF($W186="","",Q186+N186)</f>
        <v/>
      </c>
      <c r="S186" s="7">
        <f>IF($W186="","",T186-R186)</f>
        <v/>
      </c>
      <c r="T186" s="7">
        <f>IF($W186="","",M186+P186)</f>
        <v/>
      </c>
      <c r="U186" s="7">
        <f>IF($W186="","",T186-R186-J186)</f>
        <v/>
      </c>
      <c r="V186" s="12" t="n"/>
      <c r="W186" s="13">
        <f>IF(ROWS($W$2:$W186)&lt;=MAX('Per Line'!$AC$2:$AC$501),MATCH(ROWS($W$2:$W186),'Per Line'!$AC$2:$AC$501,0),"")</f>
        <v/>
      </c>
    </row>
    <row r="187">
      <c r="A187" s="12" t="n"/>
      <c r="B187">
        <f>IF($W187="","",INDEX('Per Line'!$C$2:$C$501,$W187)&amp;"")</f>
        <v/>
      </c>
      <c r="C187">
        <f>IF($W187="","",INDEX('Per Line'!$A$2:$A$501,$W187)&amp;"")</f>
        <v/>
      </c>
      <c r="D187">
        <f>IF($W187="","",INDEX('Per Line'!$E$2:$E$501,$W187)&amp;"")</f>
        <v/>
      </c>
      <c r="E187">
        <f>IF($W187="","",INDEX('Per Line'!$H$2:$H$501,$W187)&amp;"")</f>
        <v/>
      </c>
      <c r="F187">
        <f>IF($W187="","",INDEX('Per Line'!$K$2:$K$501,$W187)&amp;"")</f>
        <v/>
      </c>
      <c r="G187">
        <f>IF($W187="","",INDEX('Per Line'!$L$2:$L$501,$W187)&amp;"")</f>
        <v/>
      </c>
      <c r="H187" s="12" t="n"/>
      <c r="I187">
        <f>IF($W187="","",INDEX('Per Line'!$M$2:$M$501,$W187))</f>
        <v/>
      </c>
      <c r="J187" s="7">
        <f>IF($W187="","",I187*T187/100)</f>
        <v/>
      </c>
      <c r="K187" s="11">
        <f>IF($W187="","",INDEX('Per Line'!$O$2:$O$501,$W187))</f>
        <v/>
      </c>
      <c r="L187">
        <f>IF($W187="","",Settings!$C$7)</f>
        <v/>
      </c>
      <c r="M187" s="7">
        <f>IF($W187="","",SUMIFS('Per Line'!$Y$2:$Y$501,'Per Line'!$C$2:$C$501,$B187,'Per Line'!$AD$2:$AD$501,0))</f>
        <v/>
      </c>
      <c r="N187" s="7">
        <f>IF($W187="","",M187*L187)</f>
        <v/>
      </c>
      <c r="O187">
        <f>IF($W187="","",Settings!$C$6)</f>
        <v/>
      </c>
      <c r="P187" s="7">
        <f>IF($W187="","",SUMIFS('Per Line'!$Y$2:$Y$501,'Per Line'!$C$2:$C$501,$B187,'Per Line'!$AD$2:$AD$501,1))</f>
        <v/>
      </c>
      <c r="Q187" s="7">
        <f>IF($W187="","",P187*O187)</f>
        <v/>
      </c>
      <c r="R187" s="7">
        <f>IF($W187="","",Q187+N187)</f>
        <v/>
      </c>
      <c r="S187" s="7">
        <f>IF($W187="","",T187-R187)</f>
        <v/>
      </c>
      <c r="T187" s="7">
        <f>IF($W187="","",M187+P187)</f>
        <v/>
      </c>
      <c r="U187" s="7">
        <f>IF($W187="","",T187-R187-J187)</f>
        <v/>
      </c>
      <c r="V187" s="12" t="n"/>
      <c r="W187" s="13">
        <f>IF(ROWS($W$2:$W187)&lt;=MAX('Per Line'!$AC$2:$AC$501),MATCH(ROWS($W$2:$W187),'Per Line'!$AC$2:$AC$501,0),"")</f>
        <v/>
      </c>
    </row>
    <row r="188">
      <c r="A188" s="12" t="n"/>
      <c r="B188">
        <f>IF($W188="","",INDEX('Per Line'!$C$2:$C$501,$W188)&amp;"")</f>
        <v/>
      </c>
      <c r="C188">
        <f>IF($W188="","",INDEX('Per Line'!$A$2:$A$501,$W188)&amp;"")</f>
        <v/>
      </c>
      <c r="D188">
        <f>IF($W188="","",INDEX('Per Line'!$E$2:$E$501,$W188)&amp;"")</f>
        <v/>
      </c>
      <c r="E188">
        <f>IF($W188="","",INDEX('Per Line'!$H$2:$H$501,$W188)&amp;"")</f>
        <v/>
      </c>
      <c r="F188">
        <f>IF($W188="","",INDEX('Per Line'!$K$2:$K$501,$W188)&amp;"")</f>
        <v/>
      </c>
      <c r="G188">
        <f>IF($W188="","",INDEX('Per Line'!$L$2:$L$501,$W188)&amp;"")</f>
        <v/>
      </c>
      <c r="H188" s="12" t="n"/>
      <c r="I188">
        <f>IF($W188="","",INDEX('Per Line'!$M$2:$M$501,$W188))</f>
        <v/>
      </c>
      <c r="J188" s="7">
        <f>IF($W188="","",I188*T188/100)</f>
        <v/>
      </c>
      <c r="K188" s="11">
        <f>IF($W188="","",INDEX('Per Line'!$O$2:$O$501,$W188))</f>
        <v/>
      </c>
      <c r="L188">
        <f>IF($W188="","",Settings!$C$7)</f>
        <v/>
      </c>
      <c r="M188" s="7">
        <f>IF($W188="","",SUMIFS('Per Line'!$Y$2:$Y$501,'Per Line'!$C$2:$C$501,$B188,'Per Line'!$AD$2:$AD$501,0))</f>
        <v/>
      </c>
      <c r="N188" s="7">
        <f>IF($W188="","",M188*L188)</f>
        <v/>
      </c>
      <c r="O188">
        <f>IF($W188="","",Settings!$C$6)</f>
        <v/>
      </c>
      <c r="P188" s="7">
        <f>IF($W188="","",SUMIFS('Per Line'!$Y$2:$Y$501,'Per Line'!$C$2:$C$501,$B188,'Per Line'!$AD$2:$AD$501,1))</f>
        <v/>
      </c>
      <c r="Q188" s="7">
        <f>IF($W188="","",P188*O188)</f>
        <v/>
      </c>
      <c r="R188" s="7">
        <f>IF($W188="","",Q188+N188)</f>
        <v/>
      </c>
      <c r="S188" s="7">
        <f>IF($W188="","",T188-R188)</f>
        <v/>
      </c>
      <c r="T188" s="7">
        <f>IF($W188="","",M188+P188)</f>
        <v/>
      </c>
      <c r="U188" s="7">
        <f>IF($W188="","",T188-R188-J188)</f>
        <v/>
      </c>
      <c r="V188" s="12" t="n"/>
      <c r="W188" s="13">
        <f>IF(ROWS($W$2:$W188)&lt;=MAX('Per Line'!$AC$2:$AC$501),MATCH(ROWS($W$2:$W188),'Per Line'!$AC$2:$AC$501,0),"")</f>
        <v/>
      </c>
    </row>
    <row r="189">
      <c r="A189" s="12" t="n"/>
      <c r="B189">
        <f>IF($W189="","",INDEX('Per Line'!$C$2:$C$501,$W189)&amp;"")</f>
        <v/>
      </c>
      <c r="C189">
        <f>IF($W189="","",INDEX('Per Line'!$A$2:$A$501,$W189)&amp;"")</f>
        <v/>
      </c>
      <c r="D189">
        <f>IF($W189="","",INDEX('Per Line'!$E$2:$E$501,$W189)&amp;"")</f>
        <v/>
      </c>
      <c r="E189">
        <f>IF($W189="","",INDEX('Per Line'!$H$2:$H$501,$W189)&amp;"")</f>
        <v/>
      </c>
      <c r="F189">
        <f>IF($W189="","",INDEX('Per Line'!$K$2:$K$501,$W189)&amp;"")</f>
        <v/>
      </c>
      <c r="G189">
        <f>IF($W189="","",INDEX('Per Line'!$L$2:$L$501,$W189)&amp;"")</f>
        <v/>
      </c>
      <c r="H189" s="12" t="n"/>
      <c r="I189">
        <f>IF($W189="","",INDEX('Per Line'!$M$2:$M$501,$W189))</f>
        <v/>
      </c>
      <c r="J189" s="7">
        <f>IF($W189="","",I189*T189/100)</f>
        <v/>
      </c>
      <c r="K189" s="11">
        <f>IF($W189="","",INDEX('Per Line'!$O$2:$O$501,$W189))</f>
        <v/>
      </c>
      <c r="L189">
        <f>IF($W189="","",Settings!$C$7)</f>
        <v/>
      </c>
      <c r="M189" s="7">
        <f>IF($W189="","",SUMIFS('Per Line'!$Y$2:$Y$501,'Per Line'!$C$2:$C$501,$B189,'Per Line'!$AD$2:$AD$501,0))</f>
        <v/>
      </c>
      <c r="N189" s="7">
        <f>IF($W189="","",M189*L189)</f>
        <v/>
      </c>
      <c r="O189">
        <f>IF($W189="","",Settings!$C$6)</f>
        <v/>
      </c>
      <c r="P189" s="7">
        <f>IF($W189="","",SUMIFS('Per Line'!$Y$2:$Y$501,'Per Line'!$C$2:$C$501,$B189,'Per Line'!$AD$2:$AD$501,1))</f>
        <v/>
      </c>
      <c r="Q189" s="7">
        <f>IF($W189="","",P189*O189)</f>
        <v/>
      </c>
      <c r="R189" s="7">
        <f>IF($W189="","",Q189+N189)</f>
        <v/>
      </c>
      <c r="S189" s="7">
        <f>IF($W189="","",T189-R189)</f>
        <v/>
      </c>
      <c r="T189" s="7">
        <f>IF($W189="","",M189+P189)</f>
        <v/>
      </c>
      <c r="U189" s="7">
        <f>IF($W189="","",T189-R189-J189)</f>
        <v/>
      </c>
      <c r="V189" s="12" t="n"/>
      <c r="W189" s="13">
        <f>IF(ROWS($W$2:$W189)&lt;=MAX('Per Line'!$AC$2:$AC$501),MATCH(ROWS($W$2:$W189),'Per Line'!$AC$2:$AC$501,0),"")</f>
        <v/>
      </c>
    </row>
    <row r="190">
      <c r="A190" s="12" t="n"/>
      <c r="B190">
        <f>IF($W190="","",INDEX('Per Line'!$C$2:$C$501,$W190)&amp;"")</f>
        <v/>
      </c>
      <c r="C190">
        <f>IF($W190="","",INDEX('Per Line'!$A$2:$A$501,$W190)&amp;"")</f>
        <v/>
      </c>
      <c r="D190">
        <f>IF($W190="","",INDEX('Per Line'!$E$2:$E$501,$W190)&amp;"")</f>
        <v/>
      </c>
      <c r="E190">
        <f>IF($W190="","",INDEX('Per Line'!$H$2:$H$501,$W190)&amp;"")</f>
        <v/>
      </c>
      <c r="F190">
        <f>IF($W190="","",INDEX('Per Line'!$K$2:$K$501,$W190)&amp;"")</f>
        <v/>
      </c>
      <c r="G190">
        <f>IF($W190="","",INDEX('Per Line'!$L$2:$L$501,$W190)&amp;"")</f>
        <v/>
      </c>
      <c r="H190" s="12" t="n"/>
      <c r="I190">
        <f>IF($W190="","",INDEX('Per Line'!$M$2:$M$501,$W190))</f>
        <v/>
      </c>
      <c r="J190" s="7">
        <f>IF($W190="","",I190*T190/100)</f>
        <v/>
      </c>
      <c r="K190" s="11">
        <f>IF($W190="","",INDEX('Per Line'!$O$2:$O$501,$W190))</f>
        <v/>
      </c>
      <c r="L190">
        <f>IF($W190="","",Settings!$C$7)</f>
        <v/>
      </c>
      <c r="M190" s="7">
        <f>IF($W190="","",SUMIFS('Per Line'!$Y$2:$Y$501,'Per Line'!$C$2:$C$501,$B190,'Per Line'!$AD$2:$AD$501,0))</f>
        <v/>
      </c>
      <c r="N190" s="7">
        <f>IF($W190="","",M190*L190)</f>
        <v/>
      </c>
      <c r="O190">
        <f>IF($W190="","",Settings!$C$6)</f>
        <v/>
      </c>
      <c r="P190" s="7">
        <f>IF($W190="","",SUMIFS('Per Line'!$Y$2:$Y$501,'Per Line'!$C$2:$C$501,$B190,'Per Line'!$AD$2:$AD$501,1))</f>
        <v/>
      </c>
      <c r="Q190" s="7">
        <f>IF($W190="","",P190*O190)</f>
        <v/>
      </c>
      <c r="R190" s="7">
        <f>IF($W190="","",Q190+N190)</f>
        <v/>
      </c>
      <c r="S190" s="7">
        <f>IF($W190="","",T190-R190)</f>
        <v/>
      </c>
      <c r="T190" s="7">
        <f>IF($W190="","",M190+P190)</f>
        <v/>
      </c>
      <c r="U190" s="7">
        <f>IF($W190="","",T190-R190-J190)</f>
        <v/>
      </c>
      <c r="V190" s="12" t="n"/>
      <c r="W190" s="13">
        <f>IF(ROWS($W$2:$W190)&lt;=MAX('Per Line'!$AC$2:$AC$501),MATCH(ROWS($W$2:$W190),'Per Line'!$AC$2:$AC$501,0),"")</f>
        <v/>
      </c>
    </row>
    <row r="191">
      <c r="A191" s="12" t="n"/>
      <c r="B191">
        <f>IF($W191="","",INDEX('Per Line'!$C$2:$C$501,$W191)&amp;"")</f>
        <v/>
      </c>
      <c r="C191">
        <f>IF($W191="","",INDEX('Per Line'!$A$2:$A$501,$W191)&amp;"")</f>
        <v/>
      </c>
      <c r="D191">
        <f>IF($W191="","",INDEX('Per Line'!$E$2:$E$501,$W191)&amp;"")</f>
        <v/>
      </c>
      <c r="E191">
        <f>IF($W191="","",INDEX('Per Line'!$H$2:$H$501,$W191)&amp;"")</f>
        <v/>
      </c>
      <c r="F191">
        <f>IF($W191="","",INDEX('Per Line'!$K$2:$K$501,$W191)&amp;"")</f>
        <v/>
      </c>
      <c r="G191">
        <f>IF($W191="","",INDEX('Per Line'!$L$2:$L$501,$W191)&amp;"")</f>
        <v/>
      </c>
      <c r="H191" s="12" t="n"/>
      <c r="I191">
        <f>IF($W191="","",INDEX('Per Line'!$M$2:$M$501,$W191))</f>
        <v/>
      </c>
      <c r="J191" s="7">
        <f>IF($W191="","",I191*T191/100)</f>
        <v/>
      </c>
      <c r="K191" s="11">
        <f>IF($W191="","",INDEX('Per Line'!$O$2:$O$501,$W191))</f>
        <v/>
      </c>
      <c r="L191">
        <f>IF($W191="","",Settings!$C$7)</f>
        <v/>
      </c>
      <c r="M191" s="7">
        <f>IF($W191="","",SUMIFS('Per Line'!$Y$2:$Y$501,'Per Line'!$C$2:$C$501,$B191,'Per Line'!$AD$2:$AD$501,0))</f>
        <v/>
      </c>
      <c r="N191" s="7">
        <f>IF($W191="","",M191*L191)</f>
        <v/>
      </c>
      <c r="O191">
        <f>IF($W191="","",Settings!$C$6)</f>
        <v/>
      </c>
      <c r="P191" s="7">
        <f>IF($W191="","",SUMIFS('Per Line'!$Y$2:$Y$501,'Per Line'!$C$2:$C$501,$B191,'Per Line'!$AD$2:$AD$501,1))</f>
        <v/>
      </c>
      <c r="Q191" s="7">
        <f>IF($W191="","",P191*O191)</f>
        <v/>
      </c>
      <c r="R191" s="7">
        <f>IF($W191="","",Q191+N191)</f>
        <v/>
      </c>
      <c r="S191" s="7">
        <f>IF($W191="","",T191-R191)</f>
        <v/>
      </c>
      <c r="T191" s="7">
        <f>IF($W191="","",M191+P191)</f>
        <v/>
      </c>
      <c r="U191" s="7">
        <f>IF($W191="","",T191-R191-J191)</f>
        <v/>
      </c>
      <c r="V191" s="12" t="n"/>
      <c r="W191" s="13">
        <f>IF(ROWS($W$2:$W191)&lt;=MAX('Per Line'!$AC$2:$AC$501),MATCH(ROWS($W$2:$W191),'Per Line'!$AC$2:$AC$501,0),"")</f>
        <v/>
      </c>
    </row>
    <row r="192">
      <c r="A192" s="12" t="n"/>
      <c r="B192">
        <f>IF($W192="","",INDEX('Per Line'!$C$2:$C$501,$W192)&amp;"")</f>
        <v/>
      </c>
      <c r="C192">
        <f>IF($W192="","",INDEX('Per Line'!$A$2:$A$501,$W192)&amp;"")</f>
        <v/>
      </c>
      <c r="D192">
        <f>IF($W192="","",INDEX('Per Line'!$E$2:$E$501,$W192)&amp;"")</f>
        <v/>
      </c>
      <c r="E192">
        <f>IF($W192="","",INDEX('Per Line'!$H$2:$H$501,$W192)&amp;"")</f>
        <v/>
      </c>
      <c r="F192">
        <f>IF($W192="","",INDEX('Per Line'!$K$2:$K$501,$W192)&amp;"")</f>
        <v/>
      </c>
      <c r="G192">
        <f>IF($W192="","",INDEX('Per Line'!$L$2:$L$501,$W192)&amp;"")</f>
        <v/>
      </c>
      <c r="H192" s="12" t="n"/>
      <c r="I192">
        <f>IF($W192="","",INDEX('Per Line'!$M$2:$M$501,$W192))</f>
        <v/>
      </c>
      <c r="J192" s="7">
        <f>IF($W192="","",I192*T192/100)</f>
        <v/>
      </c>
      <c r="K192" s="11">
        <f>IF($W192="","",INDEX('Per Line'!$O$2:$O$501,$W192))</f>
        <v/>
      </c>
      <c r="L192">
        <f>IF($W192="","",Settings!$C$7)</f>
        <v/>
      </c>
      <c r="M192" s="7">
        <f>IF($W192="","",SUMIFS('Per Line'!$Y$2:$Y$501,'Per Line'!$C$2:$C$501,$B192,'Per Line'!$AD$2:$AD$501,0))</f>
        <v/>
      </c>
      <c r="N192" s="7">
        <f>IF($W192="","",M192*L192)</f>
        <v/>
      </c>
      <c r="O192">
        <f>IF($W192="","",Settings!$C$6)</f>
        <v/>
      </c>
      <c r="P192" s="7">
        <f>IF($W192="","",SUMIFS('Per Line'!$Y$2:$Y$501,'Per Line'!$C$2:$C$501,$B192,'Per Line'!$AD$2:$AD$501,1))</f>
        <v/>
      </c>
      <c r="Q192" s="7">
        <f>IF($W192="","",P192*O192)</f>
        <v/>
      </c>
      <c r="R192" s="7">
        <f>IF($W192="","",Q192+N192)</f>
        <v/>
      </c>
      <c r="S192" s="7">
        <f>IF($W192="","",T192-R192)</f>
        <v/>
      </c>
      <c r="T192" s="7">
        <f>IF($W192="","",M192+P192)</f>
        <v/>
      </c>
      <c r="U192" s="7">
        <f>IF($W192="","",T192-R192-J192)</f>
        <v/>
      </c>
      <c r="V192" s="12" t="n"/>
      <c r="W192" s="13">
        <f>IF(ROWS($W$2:$W192)&lt;=MAX('Per Line'!$AC$2:$AC$501),MATCH(ROWS($W$2:$W192),'Per Line'!$AC$2:$AC$501,0),"")</f>
        <v/>
      </c>
    </row>
    <row r="193">
      <c r="A193" s="12" t="n"/>
      <c r="B193">
        <f>IF($W193="","",INDEX('Per Line'!$C$2:$C$501,$W193)&amp;"")</f>
        <v/>
      </c>
      <c r="C193">
        <f>IF($W193="","",INDEX('Per Line'!$A$2:$A$501,$W193)&amp;"")</f>
        <v/>
      </c>
      <c r="D193">
        <f>IF($W193="","",INDEX('Per Line'!$E$2:$E$501,$W193)&amp;"")</f>
        <v/>
      </c>
      <c r="E193">
        <f>IF($W193="","",INDEX('Per Line'!$H$2:$H$501,$W193)&amp;"")</f>
        <v/>
      </c>
      <c r="F193">
        <f>IF($W193="","",INDEX('Per Line'!$K$2:$K$501,$W193)&amp;"")</f>
        <v/>
      </c>
      <c r="G193">
        <f>IF($W193="","",INDEX('Per Line'!$L$2:$L$501,$W193)&amp;"")</f>
        <v/>
      </c>
      <c r="H193" s="12" t="n"/>
      <c r="I193">
        <f>IF($W193="","",INDEX('Per Line'!$M$2:$M$501,$W193))</f>
        <v/>
      </c>
      <c r="J193" s="7">
        <f>IF($W193="","",I193*T193/100)</f>
        <v/>
      </c>
      <c r="K193" s="11">
        <f>IF($W193="","",INDEX('Per Line'!$O$2:$O$501,$W193))</f>
        <v/>
      </c>
      <c r="L193">
        <f>IF($W193="","",Settings!$C$7)</f>
        <v/>
      </c>
      <c r="M193" s="7">
        <f>IF($W193="","",SUMIFS('Per Line'!$Y$2:$Y$501,'Per Line'!$C$2:$C$501,$B193,'Per Line'!$AD$2:$AD$501,0))</f>
        <v/>
      </c>
      <c r="N193" s="7">
        <f>IF($W193="","",M193*L193)</f>
        <v/>
      </c>
      <c r="O193">
        <f>IF($W193="","",Settings!$C$6)</f>
        <v/>
      </c>
      <c r="P193" s="7">
        <f>IF($W193="","",SUMIFS('Per Line'!$Y$2:$Y$501,'Per Line'!$C$2:$C$501,$B193,'Per Line'!$AD$2:$AD$501,1))</f>
        <v/>
      </c>
      <c r="Q193" s="7">
        <f>IF($W193="","",P193*O193)</f>
        <v/>
      </c>
      <c r="R193" s="7">
        <f>IF($W193="","",Q193+N193)</f>
        <v/>
      </c>
      <c r="S193" s="7">
        <f>IF($W193="","",T193-R193)</f>
        <v/>
      </c>
      <c r="T193" s="7">
        <f>IF($W193="","",M193+P193)</f>
        <v/>
      </c>
      <c r="U193" s="7">
        <f>IF($W193="","",T193-R193-J193)</f>
        <v/>
      </c>
      <c r="V193" s="12" t="n"/>
      <c r="W193" s="13">
        <f>IF(ROWS($W$2:$W193)&lt;=MAX('Per Line'!$AC$2:$AC$501),MATCH(ROWS($W$2:$W193),'Per Line'!$AC$2:$AC$501,0),"")</f>
        <v/>
      </c>
    </row>
    <row r="194">
      <c r="A194" s="12" t="n"/>
      <c r="B194">
        <f>IF($W194="","",INDEX('Per Line'!$C$2:$C$501,$W194)&amp;"")</f>
        <v/>
      </c>
      <c r="C194">
        <f>IF($W194="","",INDEX('Per Line'!$A$2:$A$501,$W194)&amp;"")</f>
        <v/>
      </c>
      <c r="D194">
        <f>IF($W194="","",INDEX('Per Line'!$E$2:$E$501,$W194)&amp;"")</f>
        <v/>
      </c>
      <c r="E194">
        <f>IF($W194="","",INDEX('Per Line'!$H$2:$H$501,$W194)&amp;"")</f>
        <v/>
      </c>
      <c r="F194">
        <f>IF($W194="","",INDEX('Per Line'!$K$2:$K$501,$W194)&amp;"")</f>
        <v/>
      </c>
      <c r="G194">
        <f>IF($W194="","",INDEX('Per Line'!$L$2:$L$501,$W194)&amp;"")</f>
        <v/>
      </c>
      <c r="H194" s="12" t="n"/>
      <c r="I194">
        <f>IF($W194="","",INDEX('Per Line'!$M$2:$M$501,$W194))</f>
        <v/>
      </c>
      <c r="J194" s="7">
        <f>IF($W194="","",I194*T194/100)</f>
        <v/>
      </c>
      <c r="K194" s="11">
        <f>IF($W194="","",INDEX('Per Line'!$O$2:$O$501,$W194))</f>
        <v/>
      </c>
      <c r="L194">
        <f>IF($W194="","",Settings!$C$7)</f>
        <v/>
      </c>
      <c r="M194" s="7">
        <f>IF($W194="","",SUMIFS('Per Line'!$Y$2:$Y$501,'Per Line'!$C$2:$C$501,$B194,'Per Line'!$AD$2:$AD$501,0))</f>
        <v/>
      </c>
      <c r="N194" s="7">
        <f>IF($W194="","",M194*L194)</f>
        <v/>
      </c>
      <c r="O194">
        <f>IF($W194="","",Settings!$C$6)</f>
        <v/>
      </c>
      <c r="P194" s="7">
        <f>IF($W194="","",SUMIFS('Per Line'!$Y$2:$Y$501,'Per Line'!$C$2:$C$501,$B194,'Per Line'!$AD$2:$AD$501,1))</f>
        <v/>
      </c>
      <c r="Q194" s="7">
        <f>IF($W194="","",P194*O194)</f>
        <v/>
      </c>
      <c r="R194" s="7">
        <f>IF($W194="","",Q194+N194)</f>
        <v/>
      </c>
      <c r="S194" s="7">
        <f>IF($W194="","",T194-R194)</f>
        <v/>
      </c>
      <c r="T194" s="7">
        <f>IF($W194="","",M194+P194)</f>
        <v/>
      </c>
      <c r="U194" s="7">
        <f>IF($W194="","",T194-R194-J194)</f>
        <v/>
      </c>
      <c r="V194" s="12" t="n"/>
      <c r="W194" s="13">
        <f>IF(ROWS($W$2:$W194)&lt;=MAX('Per Line'!$AC$2:$AC$501),MATCH(ROWS($W$2:$W194),'Per Line'!$AC$2:$AC$501,0),"")</f>
        <v/>
      </c>
    </row>
    <row r="195">
      <c r="A195" s="12" t="n"/>
      <c r="B195">
        <f>IF($W195="","",INDEX('Per Line'!$C$2:$C$501,$W195)&amp;"")</f>
        <v/>
      </c>
      <c r="C195">
        <f>IF($W195="","",INDEX('Per Line'!$A$2:$A$501,$W195)&amp;"")</f>
        <v/>
      </c>
      <c r="D195">
        <f>IF($W195="","",INDEX('Per Line'!$E$2:$E$501,$W195)&amp;"")</f>
        <v/>
      </c>
      <c r="E195">
        <f>IF($W195="","",INDEX('Per Line'!$H$2:$H$501,$W195)&amp;"")</f>
        <v/>
      </c>
      <c r="F195">
        <f>IF($W195="","",INDEX('Per Line'!$K$2:$K$501,$W195)&amp;"")</f>
        <v/>
      </c>
      <c r="G195">
        <f>IF($W195="","",INDEX('Per Line'!$L$2:$L$501,$W195)&amp;"")</f>
        <v/>
      </c>
      <c r="H195" s="12" t="n"/>
      <c r="I195">
        <f>IF($W195="","",INDEX('Per Line'!$M$2:$M$501,$W195))</f>
        <v/>
      </c>
      <c r="J195" s="7">
        <f>IF($W195="","",I195*T195/100)</f>
        <v/>
      </c>
      <c r="K195" s="11">
        <f>IF($W195="","",INDEX('Per Line'!$O$2:$O$501,$W195))</f>
        <v/>
      </c>
      <c r="L195">
        <f>IF($W195="","",Settings!$C$7)</f>
        <v/>
      </c>
      <c r="M195" s="7">
        <f>IF($W195="","",SUMIFS('Per Line'!$Y$2:$Y$501,'Per Line'!$C$2:$C$501,$B195,'Per Line'!$AD$2:$AD$501,0))</f>
        <v/>
      </c>
      <c r="N195" s="7">
        <f>IF($W195="","",M195*L195)</f>
        <v/>
      </c>
      <c r="O195">
        <f>IF($W195="","",Settings!$C$6)</f>
        <v/>
      </c>
      <c r="P195" s="7">
        <f>IF($W195="","",SUMIFS('Per Line'!$Y$2:$Y$501,'Per Line'!$C$2:$C$501,$B195,'Per Line'!$AD$2:$AD$501,1))</f>
        <v/>
      </c>
      <c r="Q195" s="7">
        <f>IF($W195="","",P195*O195)</f>
        <v/>
      </c>
      <c r="R195" s="7">
        <f>IF($W195="","",Q195+N195)</f>
        <v/>
      </c>
      <c r="S195" s="7">
        <f>IF($W195="","",T195-R195)</f>
        <v/>
      </c>
      <c r="T195" s="7">
        <f>IF($W195="","",M195+P195)</f>
        <v/>
      </c>
      <c r="U195" s="7">
        <f>IF($W195="","",T195-R195-J195)</f>
        <v/>
      </c>
      <c r="V195" s="12" t="n"/>
      <c r="W195" s="13">
        <f>IF(ROWS($W$2:$W195)&lt;=MAX('Per Line'!$AC$2:$AC$501),MATCH(ROWS($W$2:$W195),'Per Line'!$AC$2:$AC$501,0),"")</f>
        <v/>
      </c>
    </row>
    <row r="196">
      <c r="A196" s="12" t="n"/>
      <c r="B196">
        <f>IF($W196="","",INDEX('Per Line'!$C$2:$C$501,$W196)&amp;"")</f>
        <v/>
      </c>
      <c r="C196">
        <f>IF($W196="","",INDEX('Per Line'!$A$2:$A$501,$W196)&amp;"")</f>
        <v/>
      </c>
      <c r="D196">
        <f>IF($W196="","",INDEX('Per Line'!$E$2:$E$501,$W196)&amp;"")</f>
        <v/>
      </c>
      <c r="E196">
        <f>IF($W196="","",INDEX('Per Line'!$H$2:$H$501,$W196)&amp;"")</f>
        <v/>
      </c>
      <c r="F196">
        <f>IF($W196="","",INDEX('Per Line'!$K$2:$K$501,$W196)&amp;"")</f>
        <v/>
      </c>
      <c r="G196">
        <f>IF($W196="","",INDEX('Per Line'!$L$2:$L$501,$W196)&amp;"")</f>
        <v/>
      </c>
      <c r="H196" s="12" t="n"/>
      <c r="I196">
        <f>IF($W196="","",INDEX('Per Line'!$M$2:$M$501,$W196))</f>
        <v/>
      </c>
      <c r="J196" s="7">
        <f>IF($W196="","",I196*T196/100)</f>
        <v/>
      </c>
      <c r="K196" s="11">
        <f>IF($W196="","",INDEX('Per Line'!$O$2:$O$501,$W196))</f>
        <v/>
      </c>
      <c r="L196">
        <f>IF($W196="","",Settings!$C$7)</f>
        <v/>
      </c>
      <c r="M196" s="7">
        <f>IF($W196="","",SUMIFS('Per Line'!$Y$2:$Y$501,'Per Line'!$C$2:$C$501,$B196,'Per Line'!$AD$2:$AD$501,0))</f>
        <v/>
      </c>
      <c r="N196" s="7">
        <f>IF($W196="","",M196*L196)</f>
        <v/>
      </c>
      <c r="O196">
        <f>IF($W196="","",Settings!$C$6)</f>
        <v/>
      </c>
      <c r="P196" s="7">
        <f>IF($W196="","",SUMIFS('Per Line'!$Y$2:$Y$501,'Per Line'!$C$2:$C$501,$B196,'Per Line'!$AD$2:$AD$501,1))</f>
        <v/>
      </c>
      <c r="Q196" s="7">
        <f>IF($W196="","",P196*O196)</f>
        <v/>
      </c>
      <c r="R196" s="7">
        <f>IF($W196="","",Q196+N196)</f>
        <v/>
      </c>
      <c r="S196" s="7">
        <f>IF($W196="","",T196-R196)</f>
        <v/>
      </c>
      <c r="T196" s="7">
        <f>IF($W196="","",M196+P196)</f>
        <v/>
      </c>
      <c r="U196" s="7">
        <f>IF($W196="","",T196-R196-J196)</f>
        <v/>
      </c>
      <c r="V196" s="12" t="n"/>
      <c r="W196" s="13">
        <f>IF(ROWS($W$2:$W196)&lt;=MAX('Per Line'!$AC$2:$AC$501),MATCH(ROWS($W$2:$W196),'Per Line'!$AC$2:$AC$501,0),"")</f>
        <v/>
      </c>
    </row>
    <row r="197">
      <c r="A197" s="12" t="n"/>
      <c r="B197">
        <f>IF($W197="","",INDEX('Per Line'!$C$2:$C$501,$W197)&amp;"")</f>
        <v/>
      </c>
      <c r="C197">
        <f>IF($W197="","",INDEX('Per Line'!$A$2:$A$501,$W197)&amp;"")</f>
        <v/>
      </c>
      <c r="D197">
        <f>IF($W197="","",INDEX('Per Line'!$E$2:$E$501,$W197)&amp;"")</f>
        <v/>
      </c>
      <c r="E197">
        <f>IF($W197="","",INDEX('Per Line'!$H$2:$H$501,$W197)&amp;"")</f>
        <v/>
      </c>
      <c r="F197">
        <f>IF($W197="","",INDEX('Per Line'!$K$2:$K$501,$W197)&amp;"")</f>
        <v/>
      </c>
      <c r="G197">
        <f>IF($W197="","",INDEX('Per Line'!$L$2:$L$501,$W197)&amp;"")</f>
        <v/>
      </c>
      <c r="H197" s="12" t="n"/>
      <c r="I197">
        <f>IF($W197="","",INDEX('Per Line'!$M$2:$M$501,$W197))</f>
        <v/>
      </c>
      <c r="J197" s="7">
        <f>IF($W197="","",I197*T197/100)</f>
        <v/>
      </c>
      <c r="K197" s="11">
        <f>IF($W197="","",INDEX('Per Line'!$O$2:$O$501,$W197))</f>
        <v/>
      </c>
      <c r="L197">
        <f>IF($W197="","",Settings!$C$7)</f>
        <v/>
      </c>
      <c r="M197" s="7">
        <f>IF($W197="","",SUMIFS('Per Line'!$Y$2:$Y$501,'Per Line'!$C$2:$C$501,$B197,'Per Line'!$AD$2:$AD$501,0))</f>
        <v/>
      </c>
      <c r="N197" s="7">
        <f>IF($W197="","",M197*L197)</f>
        <v/>
      </c>
      <c r="O197">
        <f>IF($W197="","",Settings!$C$6)</f>
        <v/>
      </c>
      <c r="P197" s="7">
        <f>IF($W197="","",SUMIFS('Per Line'!$Y$2:$Y$501,'Per Line'!$C$2:$C$501,$B197,'Per Line'!$AD$2:$AD$501,1))</f>
        <v/>
      </c>
      <c r="Q197" s="7">
        <f>IF($W197="","",P197*O197)</f>
        <v/>
      </c>
      <c r="R197" s="7">
        <f>IF($W197="","",Q197+N197)</f>
        <v/>
      </c>
      <c r="S197" s="7">
        <f>IF($W197="","",T197-R197)</f>
        <v/>
      </c>
      <c r="T197" s="7">
        <f>IF($W197="","",M197+P197)</f>
        <v/>
      </c>
      <c r="U197" s="7">
        <f>IF($W197="","",T197-R197-J197)</f>
        <v/>
      </c>
      <c r="V197" s="12" t="n"/>
      <c r="W197" s="13">
        <f>IF(ROWS($W$2:$W197)&lt;=MAX('Per Line'!$AC$2:$AC$501),MATCH(ROWS($W$2:$W197),'Per Line'!$AC$2:$AC$501,0),"")</f>
        <v/>
      </c>
    </row>
    <row r="198">
      <c r="A198" s="12" t="n"/>
      <c r="B198">
        <f>IF($W198="","",INDEX('Per Line'!$C$2:$C$501,$W198)&amp;"")</f>
        <v/>
      </c>
      <c r="C198">
        <f>IF($W198="","",INDEX('Per Line'!$A$2:$A$501,$W198)&amp;"")</f>
        <v/>
      </c>
      <c r="D198">
        <f>IF($W198="","",INDEX('Per Line'!$E$2:$E$501,$W198)&amp;"")</f>
        <v/>
      </c>
      <c r="E198">
        <f>IF($W198="","",INDEX('Per Line'!$H$2:$H$501,$W198)&amp;"")</f>
        <v/>
      </c>
      <c r="F198">
        <f>IF($W198="","",INDEX('Per Line'!$K$2:$K$501,$W198)&amp;"")</f>
        <v/>
      </c>
      <c r="G198">
        <f>IF($W198="","",INDEX('Per Line'!$L$2:$L$501,$W198)&amp;"")</f>
        <v/>
      </c>
      <c r="H198" s="12" t="n"/>
      <c r="I198">
        <f>IF($W198="","",INDEX('Per Line'!$M$2:$M$501,$W198))</f>
        <v/>
      </c>
      <c r="J198" s="7">
        <f>IF($W198="","",I198*T198/100)</f>
        <v/>
      </c>
      <c r="K198" s="11">
        <f>IF($W198="","",INDEX('Per Line'!$O$2:$O$501,$W198))</f>
        <v/>
      </c>
      <c r="L198">
        <f>IF($W198="","",Settings!$C$7)</f>
        <v/>
      </c>
      <c r="M198" s="7">
        <f>IF($W198="","",SUMIFS('Per Line'!$Y$2:$Y$501,'Per Line'!$C$2:$C$501,$B198,'Per Line'!$AD$2:$AD$501,0))</f>
        <v/>
      </c>
      <c r="N198" s="7">
        <f>IF($W198="","",M198*L198)</f>
        <v/>
      </c>
      <c r="O198">
        <f>IF($W198="","",Settings!$C$6)</f>
        <v/>
      </c>
      <c r="P198" s="7">
        <f>IF($W198="","",SUMIFS('Per Line'!$Y$2:$Y$501,'Per Line'!$C$2:$C$501,$B198,'Per Line'!$AD$2:$AD$501,1))</f>
        <v/>
      </c>
      <c r="Q198" s="7">
        <f>IF($W198="","",P198*O198)</f>
        <v/>
      </c>
      <c r="R198" s="7">
        <f>IF($W198="","",Q198+N198)</f>
        <v/>
      </c>
      <c r="S198" s="7">
        <f>IF($W198="","",T198-R198)</f>
        <v/>
      </c>
      <c r="T198" s="7">
        <f>IF($W198="","",M198+P198)</f>
        <v/>
      </c>
      <c r="U198" s="7">
        <f>IF($W198="","",T198-R198-J198)</f>
        <v/>
      </c>
      <c r="V198" s="12" t="n"/>
      <c r="W198" s="13">
        <f>IF(ROWS($W$2:$W198)&lt;=MAX('Per Line'!$AC$2:$AC$501),MATCH(ROWS($W$2:$W198),'Per Line'!$AC$2:$AC$501,0),"")</f>
        <v/>
      </c>
    </row>
    <row r="199">
      <c r="A199" s="12" t="n"/>
      <c r="B199">
        <f>IF($W199="","",INDEX('Per Line'!$C$2:$C$501,$W199)&amp;"")</f>
        <v/>
      </c>
      <c r="C199">
        <f>IF($W199="","",INDEX('Per Line'!$A$2:$A$501,$W199)&amp;"")</f>
        <v/>
      </c>
      <c r="D199">
        <f>IF($W199="","",INDEX('Per Line'!$E$2:$E$501,$W199)&amp;"")</f>
        <v/>
      </c>
      <c r="E199">
        <f>IF($W199="","",INDEX('Per Line'!$H$2:$H$501,$W199)&amp;"")</f>
        <v/>
      </c>
      <c r="F199">
        <f>IF($W199="","",INDEX('Per Line'!$K$2:$K$501,$W199)&amp;"")</f>
        <v/>
      </c>
      <c r="G199">
        <f>IF($W199="","",INDEX('Per Line'!$L$2:$L$501,$W199)&amp;"")</f>
        <v/>
      </c>
      <c r="H199" s="12" t="n"/>
      <c r="I199">
        <f>IF($W199="","",INDEX('Per Line'!$M$2:$M$501,$W199))</f>
        <v/>
      </c>
      <c r="J199" s="7">
        <f>IF($W199="","",I199*T199/100)</f>
        <v/>
      </c>
      <c r="K199" s="11">
        <f>IF($W199="","",INDEX('Per Line'!$O$2:$O$501,$W199))</f>
        <v/>
      </c>
      <c r="L199">
        <f>IF($W199="","",Settings!$C$7)</f>
        <v/>
      </c>
      <c r="M199" s="7">
        <f>IF($W199="","",SUMIFS('Per Line'!$Y$2:$Y$501,'Per Line'!$C$2:$C$501,$B199,'Per Line'!$AD$2:$AD$501,0))</f>
        <v/>
      </c>
      <c r="N199" s="7">
        <f>IF($W199="","",M199*L199)</f>
        <v/>
      </c>
      <c r="O199">
        <f>IF($W199="","",Settings!$C$6)</f>
        <v/>
      </c>
      <c r="P199" s="7">
        <f>IF($W199="","",SUMIFS('Per Line'!$Y$2:$Y$501,'Per Line'!$C$2:$C$501,$B199,'Per Line'!$AD$2:$AD$501,1))</f>
        <v/>
      </c>
      <c r="Q199" s="7">
        <f>IF($W199="","",P199*O199)</f>
        <v/>
      </c>
      <c r="R199" s="7">
        <f>IF($W199="","",Q199+N199)</f>
        <v/>
      </c>
      <c r="S199" s="7">
        <f>IF($W199="","",T199-R199)</f>
        <v/>
      </c>
      <c r="T199" s="7">
        <f>IF($W199="","",M199+P199)</f>
        <v/>
      </c>
      <c r="U199" s="7">
        <f>IF($W199="","",T199-R199-J199)</f>
        <v/>
      </c>
      <c r="V199" s="12" t="n"/>
      <c r="W199" s="13">
        <f>IF(ROWS($W$2:$W199)&lt;=MAX('Per Line'!$AC$2:$AC$501),MATCH(ROWS($W$2:$W199),'Per Line'!$AC$2:$AC$501,0),"")</f>
        <v/>
      </c>
    </row>
    <row r="200">
      <c r="A200" s="12" t="n"/>
      <c r="B200">
        <f>IF($W200="","",INDEX('Per Line'!$C$2:$C$501,$W200)&amp;"")</f>
        <v/>
      </c>
      <c r="C200">
        <f>IF($W200="","",INDEX('Per Line'!$A$2:$A$501,$W200)&amp;"")</f>
        <v/>
      </c>
      <c r="D200">
        <f>IF($W200="","",INDEX('Per Line'!$E$2:$E$501,$W200)&amp;"")</f>
        <v/>
      </c>
      <c r="E200">
        <f>IF($W200="","",INDEX('Per Line'!$H$2:$H$501,$W200)&amp;"")</f>
        <v/>
      </c>
      <c r="F200">
        <f>IF($W200="","",INDEX('Per Line'!$K$2:$K$501,$W200)&amp;"")</f>
        <v/>
      </c>
      <c r="G200">
        <f>IF($W200="","",INDEX('Per Line'!$L$2:$L$501,$W200)&amp;"")</f>
        <v/>
      </c>
      <c r="H200" s="12" t="n"/>
      <c r="I200">
        <f>IF($W200="","",INDEX('Per Line'!$M$2:$M$501,$W200))</f>
        <v/>
      </c>
      <c r="J200" s="7">
        <f>IF($W200="","",I200*T200/100)</f>
        <v/>
      </c>
      <c r="K200" s="11">
        <f>IF($W200="","",INDEX('Per Line'!$O$2:$O$501,$W200))</f>
        <v/>
      </c>
      <c r="L200">
        <f>IF($W200="","",Settings!$C$7)</f>
        <v/>
      </c>
      <c r="M200" s="7">
        <f>IF($W200="","",SUMIFS('Per Line'!$Y$2:$Y$501,'Per Line'!$C$2:$C$501,$B200,'Per Line'!$AD$2:$AD$501,0))</f>
        <v/>
      </c>
      <c r="N200" s="7">
        <f>IF($W200="","",M200*L200)</f>
        <v/>
      </c>
      <c r="O200">
        <f>IF($W200="","",Settings!$C$6)</f>
        <v/>
      </c>
      <c r="P200" s="7">
        <f>IF($W200="","",SUMIFS('Per Line'!$Y$2:$Y$501,'Per Line'!$C$2:$C$501,$B200,'Per Line'!$AD$2:$AD$501,1))</f>
        <v/>
      </c>
      <c r="Q200" s="7">
        <f>IF($W200="","",P200*O200)</f>
        <v/>
      </c>
      <c r="R200" s="7">
        <f>IF($W200="","",Q200+N200)</f>
        <v/>
      </c>
      <c r="S200" s="7">
        <f>IF($W200="","",T200-R200)</f>
        <v/>
      </c>
      <c r="T200" s="7">
        <f>IF($W200="","",M200+P200)</f>
        <v/>
      </c>
      <c r="U200" s="7">
        <f>IF($W200="","",T200-R200-J200)</f>
        <v/>
      </c>
      <c r="V200" s="12" t="n"/>
      <c r="W200" s="13">
        <f>IF(ROWS($W$2:$W200)&lt;=MAX('Per Line'!$AC$2:$AC$501),MATCH(ROWS($W$2:$W200),'Per Line'!$AC$2:$AC$501,0),"")</f>
        <v/>
      </c>
    </row>
    <row r="201">
      <c r="A201" s="12" t="n"/>
      <c r="B201">
        <f>IF($W201="","",INDEX('Per Line'!$C$2:$C$501,$W201)&amp;"")</f>
        <v/>
      </c>
      <c r="C201">
        <f>IF($W201="","",INDEX('Per Line'!$A$2:$A$501,$W201)&amp;"")</f>
        <v/>
      </c>
      <c r="D201">
        <f>IF($W201="","",INDEX('Per Line'!$E$2:$E$501,$W201)&amp;"")</f>
        <v/>
      </c>
      <c r="E201">
        <f>IF($W201="","",INDEX('Per Line'!$H$2:$H$501,$W201)&amp;"")</f>
        <v/>
      </c>
      <c r="F201">
        <f>IF($W201="","",INDEX('Per Line'!$K$2:$K$501,$W201)&amp;"")</f>
        <v/>
      </c>
      <c r="G201">
        <f>IF($W201="","",INDEX('Per Line'!$L$2:$L$501,$W201)&amp;"")</f>
        <v/>
      </c>
      <c r="H201" s="12" t="n"/>
      <c r="I201">
        <f>IF($W201="","",INDEX('Per Line'!$M$2:$M$501,$W201))</f>
        <v/>
      </c>
      <c r="J201" s="7">
        <f>IF($W201="","",I201*T201/100)</f>
        <v/>
      </c>
      <c r="K201" s="11">
        <f>IF($W201="","",INDEX('Per Line'!$O$2:$O$501,$W201))</f>
        <v/>
      </c>
      <c r="L201">
        <f>IF($W201="","",Settings!$C$7)</f>
        <v/>
      </c>
      <c r="M201" s="7">
        <f>IF($W201="","",SUMIFS('Per Line'!$Y$2:$Y$501,'Per Line'!$C$2:$C$501,$B201,'Per Line'!$AD$2:$AD$501,0))</f>
        <v/>
      </c>
      <c r="N201" s="7">
        <f>IF($W201="","",M201*L201)</f>
        <v/>
      </c>
      <c r="O201">
        <f>IF($W201="","",Settings!$C$6)</f>
        <v/>
      </c>
      <c r="P201" s="7">
        <f>IF($W201="","",SUMIFS('Per Line'!$Y$2:$Y$501,'Per Line'!$C$2:$C$501,$B201,'Per Line'!$AD$2:$AD$501,1))</f>
        <v/>
      </c>
      <c r="Q201" s="7">
        <f>IF($W201="","",P201*O201)</f>
        <v/>
      </c>
      <c r="R201" s="7">
        <f>IF($W201="","",Q201+N201)</f>
        <v/>
      </c>
      <c r="S201" s="7">
        <f>IF($W201="","",T201-R201)</f>
        <v/>
      </c>
      <c r="T201" s="7">
        <f>IF($W201="","",M201+P201)</f>
        <v/>
      </c>
      <c r="U201" s="7">
        <f>IF($W201="","",T201-R201-J201)</f>
        <v/>
      </c>
      <c r="V201" s="12" t="n"/>
      <c r="W201" s="13">
        <f>IF(ROWS($W$2:$W201)&lt;=MAX('Per Line'!$AC$2:$AC$501),MATCH(ROWS($W$2:$W201),'Per Line'!$AC$2:$AC$501,0),"")</f>
        <v/>
      </c>
    </row>
  </sheetData>
  <autoFilter ref="A1:W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2026-10-12T10:41:43Z</dcterms:created>
  <dcterms:modified xmlns:dcterms="http://purl.org/dc/terms/" xmlns:xsi="http://www.w3.org/2001/XMLSchema-instance" xsi:type="dcterms:W3CDTF">2026-10-12T10:41:43Z</dcterms:modified>
</cp:coreProperties>
</file>